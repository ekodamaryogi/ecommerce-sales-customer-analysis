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iko\Desktop\"/>
    </mc:Choice>
  </mc:AlternateContent>
  <xr:revisionPtr revIDLastSave="0" documentId="13_ncr:1_{2FE33C6C-A678-4E97-97E5-FB220DB02825}" xr6:coauthVersionLast="47" xr6:coauthVersionMax="47" xr10:uidLastSave="{00000000-0000-0000-0000-000000000000}"/>
  <bookViews>
    <workbookView xWindow="-108" yWindow="-108" windowWidth="23256" windowHeight="12456" tabRatio="696" xr2:uid="{00000000-000D-0000-FFFF-FFFF00000000}"/>
  </bookViews>
  <sheets>
    <sheet name="data_cleaning_&amp;_preparation" sheetId="7" r:id="rId1"/>
    <sheet name="clean" sheetId="8" r:id="rId2"/>
    <sheet name="raw" sheetId="6" r:id="rId3"/>
    <sheet name="sales_performance" sheetId="9" r:id="rId4"/>
    <sheet name="products_performance" sheetId="10" r:id="rId5"/>
    <sheet name="customers_performance" sheetId="11" r:id="rId6"/>
    <sheet name="orders" sheetId="4" r:id="rId7"/>
    <sheet name="customers" sheetId="1" r:id="rId8"/>
    <sheet name="products" sheetId="5" r:id="rId9"/>
  </sheets>
  <definedNames>
    <definedName name="ExternalData_1" localSheetId="2" hidden="1">'raw'!$A$1:$X$1201</definedName>
    <definedName name="ExternalData_2" localSheetId="0" hidden="1">'data_cleaning_&amp;_preparation'!$B$4:$F$28</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10" l="1"/>
  <c r="H23" i="11" a="1"/>
  <c r="H23" i="11" s="1"/>
  <c r="E23" i="11" a="1"/>
  <c r="E23" i="11" s="1"/>
  <c r="B23" i="11" a="1"/>
  <c r="B23" i="11" s="1"/>
  <c r="I4" i="11" a="1"/>
  <c r="I4" i="11" s="1"/>
  <c r="F4" i="11"/>
  <c r="C4" i="11"/>
  <c r="C2" i="11"/>
  <c r="C1" i="11"/>
  <c r="H23" i="9"/>
  <c r="H22" i="9"/>
  <c r="H21" i="9"/>
  <c r="H20" i="9"/>
  <c r="H19" i="9"/>
  <c r="H18" i="9"/>
  <c r="H24" i="9"/>
  <c r="L18" i="10"/>
  <c r="L15" i="9"/>
  <c r="M16" i="9"/>
  <c r="L16" i="9"/>
  <c r="E20" i="9"/>
  <c r="E24" i="9"/>
  <c r="E28" i="9"/>
  <c r="E21" i="9"/>
  <c r="E25" i="9"/>
  <c r="E22" i="9"/>
  <c r="E26" i="9"/>
  <c r="E23" i="9"/>
  <c r="E27" i="9"/>
  <c r="E19" i="9"/>
  <c r="M15" i="9"/>
  <c r="C4" i="10"/>
  <c r="H25" i="9"/>
  <c r="L17" i="9" l="1"/>
  <c r="F23" i="11" a="1"/>
  <c r="F23" i="11" s="1"/>
  <c r="L24" i="11"/>
  <c r="M24" i="11" s="1"/>
  <c r="L23" i="11"/>
  <c r="M23" i="11" s="1"/>
  <c r="C23" i="11" a="1"/>
  <c r="C23" i="11" s="1"/>
  <c r="L25" i="11"/>
  <c r="M25" i="11" s="1"/>
  <c r="C2" i="10"/>
  <c r="M17" i="9"/>
  <c r="L11" i="10"/>
  <c r="H11" i="10"/>
  <c r="L10" i="10"/>
  <c r="H15" i="10"/>
  <c r="L16" i="10"/>
  <c r="D11" i="10"/>
  <c r="D17" i="10"/>
  <c r="H14" i="10"/>
  <c r="D16" i="10"/>
  <c r="L17" i="10"/>
  <c r="H10" i="10"/>
  <c r="D13" i="10"/>
  <c r="D10" i="10"/>
  <c r="D14" i="10"/>
  <c r="H12" i="10"/>
  <c r="H9" i="10"/>
  <c r="L15" i="10"/>
  <c r="H8" i="10"/>
  <c r="L12" i="10"/>
  <c r="D8" i="10"/>
  <c r="L8" i="10"/>
  <c r="D18" i="10"/>
  <c r="L14" i="10"/>
  <c r="D15" i="10"/>
  <c r="L13" i="10"/>
  <c r="D9" i="10"/>
  <c r="L9" i="10"/>
  <c r="D12" i="10"/>
  <c r="H13" i="10"/>
  <c r="H17" i="10"/>
  <c r="H16" i="10"/>
  <c r="C2" i="9" l="1"/>
  <c r="C1" i="9"/>
  <c r="Y3" i="8"/>
  <c r="Y2"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Y314" i="8"/>
  <c r="Y315" i="8"/>
  <c r="Y316" i="8"/>
  <c r="Y317" i="8"/>
  <c r="Y318" i="8"/>
  <c r="Y319" i="8"/>
  <c r="Y320" i="8"/>
  <c r="Y321" i="8"/>
  <c r="Y322" i="8"/>
  <c r="Y323" i="8"/>
  <c r="Y324" i="8"/>
  <c r="Y325" i="8"/>
  <c r="Y326" i="8"/>
  <c r="Y327" i="8"/>
  <c r="Y328" i="8"/>
  <c r="Y329" i="8"/>
  <c r="Y330" i="8"/>
  <c r="Y331" i="8"/>
  <c r="Y332" i="8"/>
  <c r="Y333" i="8"/>
  <c r="Y334" i="8"/>
  <c r="Y335" i="8"/>
  <c r="Y336" i="8"/>
  <c r="Y337" i="8"/>
  <c r="Y338" i="8"/>
  <c r="Y339" i="8"/>
  <c r="Y340" i="8"/>
  <c r="Y341" i="8"/>
  <c r="Y342" i="8"/>
  <c r="Y343" i="8"/>
  <c r="Y344" i="8"/>
  <c r="Y345" i="8"/>
  <c r="Y346" i="8"/>
  <c r="Y347" i="8"/>
  <c r="Y348" i="8"/>
  <c r="Y349" i="8"/>
  <c r="Y350" i="8"/>
  <c r="Y351" i="8"/>
  <c r="Y352" i="8"/>
  <c r="Y353" i="8"/>
  <c r="Y354" i="8"/>
  <c r="Y355" i="8"/>
  <c r="Y356" i="8"/>
  <c r="Y357" i="8"/>
  <c r="Y358" i="8"/>
  <c r="Y359" i="8"/>
  <c r="Y360" i="8"/>
  <c r="Y361" i="8"/>
  <c r="Y362" i="8"/>
  <c r="Y363" i="8"/>
  <c r="Y364" i="8"/>
  <c r="Y365" i="8"/>
  <c r="Y366" i="8"/>
  <c r="Y367" i="8"/>
  <c r="Y368" i="8"/>
  <c r="Y369" i="8"/>
  <c r="Y370" i="8"/>
  <c r="Y371" i="8"/>
  <c r="Y372" i="8"/>
  <c r="Y373" i="8"/>
  <c r="Y374" i="8"/>
  <c r="Y375" i="8"/>
  <c r="Y376" i="8"/>
  <c r="Y377" i="8"/>
  <c r="Y378" i="8"/>
  <c r="Y379" i="8"/>
  <c r="Y380" i="8"/>
  <c r="Y381" i="8"/>
  <c r="Y382" i="8"/>
  <c r="Y383" i="8"/>
  <c r="Y384" i="8"/>
  <c r="Y385" i="8"/>
  <c r="Y386" i="8"/>
  <c r="Y387" i="8"/>
  <c r="Y388" i="8"/>
  <c r="Y389" i="8"/>
  <c r="Y390" i="8"/>
  <c r="Y391" i="8"/>
  <c r="Y392" i="8"/>
  <c r="Y393" i="8"/>
  <c r="Y394" i="8"/>
  <c r="Y395" i="8"/>
  <c r="Y396" i="8"/>
  <c r="Y397" i="8"/>
  <c r="Y398" i="8"/>
  <c r="Y399" i="8"/>
  <c r="Y400" i="8"/>
  <c r="Y401" i="8"/>
  <c r="Y402" i="8"/>
  <c r="Y403" i="8"/>
  <c r="Y404" i="8"/>
  <c r="Y405" i="8"/>
  <c r="Y406" i="8"/>
  <c r="Y407" i="8"/>
  <c r="Y408" i="8"/>
  <c r="Y409" i="8"/>
  <c r="Y410" i="8"/>
  <c r="Y411" i="8"/>
  <c r="Y412" i="8"/>
  <c r="Y413" i="8"/>
  <c r="Y414" i="8"/>
  <c r="Y415" i="8"/>
  <c r="Y416" i="8"/>
  <c r="Y417" i="8"/>
  <c r="Y418" i="8"/>
  <c r="Y419" i="8"/>
  <c r="Y420" i="8"/>
  <c r="Y421" i="8"/>
  <c r="Y422" i="8"/>
  <c r="Y423" i="8"/>
  <c r="Y424" i="8"/>
  <c r="Y425" i="8"/>
  <c r="Y426" i="8"/>
  <c r="Y427" i="8"/>
  <c r="Y428" i="8"/>
  <c r="Y429" i="8"/>
  <c r="Y430" i="8"/>
  <c r="Y431" i="8"/>
  <c r="Y432" i="8"/>
  <c r="Y433" i="8"/>
  <c r="Y434" i="8"/>
  <c r="Y435" i="8"/>
  <c r="Y436" i="8"/>
  <c r="Y437" i="8"/>
  <c r="Y438" i="8"/>
  <c r="Y439" i="8"/>
  <c r="Y440" i="8"/>
  <c r="Y441" i="8"/>
  <c r="Y442" i="8"/>
  <c r="Y443" i="8"/>
  <c r="Y444" i="8"/>
  <c r="Y445" i="8"/>
  <c r="Y446" i="8"/>
  <c r="Y447" i="8"/>
  <c r="Y448" i="8"/>
  <c r="Y449" i="8"/>
  <c r="Y450" i="8"/>
  <c r="Y451" i="8"/>
  <c r="Y452" i="8"/>
  <c r="Y453" i="8"/>
  <c r="Y454" i="8"/>
  <c r="Y455" i="8"/>
  <c r="Y456" i="8"/>
  <c r="Y457" i="8"/>
  <c r="Y458" i="8"/>
  <c r="Y459" i="8"/>
  <c r="Y460" i="8"/>
  <c r="Y461" i="8"/>
  <c r="Y462" i="8"/>
  <c r="Y463" i="8"/>
  <c r="Y464" i="8"/>
  <c r="Y465" i="8"/>
  <c r="Y466" i="8"/>
  <c r="Y467" i="8"/>
  <c r="Y468" i="8"/>
  <c r="Y469" i="8"/>
  <c r="Y470" i="8"/>
  <c r="Y471" i="8"/>
  <c r="Y472" i="8"/>
  <c r="Y473" i="8"/>
  <c r="Y474" i="8"/>
  <c r="Y475" i="8"/>
  <c r="Y476" i="8"/>
  <c r="Y477" i="8"/>
  <c r="Y478" i="8"/>
  <c r="Y479" i="8"/>
  <c r="Y480" i="8"/>
  <c r="Y481" i="8"/>
  <c r="Y482" i="8"/>
  <c r="Y483" i="8"/>
  <c r="Y484" i="8"/>
  <c r="Y485" i="8"/>
  <c r="Y486" i="8"/>
  <c r="Y487" i="8"/>
  <c r="Y488" i="8"/>
  <c r="Y489" i="8"/>
  <c r="Y490" i="8"/>
  <c r="Y491" i="8"/>
  <c r="Y492" i="8"/>
  <c r="Y493" i="8"/>
  <c r="Y494" i="8"/>
  <c r="Y495" i="8"/>
  <c r="Y496" i="8"/>
  <c r="Y497" i="8"/>
  <c r="Y498" i="8"/>
  <c r="Y499" i="8"/>
  <c r="Y500" i="8"/>
  <c r="Y501" i="8"/>
  <c r="Y502" i="8"/>
  <c r="Y503" i="8"/>
  <c r="Y504" i="8"/>
  <c r="Y505" i="8"/>
  <c r="Y506" i="8"/>
  <c r="Y507" i="8"/>
  <c r="Y508" i="8"/>
  <c r="Y509" i="8"/>
  <c r="Y510" i="8"/>
  <c r="Y511" i="8"/>
  <c r="Y512" i="8"/>
  <c r="Y513" i="8"/>
  <c r="Y514" i="8"/>
  <c r="Y515" i="8"/>
  <c r="Y516" i="8"/>
  <c r="Y517" i="8"/>
  <c r="Y518" i="8"/>
  <c r="Y519" i="8"/>
  <c r="Y520" i="8"/>
  <c r="Y521" i="8"/>
  <c r="Y522" i="8"/>
  <c r="Y523" i="8"/>
  <c r="Y524" i="8"/>
  <c r="Y525" i="8"/>
  <c r="Y526" i="8"/>
  <c r="Y527" i="8"/>
  <c r="Y528" i="8"/>
  <c r="Y529" i="8"/>
  <c r="Y530" i="8"/>
  <c r="Y531" i="8"/>
  <c r="Y532" i="8"/>
  <c r="Y533" i="8"/>
  <c r="Y534" i="8"/>
  <c r="Y535" i="8"/>
  <c r="Y536" i="8"/>
  <c r="Y537" i="8"/>
  <c r="Y538" i="8"/>
  <c r="Y539" i="8"/>
  <c r="Y540" i="8"/>
  <c r="Y541" i="8"/>
  <c r="Y542" i="8"/>
  <c r="Y543" i="8"/>
  <c r="Y544" i="8"/>
  <c r="Y545" i="8"/>
  <c r="Y546" i="8"/>
  <c r="Y547" i="8"/>
  <c r="Y548" i="8"/>
  <c r="Y549" i="8"/>
  <c r="Y550" i="8"/>
  <c r="Y551" i="8"/>
  <c r="Y552" i="8"/>
  <c r="Y553" i="8"/>
  <c r="Y554" i="8"/>
  <c r="Y555" i="8"/>
  <c r="Y556" i="8"/>
  <c r="Y557" i="8"/>
  <c r="Y558" i="8"/>
  <c r="Y559" i="8"/>
  <c r="Y560" i="8"/>
  <c r="Y561" i="8"/>
  <c r="Y562" i="8"/>
  <c r="Y563" i="8"/>
  <c r="Y564" i="8"/>
  <c r="Y565" i="8"/>
  <c r="Y566" i="8"/>
  <c r="Y567" i="8"/>
  <c r="Y568" i="8"/>
  <c r="Y569" i="8"/>
  <c r="Y570" i="8"/>
  <c r="Y571" i="8"/>
  <c r="Y572" i="8"/>
  <c r="Y573" i="8"/>
  <c r="Y574" i="8"/>
  <c r="Y575" i="8"/>
  <c r="Y576" i="8"/>
  <c r="Y577" i="8"/>
  <c r="Y578" i="8"/>
  <c r="Y579" i="8"/>
  <c r="Y580" i="8"/>
  <c r="Y581" i="8"/>
  <c r="Y582" i="8"/>
  <c r="Y583" i="8"/>
  <c r="Y584" i="8"/>
  <c r="Y585" i="8"/>
  <c r="Y586" i="8"/>
  <c r="Y587" i="8"/>
  <c r="Y588" i="8"/>
  <c r="Y589" i="8"/>
  <c r="Y590" i="8"/>
  <c r="Y591" i="8"/>
  <c r="Y592" i="8"/>
  <c r="Y593" i="8"/>
  <c r="Y594" i="8"/>
  <c r="Y595" i="8"/>
  <c r="Y596" i="8"/>
  <c r="Y597" i="8"/>
  <c r="Y598" i="8"/>
  <c r="Y599" i="8"/>
  <c r="Y600" i="8"/>
  <c r="Y601" i="8"/>
  <c r="Y602" i="8"/>
  <c r="Y603" i="8"/>
  <c r="Y604" i="8"/>
  <c r="Y605" i="8"/>
  <c r="Y606" i="8"/>
  <c r="Y607" i="8"/>
  <c r="Y608" i="8"/>
  <c r="Y609" i="8"/>
  <c r="Y610" i="8"/>
  <c r="Y611" i="8"/>
  <c r="Y612" i="8"/>
  <c r="Y613" i="8"/>
  <c r="Y614" i="8"/>
  <c r="Y615" i="8"/>
  <c r="Y616" i="8"/>
  <c r="Y617" i="8"/>
  <c r="Y618" i="8"/>
  <c r="Y619" i="8"/>
  <c r="Y620" i="8"/>
  <c r="Y621" i="8"/>
  <c r="Y622" i="8"/>
  <c r="Y623" i="8"/>
  <c r="Y624" i="8"/>
  <c r="Y625" i="8"/>
  <c r="Y626" i="8"/>
  <c r="Y627" i="8"/>
  <c r="Y628" i="8"/>
  <c r="Y629" i="8"/>
  <c r="Y630" i="8"/>
  <c r="Y631" i="8"/>
  <c r="Y632" i="8"/>
  <c r="Y633" i="8"/>
  <c r="Y634" i="8"/>
  <c r="Y635" i="8"/>
  <c r="Y636" i="8"/>
  <c r="Y637" i="8"/>
  <c r="Y638" i="8"/>
  <c r="Y639" i="8"/>
  <c r="Y640" i="8"/>
  <c r="Y641" i="8"/>
  <c r="Y642" i="8"/>
  <c r="Y643" i="8"/>
  <c r="Y644" i="8"/>
  <c r="Y645" i="8"/>
  <c r="Y646" i="8"/>
  <c r="Y647" i="8"/>
  <c r="Y648" i="8"/>
  <c r="Y649" i="8"/>
  <c r="Y650" i="8"/>
  <c r="Y651" i="8"/>
  <c r="Y652" i="8"/>
  <c r="Y653" i="8"/>
  <c r="Y654" i="8"/>
  <c r="Y655" i="8"/>
  <c r="Y656" i="8"/>
  <c r="Y657" i="8"/>
  <c r="Y658" i="8"/>
  <c r="Y659" i="8"/>
  <c r="Y660" i="8"/>
  <c r="Y661" i="8"/>
  <c r="Y662" i="8"/>
  <c r="Y663" i="8"/>
  <c r="Y664" i="8"/>
  <c r="Y665" i="8"/>
  <c r="Y666" i="8"/>
  <c r="Y667" i="8"/>
  <c r="Y668" i="8"/>
  <c r="Y669" i="8"/>
  <c r="Y670" i="8"/>
  <c r="Y671" i="8"/>
  <c r="Y672" i="8"/>
  <c r="Y673" i="8"/>
  <c r="Y674" i="8"/>
  <c r="Y675" i="8"/>
  <c r="Y676" i="8"/>
  <c r="Y677" i="8"/>
  <c r="Y678" i="8"/>
  <c r="Y679" i="8"/>
  <c r="Y680" i="8"/>
  <c r="Y681" i="8"/>
  <c r="Y682" i="8"/>
  <c r="Y683" i="8"/>
  <c r="Y684" i="8"/>
  <c r="Y685" i="8"/>
  <c r="Y686" i="8"/>
  <c r="Y687" i="8"/>
  <c r="Y688" i="8"/>
  <c r="Y689" i="8"/>
  <c r="Y690" i="8"/>
  <c r="Y691" i="8"/>
  <c r="Y692" i="8"/>
  <c r="Y693" i="8"/>
  <c r="Y694" i="8"/>
  <c r="Y695" i="8"/>
  <c r="Y696" i="8"/>
  <c r="Y697" i="8"/>
  <c r="Y698" i="8"/>
  <c r="Y699" i="8"/>
  <c r="Y700" i="8"/>
  <c r="Y701" i="8"/>
  <c r="Y702" i="8"/>
  <c r="Y703" i="8"/>
  <c r="Y704" i="8"/>
  <c r="Y705" i="8"/>
  <c r="Y706" i="8"/>
  <c r="Y707" i="8"/>
  <c r="Y708" i="8"/>
  <c r="Y709" i="8"/>
  <c r="Y710" i="8"/>
  <c r="Y711" i="8"/>
  <c r="Y712" i="8"/>
  <c r="Y713" i="8"/>
  <c r="Y714" i="8"/>
  <c r="Y715" i="8"/>
  <c r="Y716" i="8"/>
  <c r="Y717" i="8"/>
  <c r="Y718" i="8"/>
  <c r="Y719" i="8"/>
  <c r="Y720" i="8"/>
  <c r="Y721" i="8"/>
  <c r="Y722" i="8"/>
  <c r="Y723" i="8"/>
  <c r="Y724" i="8"/>
  <c r="Y725" i="8"/>
  <c r="Y726" i="8"/>
  <c r="Y727" i="8"/>
  <c r="Y728" i="8"/>
  <c r="Y729" i="8"/>
  <c r="Y730" i="8"/>
  <c r="Y731" i="8"/>
  <c r="Y732" i="8"/>
  <c r="Y733" i="8"/>
  <c r="Y734" i="8"/>
  <c r="Y735" i="8"/>
  <c r="Y736" i="8"/>
  <c r="Y737" i="8"/>
  <c r="Y738" i="8"/>
  <c r="Y739" i="8"/>
  <c r="Y740" i="8"/>
  <c r="Y741" i="8"/>
  <c r="Y742" i="8"/>
  <c r="Y743" i="8"/>
  <c r="Y744" i="8"/>
  <c r="Y745" i="8"/>
  <c r="Y746" i="8"/>
  <c r="Y747" i="8"/>
  <c r="Y748" i="8"/>
  <c r="Y749" i="8"/>
  <c r="Y750" i="8"/>
  <c r="Y751" i="8"/>
  <c r="Y752" i="8"/>
  <c r="Y753" i="8"/>
  <c r="Y754" i="8"/>
  <c r="Y755" i="8"/>
  <c r="Y756" i="8"/>
  <c r="Y757" i="8"/>
  <c r="Y758" i="8"/>
  <c r="Y759" i="8"/>
  <c r="Y760" i="8"/>
  <c r="Y761" i="8"/>
  <c r="Y762" i="8"/>
  <c r="Y763" i="8"/>
  <c r="Y764" i="8"/>
  <c r="Y765" i="8"/>
  <c r="Y766" i="8"/>
  <c r="Y767" i="8"/>
  <c r="Y768" i="8"/>
  <c r="Y769" i="8"/>
  <c r="Y770" i="8"/>
  <c r="Y771" i="8"/>
  <c r="Y772" i="8"/>
  <c r="Y773" i="8"/>
  <c r="Y774" i="8"/>
  <c r="Y775" i="8"/>
  <c r="Y776" i="8"/>
  <c r="Y777" i="8"/>
  <c r="Y778" i="8"/>
  <c r="Y779" i="8"/>
  <c r="Y780" i="8"/>
  <c r="Y781" i="8"/>
  <c r="Y782" i="8"/>
  <c r="Y783" i="8"/>
  <c r="Y784" i="8"/>
  <c r="Y785" i="8"/>
  <c r="Y786" i="8"/>
  <c r="Y787" i="8"/>
  <c r="Y788" i="8"/>
  <c r="Y789" i="8"/>
  <c r="Y790" i="8"/>
  <c r="Y791" i="8"/>
  <c r="Y792" i="8"/>
  <c r="Y793" i="8"/>
  <c r="Y794" i="8"/>
  <c r="Y795" i="8"/>
  <c r="Y796" i="8"/>
  <c r="Y797" i="8"/>
  <c r="Y798" i="8"/>
  <c r="Y799" i="8"/>
  <c r="Y800" i="8"/>
  <c r="Y801" i="8"/>
  <c r="Y802" i="8"/>
  <c r="Y803" i="8"/>
  <c r="Y804" i="8"/>
  <c r="Y805" i="8"/>
  <c r="Y806" i="8"/>
  <c r="Y807" i="8"/>
  <c r="Y808" i="8"/>
  <c r="Y809" i="8"/>
  <c r="Y810" i="8"/>
  <c r="Y811" i="8"/>
  <c r="Y812" i="8"/>
  <c r="Y813" i="8"/>
  <c r="Y814" i="8"/>
  <c r="Y815" i="8"/>
  <c r="Y816" i="8"/>
  <c r="Y817" i="8"/>
  <c r="Y818" i="8"/>
  <c r="Y819" i="8"/>
  <c r="Y820" i="8"/>
  <c r="Y821" i="8"/>
  <c r="Y822" i="8"/>
  <c r="Y823" i="8"/>
  <c r="Y824" i="8"/>
  <c r="Y825" i="8"/>
  <c r="Y826" i="8"/>
  <c r="Y827" i="8"/>
  <c r="Y828" i="8"/>
  <c r="Y829" i="8"/>
  <c r="Y830" i="8"/>
  <c r="Y831" i="8"/>
  <c r="Y832" i="8"/>
  <c r="Y833" i="8"/>
  <c r="Y834" i="8"/>
  <c r="Y835" i="8"/>
  <c r="Y836" i="8"/>
  <c r="Y837" i="8"/>
  <c r="Y838" i="8"/>
  <c r="Y839" i="8"/>
  <c r="Y840" i="8"/>
  <c r="Y841" i="8"/>
  <c r="Y842" i="8"/>
  <c r="Y843" i="8"/>
  <c r="Y844" i="8"/>
  <c r="Y845" i="8"/>
  <c r="Y846" i="8"/>
  <c r="Y847" i="8"/>
  <c r="Y848" i="8"/>
  <c r="Y849" i="8"/>
  <c r="Y850" i="8"/>
  <c r="Y851" i="8"/>
  <c r="Y852" i="8"/>
  <c r="Y853" i="8"/>
  <c r="Y854" i="8"/>
  <c r="Y855" i="8"/>
  <c r="Y856" i="8"/>
  <c r="Y857" i="8"/>
  <c r="Y858" i="8"/>
  <c r="Y859" i="8"/>
  <c r="Y860" i="8"/>
  <c r="Y861" i="8"/>
  <c r="Y862" i="8"/>
  <c r="Y863" i="8"/>
  <c r="Y864" i="8"/>
  <c r="Y865" i="8"/>
  <c r="Y866" i="8"/>
  <c r="Y867" i="8"/>
  <c r="Y868" i="8"/>
  <c r="Y869" i="8"/>
  <c r="Y870" i="8"/>
  <c r="Y871" i="8"/>
  <c r="Y872" i="8"/>
  <c r="Y873" i="8"/>
  <c r="Y874" i="8"/>
  <c r="Y875" i="8"/>
  <c r="Y876" i="8"/>
  <c r="Y877" i="8"/>
  <c r="Y878" i="8"/>
  <c r="Y879" i="8"/>
  <c r="Y880" i="8"/>
  <c r="Y881" i="8"/>
  <c r="Y882" i="8"/>
  <c r="Y883" i="8"/>
  <c r="Y884" i="8"/>
  <c r="Y885" i="8"/>
  <c r="Y886" i="8"/>
  <c r="Y887" i="8"/>
  <c r="Y888" i="8"/>
  <c r="Y889" i="8"/>
  <c r="Y890" i="8"/>
  <c r="Y891" i="8"/>
  <c r="Y892" i="8"/>
  <c r="Y893" i="8"/>
  <c r="Y894" i="8"/>
  <c r="Y895" i="8"/>
  <c r="Y896" i="8"/>
  <c r="Y897" i="8"/>
  <c r="Y898" i="8"/>
  <c r="Y899" i="8"/>
  <c r="Y900" i="8"/>
  <c r="Y901" i="8"/>
  <c r="Y902" i="8"/>
  <c r="Y903" i="8"/>
  <c r="Y904" i="8"/>
  <c r="Y905" i="8"/>
  <c r="Y906" i="8"/>
  <c r="Y907" i="8"/>
  <c r="Y908" i="8"/>
  <c r="Y909" i="8"/>
  <c r="Y910" i="8"/>
  <c r="Y911" i="8"/>
  <c r="Y912" i="8"/>
  <c r="Y913" i="8"/>
  <c r="Y914" i="8"/>
  <c r="Y915" i="8"/>
  <c r="Y916" i="8"/>
  <c r="Y917" i="8"/>
  <c r="Y918" i="8"/>
  <c r="Y919" i="8"/>
  <c r="Y920" i="8"/>
  <c r="Y921" i="8"/>
  <c r="Y922" i="8"/>
  <c r="Y923" i="8"/>
  <c r="Y924" i="8"/>
  <c r="Y925" i="8"/>
  <c r="Y926" i="8"/>
  <c r="Y927" i="8"/>
  <c r="Y928" i="8"/>
  <c r="Y929" i="8"/>
  <c r="Y930" i="8"/>
  <c r="Y931" i="8"/>
  <c r="Y932" i="8"/>
  <c r="Y933" i="8"/>
  <c r="Y934" i="8"/>
  <c r="Y935" i="8"/>
  <c r="Y936" i="8"/>
  <c r="Y937" i="8"/>
  <c r="Y938" i="8"/>
  <c r="Y939" i="8"/>
  <c r="Y940" i="8"/>
  <c r="Y941" i="8"/>
  <c r="Y942" i="8"/>
  <c r="Y943" i="8"/>
  <c r="Y944" i="8"/>
  <c r="Y945" i="8"/>
  <c r="Y946" i="8"/>
  <c r="Y947" i="8"/>
  <c r="Y948" i="8"/>
  <c r="Y949" i="8"/>
  <c r="Y950" i="8"/>
  <c r="Y951" i="8"/>
  <c r="Y952" i="8"/>
  <c r="Y953" i="8"/>
  <c r="Y954" i="8"/>
  <c r="Y955" i="8"/>
  <c r="Y956" i="8"/>
  <c r="Y957" i="8"/>
  <c r="Y958" i="8"/>
  <c r="Y959" i="8"/>
  <c r="Y960" i="8"/>
  <c r="Y961" i="8"/>
  <c r="Y962" i="8"/>
  <c r="Y963" i="8"/>
  <c r="Y964" i="8"/>
  <c r="Y965" i="8"/>
  <c r="Y966" i="8"/>
  <c r="Y967" i="8"/>
  <c r="Y968" i="8"/>
  <c r="Y969" i="8"/>
  <c r="Y970" i="8"/>
  <c r="Y971" i="8"/>
  <c r="Y972" i="8"/>
  <c r="Y973" i="8"/>
  <c r="Y974" i="8"/>
  <c r="Y975" i="8"/>
  <c r="Y976" i="8"/>
  <c r="Y977" i="8"/>
  <c r="Y978" i="8"/>
  <c r="Y979" i="8"/>
  <c r="Y980" i="8"/>
  <c r="Y981" i="8"/>
  <c r="Y982" i="8"/>
  <c r="Y983" i="8"/>
  <c r="Y984" i="8"/>
  <c r="Y985" i="8"/>
  <c r="Y986" i="8"/>
  <c r="Y987" i="8"/>
  <c r="Y988" i="8"/>
  <c r="Y989" i="8"/>
  <c r="Y990" i="8"/>
  <c r="Y991" i="8"/>
  <c r="Y992" i="8"/>
  <c r="Y993" i="8"/>
  <c r="Y994" i="8"/>
  <c r="Y995" i="8"/>
  <c r="Y996" i="8"/>
  <c r="Y997" i="8"/>
  <c r="Y998" i="8"/>
  <c r="Y999" i="8"/>
  <c r="Y1000" i="8"/>
  <c r="Y1001" i="8"/>
  <c r="Y1002" i="8"/>
  <c r="Y1003" i="8"/>
  <c r="Y1004" i="8"/>
  <c r="Y1005" i="8"/>
  <c r="Y1006" i="8"/>
  <c r="Y1007" i="8"/>
  <c r="Y1008" i="8"/>
  <c r="Y1009" i="8"/>
  <c r="Y1010" i="8"/>
  <c r="Y1011" i="8"/>
  <c r="Y1012" i="8"/>
  <c r="Y1013" i="8"/>
  <c r="Y1014" i="8"/>
  <c r="Y1015" i="8"/>
  <c r="Y1016" i="8"/>
  <c r="Y1017" i="8"/>
  <c r="Y1018" i="8"/>
  <c r="Y1019" i="8"/>
  <c r="Y1020" i="8"/>
  <c r="Y1021" i="8"/>
  <c r="Y1022" i="8"/>
  <c r="Y1023" i="8"/>
  <c r="Y1024" i="8"/>
  <c r="Y1025" i="8"/>
  <c r="Y1026" i="8"/>
  <c r="Y1027" i="8"/>
  <c r="Y1028" i="8"/>
  <c r="Y1029" i="8"/>
  <c r="Y1030" i="8"/>
  <c r="Y1031" i="8"/>
  <c r="Y1032" i="8"/>
  <c r="Y1033" i="8"/>
  <c r="Y1034" i="8"/>
  <c r="Y1035" i="8"/>
  <c r="Y1036" i="8"/>
  <c r="Y1037" i="8"/>
  <c r="Y1038" i="8"/>
  <c r="Y1039" i="8"/>
  <c r="Y1040" i="8"/>
  <c r="Y1041" i="8"/>
  <c r="Y1042" i="8"/>
  <c r="Y1043" i="8"/>
  <c r="Y1044" i="8"/>
  <c r="Y1045" i="8"/>
  <c r="Y1046" i="8"/>
  <c r="Y1047" i="8"/>
  <c r="Y1048" i="8"/>
  <c r="Y1049" i="8"/>
  <c r="Y1050" i="8"/>
  <c r="Y1051" i="8"/>
  <c r="Y1052" i="8"/>
  <c r="Y1053" i="8"/>
  <c r="Y1054" i="8"/>
  <c r="Y1055" i="8"/>
  <c r="Y1056" i="8"/>
  <c r="Y1057" i="8"/>
  <c r="Y1058" i="8"/>
  <c r="Y1059" i="8"/>
  <c r="Y1060" i="8"/>
  <c r="Y1061" i="8"/>
  <c r="Y1062" i="8"/>
  <c r="Y1063" i="8"/>
  <c r="Y1064" i="8"/>
  <c r="Y1065" i="8"/>
  <c r="Y1066" i="8"/>
  <c r="Y1067" i="8"/>
  <c r="Y1068" i="8"/>
  <c r="Y1069" i="8"/>
  <c r="Y1070" i="8"/>
  <c r="Y1071" i="8"/>
  <c r="Y1072" i="8"/>
  <c r="Y1073" i="8"/>
  <c r="Y1074" i="8"/>
  <c r="Y1075" i="8"/>
  <c r="Y1076" i="8"/>
  <c r="Y1077" i="8"/>
  <c r="Y1078" i="8"/>
  <c r="Y1079" i="8"/>
  <c r="Y1080" i="8"/>
  <c r="Y1081" i="8"/>
  <c r="Y1082" i="8"/>
  <c r="Y1083" i="8"/>
  <c r="Y1084" i="8"/>
  <c r="Y1085" i="8"/>
  <c r="Y1086" i="8"/>
  <c r="Y1087" i="8"/>
  <c r="Y1088" i="8"/>
  <c r="Y1089" i="8"/>
  <c r="Y1090" i="8"/>
  <c r="Y1091" i="8"/>
  <c r="Y1092" i="8"/>
  <c r="Y1093" i="8"/>
  <c r="Y1094" i="8"/>
  <c r="Y1095" i="8"/>
  <c r="Y1096" i="8"/>
  <c r="Y1097" i="8"/>
  <c r="Y1098" i="8"/>
  <c r="Y1099" i="8"/>
  <c r="Y1100" i="8"/>
  <c r="Y1101" i="8"/>
  <c r="Y1102" i="8"/>
  <c r="Y1103" i="8"/>
  <c r="Y1104" i="8"/>
  <c r="Y1105" i="8"/>
  <c r="Y1106" i="8"/>
  <c r="Y1107" i="8"/>
  <c r="Y1108" i="8"/>
  <c r="Y1109" i="8"/>
  <c r="Y1110" i="8"/>
  <c r="Y1111" i="8"/>
  <c r="Y1112" i="8"/>
  <c r="Y1113" i="8"/>
  <c r="Y1114" i="8"/>
  <c r="Y1115" i="8"/>
  <c r="Y1116" i="8"/>
  <c r="Y1117" i="8"/>
  <c r="Y1118" i="8"/>
  <c r="Y1119" i="8"/>
  <c r="Y1120" i="8"/>
  <c r="Y1121" i="8"/>
  <c r="Y1122" i="8"/>
  <c r="Y1123" i="8"/>
  <c r="Y1124" i="8"/>
  <c r="Y1125" i="8"/>
  <c r="Y1126" i="8"/>
  <c r="Y1127" i="8"/>
  <c r="Y1128" i="8"/>
  <c r="Y1129" i="8"/>
  <c r="Y1130" i="8"/>
  <c r="Y1131" i="8"/>
  <c r="Y1132" i="8"/>
  <c r="Y1133" i="8"/>
  <c r="Y1134" i="8"/>
  <c r="Y1135" i="8"/>
  <c r="Y1136" i="8"/>
  <c r="Y1137" i="8"/>
  <c r="Y1138" i="8"/>
  <c r="Y1139" i="8"/>
  <c r="Y1140" i="8"/>
  <c r="Y1141" i="8"/>
  <c r="Y1142" i="8"/>
  <c r="Y1143" i="8"/>
  <c r="Y1144" i="8"/>
  <c r="Y1145" i="8"/>
  <c r="Y1146" i="8"/>
  <c r="Y1147" i="8"/>
  <c r="Y1148" i="8"/>
  <c r="Y1149" i="8"/>
  <c r="Y1150" i="8"/>
  <c r="Y1151" i="8"/>
  <c r="Y1152" i="8"/>
  <c r="Y1153" i="8"/>
  <c r="Y1154" i="8"/>
  <c r="Y1155" i="8"/>
  <c r="Y1156" i="8"/>
  <c r="Y1157" i="8"/>
  <c r="Y1158" i="8"/>
  <c r="Y1159" i="8"/>
  <c r="Y1160" i="8"/>
  <c r="Y1161" i="8"/>
  <c r="Y1162" i="8"/>
  <c r="Y1163" i="8"/>
  <c r="Y1164" i="8"/>
  <c r="Y1165" i="8"/>
  <c r="Y1166" i="8"/>
  <c r="Y1167" i="8"/>
  <c r="Y1168" i="8"/>
  <c r="Y1169" i="8"/>
  <c r="Y1170" i="8"/>
  <c r="Y1171" i="8"/>
  <c r="Y1172" i="8"/>
  <c r="Y1173" i="8"/>
  <c r="Y1174" i="8"/>
  <c r="Y1175" i="8"/>
  <c r="Y1176" i="8"/>
  <c r="Y1177" i="8"/>
  <c r="Y1178" i="8"/>
  <c r="Y1179" i="8"/>
  <c r="Y1180" i="8"/>
  <c r="Y1181" i="8"/>
  <c r="Y1182" i="8"/>
  <c r="Y1183" i="8"/>
  <c r="Y1184" i="8"/>
  <c r="Y1185" i="8"/>
  <c r="Y1186" i="8"/>
  <c r="Y1187" i="8"/>
  <c r="Y1188" i="8"/>
  <c r="Y1189" i="8"/>
  <c r="Y1190" i="8"/>
  <c r="Y1191" i="8"/>
  <c r="Y1192" i="8"/>
  <c r="Y1193" i="8"/>
  <c r="Y1194" i="8"/>
  <c r="Y1195" i="8"/>
  <c r="Y1196" i="8"/>
  <c r="Y1197" i="8"/>
  <c r="Y1198" i="8"/>
  <c r="Y1199" i="8"/>
  <c r="Y1200" i="8"/>
  <c r="Y1201" i="8"/>
  <c r="L29" i="7"/>
  <c r="L28" i="7"/>
  <c r="L27" i="7"/>
  <c r="K29" i="7"/>
  <c r="K28" i="7"/>
  <c r="K27" i="7"/>
  <c r="M10" i="9"/>
  <c r="I10" i="9"/>
  <c r="M11" i="9"/>
  <c r="I11" i="9"/>
  <c r="M12" i="9"/>
  <c r="M8" i="9"/>
  <c r="I12" i="9"/>
  <c r="M9" i="9"/>
  <c r="I9" i="9"/>
  <c r="I13" i="9"/>
  <c r="M27" i="7" l="1"/>
  <c r="M28" i="7"/>
  <c r="M2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426648-1D04-40F0-874C-3B12DCA5C1B1}"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5F4952C9-B0F4-4840-BE84-56B142931DF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CCD9E43A-5370-4191-972F-88DA14DC64F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4" xr16:uid="{7019DDCE-B4A5-49D8-92DF-4A4FB99B1285}" keepAlive="1" name="Query - raw" description="Connection to the 'raw' query in the workbook." type="5" refreshedVersion="0" background="1">
    <dbPr connection="Provider=Microsoft.Mashup.OleDb.1;Data Source=$Workbook$;Location=raw;Extended Properties=&quot;&quot;" command="SELECT * FROM [raw]"/>
  </connection>
  <connection id="5" xr16:uid="{90605209-606E-413B-808D-9C243BE4282B}" keepAlive="1" name="Query - raw (2)" description="Connection to the 'raw (2)' query in the workbook." type="5" refreshedVersion="8" background="1" saveData="1">
    <dbPr connection="Provider=Microsoft.Mashup.OleDb.1;Data Source=$Workbook$;Location=&quot;raw (2)&quot;;Extended Properties=&quot;&quot;" command="SELECT * FROM [raw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<sst xmlns="http://schemas.openxmlformats.org/spreadsheetml/2006/main" count="49199" uniqueCount="2181">
  <si>
    <t>customer_id</t>
  </si>
  <si>
    <t>customer_name</t>
  </si>
  <si>
    <t>gender</t>
  </si>
  <si>
    <t>city</t>
  </si>
  <si>
    <t>customer_segment</t>
  </si>
  <si>
    <t>CUST0001</t>
  </si>
  <si>
    <t>Dinda Utami</t>
  </si>
  <si>
    <t>Male</t>
  </si>
  <si>
    <t>Surabaya</t>
  </si>
  <si>
    <t>Bronze</t>
  </si>
  <si>
    <t>CUST0002</t>
  </si>
  <si>
    <t>Kevin Rizki Pangestu Mahendra</t>
  </si>
  <si>
    <t>Depok</t>
  </si>
  <si>
    <t>CUST0003</t>
  </si>
  <si>
    <t>Sania Maulana</t>
  </si>
  <si>
    <t>Gold</t>
  </si>
  <si>
    <t>CUST0004</t>
  </si>
  <si>
    <t>Nisa Salim</t>
  </si>
  <si>
    <t>CUST0005</t>
  </si>
  <si>
    <t>Kiki Galang Suryanto</t>
  </si>
  <si>
    <t>Bandung</t>
  </si>
  <si>
    <t>CUST0006</t>
  </si>
  <si>
    <t>Fauzan Utami</t>
  </si>
  <si>
    <t>Female</t>
  </si>
  <si>
    <t>Silver</t>
  </si>
  <si>
    <t>CUST0007</t>
  </si>
  <si>
    <t>Irene Dwi Prasetyo</t>
  </si>
  <si>
    <t>CUST0008</t>
  </si>
  <si>
    <t>Rani Handayani</t>
  </si>
  <si>
    <t>Solo</t>
  </si>
  <si>
    <t>CUST0009</t>
  </si>
  <si>
    <t>Mira Putri Pranoto Herlambang</t>
  </si>
  <si>
    <t>CUST0010</t>
  </si>
  <si>
    <t>Olivia Lestari</t>
  </si>
  <si>
    <t>CUST0011</t>
  </si>
  <si>
    <t>Indra Pranoto</t>
  </si>
  <si>
    <t>Semarang</t>
  </si>
  <si>
    <t>CUST0012</t>
  </si>
  <si>
    <t>Aulia Suryanto</t>
  </si>
  <si>
    <t>Jakarta</t>
  </si>
  <si>
    <t>CUST0013</t>
  </si>
  <si>
    <t>Dara Maulana</t>
  </si>
  <si>
    <t>CUST0014</t>
  </si>
  <si>
    <t>Alya Adi Hakim</t>
  </si>
  <si>
    <t>CUST0015</t>
  </si>
  <si>
    <t>Joko Kirana Siregar Iskandar</t>
  </si>
  <si>
    <t>Yogyakarta</t>
  </si>
  <si>
    <t>CUST0016</t>
  </si>
  <si>
    <t>Iqbal Mahendra</t>
  </si>
  <si>
    <t>CUST0017</t>
  </si>
  <si>
    <t>Bayu Putra Santoso Cahyani</t>
  </si>
  <si>
    <t>Bekasi</t>
  </si>
  <si>
    <t>CUST0018</t>
  </si>
  <si>
    <t>Febri Dian Wijaya</t>
  </si>
  <si>
    <t>CUST0019</t>
  </si>
  <si>
    <t>Bima Saputra</t>
  </si>
  <si>
    <t>Malang</t>
  </si>
  <si>
    <t>CUST0020</t>
  </si>
  <si>
    <t>Farah Rizal Permata</t>
  </si>
  <si>
    <t>CUST0021</t>
  </si>
  <si>
    <t>Taufik Putri</t>
  </si>
  <si>
    <t>CUST0022</t>
  </si>
  <si>
    <t>Aulia Kusnadi</t>
  </si>
  <si>
    <t>CUST0023</t>
  </si>
  <si>
    <t>Della Gunawan</t>
  </si>
  <si>
    <t>CUST0024</t>
  </si>
  <si>
    <t>Rafi Pangestu</t>
  </si>
  <si>
    <t>CUST0025</t>
  </si>
  <si>
    <t>Rian Pranoto</t>
  </si>
  <si>
    <t>CUST0026</t>
  </si>
  <si>
    <t>Taufik Rizal Susanto</t>
  </si>
  <si>
    <t>CUST0027</t>
  </si>
  <si>
    <t>Hanif Wibowo</t>
  </si>
  <si>
    <t>CUST0028</t>
  </si>
  <si>
    <t>Yani Kusnadi</t>
  </si>
  <si>
    <t>CUST0029</t>
  </si>
  <si>
    <t>Bayu Rizki Permadi</t>
  </si>
  <si>
    <t>CUST0030</t>
  </si>
  <si>
    <t>Ghani Herlambang</t>
  </si>
  <si>
    <t>CUST0031</t>
  </si>
  <si>
    <t>Gina Pratama</t>
  </si>
  <si>
    <t>CUST0032</t>
  </si>
  <si>
    <t>Aulia Raka Iskandar</t>
  </si>
  <si>
    <t>CUST0033</t>
  </si>
  <si>
    <t>Dimas Wijaya</t>
  </si>
  <si>
    <t>CUST0034</t>
  </si>
  <si>
    <t>Yudha Pratama</t>
  </si>
  <si>
    <t>CUST0035</t>
  </si>
  <si>
    <t>Clara Iskandar</t>
  </si>
  <si>
    <t>CUST0036</t>
  </si>
  <si>
    <t>Reza Laksono</t>
  </si>
  <si>
    <t>CUST0037</t>
  </si>
  <si>
    <t>Nisa Siregar</t>
  </si>
  <si>
    <t>CUST0038</t>
  </si>
  <si>
    <t>Putra Irawan</t>
  </si>
  <si>
    <t>CUST0039</t>
  </si>
  <si>
    <t>Raka Maulana</t>
  </si>
  <si>
    <t>CUST0040</t>
  </si>
  <si>
    <t>Celine Prasetyo</t>
  </si>
  <si>
    <t>CUST0041</t>
  </si>
  <si>
    <t>Umar Bintang Yuliani</t>
  </si>
  <si>
    <t>CUST0042</t>
  </si>
  <si>
    <t>Dania Pratama</t>
  </si>
  <si>
    <t>CUST0043</t>
  </si>
  <si>
    <t>Nanda Kirana Pratama</t>
  </si>
  <si>
    <t>CUST0044</t>
  </si>
  <si>
    <t>Mia Santoso</t>
  </si>
  <si>
    <t>CUST0045</t>
  </si>
  <si>
    <t>Danu Pangestu</t>
  </si>
  <si>
    <t>CUST0046</t>
  </si>
  <si>
    <t>Nanda Ayu Salim</t>
  </si>
  <si>
    <t>CUST0047</t>
  </si>
  <si>
    <t>Rafi Pratama</t>
  </si>
  <si>
    <t>CUST0048</t>
  </si>
  <si>
    <t>Julia Adi Wulandari</t>
  </si>
  <si>
    <t>CUST0049</t>
  </si>
  <si>
    <t>Ratih Putri Kusnadi</t>
  </si>
  <si>
    <t>CUST0050</t>
  </si>
  <si>
    <t>Sofyan Abdullah</t>
  </si>
  <si>
    <t>CUST0051</t>
  </si>
  <si>
    <t>Laura Laksono</t>
  </si>
  <si>
    <t>CUST0052</t>
  </si>
  <si>
    <t>Rizky Gunawan</t>
  </si>
  <si>
    <t>CUST0053</t>
  </si>
  <si>
    <t>Febri Gunawan</t>
  </si>
  <si>
    <t>CUST0054</t>
  </si>
  <si>
    <t>Daffa Raka Cahyani Hakim</t>
  </si>
  <si>
    <t>CUST0055</t>
  </si>
  <si>
    <t>Arif Kirana Setiawan</t>
  </si>
  <si>
    <t>CUST0056</t>
  </si>
  <si>
    <t>Nadia Rizal Pranoto</t>
  </si>
  <si>
    <t>CUST0057</t>
  </si>
  <si>
    <t>Andika Kirana Wardana</t>
  </si>
  <si>
    <t>CUST0058</t>
  </si>
  <si>
    <t>Amelia Lestari</t>
  </si>
  <si>
    <t>CUST0059</t>
  </si>
  <si>
    <t>Olivia Wardana</t>
  </si>
  <si>
    <t>Tangerang</t>
  </si>
  <si>
    <t>CUST0060</t>
  </si>
  <si>
    <t>Elang Wijaya</t>
  </si>
  <si>
    <t>CUST0061</t>
  </si>
  <si>
    <t>Salsa Kusnadi</t>
  </si>
  <si>
    <t>CUST0062</t>
  </si>
  <si>
    <t>Yudha Ayu Putri</t>
  </si>
  <si>
    <t>CUST0063</t>
  </si>
  <si>
    <t>Oki Setyawan</t>
  </si>
  <si>
    <t>CUST0064</t>
  </si>
  <si>
    <t>Nia Wibowo</t>
  </si>
  <si>
    <t>CUST0065</t>
  </si>
  <si>
    <t>Rosa Irawan</t>
  </si>
  <si>
    <t>CUST0066</t>
  </si>
  <si>
    <t>Yusuf Bintang Ningsih</t>
  </si>
  <si>
    <t>CUST0067</t>
  </si>
  <si>
    <t>Irene Adi Nugroho Hidayat</t>
  </si>
  <si>
    <t>CUST0068</t>
  </si>
  <si>
    <t>Rosa Mahendra</t>
  </si>
  <si>
    <t>CUST0069</t>
  </si>
  <si>
    <t>Della Pratama</t>
  </si>
  <si>
    <t>CUST0070</t>
  </si>
  <si>
    <t>Elsa Firmansyah</t>
  </si>
  <si>
    <t>CUST0071</t>
  </si>
  <si>
    <t>Gina Putri Ananda</t>
  </si>
  <si>
    <t>CUST0072</t>
  </si>
  <si>
    <t>Bayu Sari Ramadhan</t>
  </si>
  <si>
    <t>CUST0073</t>
  </si>
  <si>
    <t>Kiki Anjani Prasetyo Wijaya</t>
  </si>
  <si>
    <t>CUST0074</t>
  </si>
  <si>
    <t>Farah Dian Santoso</t>
  </si>
  <si>
    <t>CUST0075</t>
  </si>
  <si>
    <t>Gina Mahendra</t>
  </si>
  <si>
    <t>CUST0076</t>
  </si>
  <si>
    <t>Hana Bayu Ananda</t>
  </si>
  <si>
    <t>CUST0077</t>
  </si>
  <si>
    <t>Sinta Bayu Setyawan</t>
  </si>
  <si>
    <t>CUST0078</t>
  </si>
  <si>
    <t>Ganesha Putri</t>
  </si>
  <si>
    <t>CUST0079</t>
  </si>
  <si>
    <t>Joko Kusuma</t>
  </si>
  <si>
    <t>CUST0080</t>
  </si>
  <si>
    <t>Anisa Kirana Maulana</t>
  </si>
  <si>
    <t>CUST0081</t>
  </si>
  <si>
    <t>Sofyan Dwi Siregar</t>
  </si>
  <si>
    <t>CUST0082</t>
  </si>
  <si>
    <t>Wawan Prasetyo</t>
  </si>
  <si>
    <t>CUST0083</t>
  </si>
  <si>
    <t>Indah Fajar Pratama</t>
  </si>
  <si>
    <t>CUST0084</t>
  </si>
  <si>
    <t>Vera Pratama</t>
  </si>
  <si>
    <t>CUST0085</t>
  </si>
  <si>
    <t>Rian Ramadhan</t>
  </si>
  <si>
    <t>CUST0086</t>
  </si>
  <si>
    <t>Arman Ayu Maulana</t>
  </si>
  <si>
    <t>CUST0087</t>
  </si>
  <si>
    <t>Naufal Firmansyah</t>
  </si>
  <si>
    <t>CUST0088</t>
  </si>
  <si>
    <t>Nisa Bayu Kusnadi</t>
  </si>
  <si>
    <t>CUST0089</t>
  </si>
  <si>
    <t>Gina Siregar</t>
  </si>
  <si>
    <t>CUST0090</t>
  </si>
  <si>
    <t>Bayu Kusnadi</t>
  </si>
  <si>
    <t>CUST0091</t>
  </si>
  <si>
    <t>Ratih Wardana</t>
  </si>
  <si>
    <t>CUST0092</t>
  </si>
  <si>
    <t>Alya Abdullah</t>
  </si>
  <si>
    <t>CUST0093</t>
  </si>
  <si>
    <t>Oki Putra Rahman</t>
  </si>
  <si>
    <t>CUST0094</t>
  </si>
  <si>
    <t>Rara Pranoto</t>
  </si>
  <si>
    <t>CUST0095</t>
  </si>
  <si>
    <t>Tiara Naufal Lestari</t>
  </si>
  <si>
    <t>CUST0096</t>
  </si>
  <si>
    <t>Gita Santoso</t>
  </si>
  <si>
    <t>CUST0097</t>
  </si>
  <si>
    <t>Dinda Salim</t>
  </si>
  <si>
    <t>CUST0098</t>
  </si>
  <si>
    <t>Iqbal Wibowo</t>
  </si>
  <si>
    <t>CUST0099</t>
  </si>
  <si>
    <t>Naufal Bintang Anggraini Wibowo</t>
  </si>
  <si>
    <t>CUST0100</t>
  </si>
  <si>
    <t>Ardi Wibowo</t>
  </si>
  <si>
    <t>CUST0101</t>
  </si>
  <si>
    <t>Alya Salim</t>
  </si>
  <si>
    <t>CUST0102</t>
  </si>
  <si>
    <t>Melati Aulia Purnama</t>
  </si>
  <si>
    <t>CUST0103</t>
  </si>
  <si>
    <t>Julia Citra Kusuma Lestari</t>
  </si>
  <si>
    <t>CUST0104</t>
  </si>
  <si>
    <t>Sari Yuliani</t>
  </si>
  <si>
    <t>CUST0105</t>
  </si>
  <si>
    <t>Yusuf Putri Mulyadi Fauzi</t>
  </si>
  <si>
    <t>CUST0106</t>
  </si>
  <si>
    <t>Aditya Naufal Hidayat</t>
  </si>
  <si>
    <t>CUST0107</t>
  </si>
  <si>
    <t>Indra Kurnia</t>
  </si>
  <si>
    <t>CUST0108</t>
  </si>
  <si>
    <t>Surya Kusuma</t>
  </si>
  <si>
    <t>CUST0109</t>
  </si>
  <si>
    <t>Irfan Raka Salim</t>
  </si>
  <si>
    <t>CUST0110</t>
  </si>
  <si>
    <t>Tania Abdullah</t>
  </si>
  <si>
    <t>CUST0111</t>
  </si>
  <si>
    <t>Rosa Wijaya</t>
  </si>
  <si>
    <t>CUST0112</t>
  </si>
  <si>
    <t>Putra Maulana</t>
  </si>
  <si>
    <t>CUST0113</t>
  </si>
  <si>
    <t>Adit Kirana Pranoto</t>
  </si>
  <si>
    <t>CUST0114</t>
  </si>
  <si>
    <t>Cahya Dwi Anggraini Iskandar</t>
  </si>
  <si>
    <t>CUST0115</t>
  </si>
  <si>
    <t>Niko Iskandar</t>
  </si>
  <si>
    <t>CUST0116</t>
  </si>
  <si>
    <t>Oscar Rizki Suryanto</t>
  </si>
  <si>
    <t>CUST0117</t>
  </si>
  <si>
    <t>Mira Nur Prasetyo</t>
  </si>
  <si>
    <t>CUST0118</t>
  </si>
  <si>
    <t>Rosa Setiawan</t>
  </si>
  <si>
    <t>CUST0119</t>
  </si>
  <si>
    <t>Fadli Rahman</t>
  </si>
  <si>
    <t>CUST0120</t>
  </si>
  <si>
    <t>Intan Putri Wardana Rahman</t>
  </si>
  <si>
    <t>CUST0121</t>
  </si>
  <si>
    <t>Kevin Wulandari</t>
  </si>
  <si>
    <t>CUST0122</t>
  </si>
  <si>
    <t>Surya Setyawan</t>
  </si>
  <si>
    <t>CUST0123</t>
  </si>
  <si>
    <t>Anisa Anjani Prasetyo Santoso</t>
  </si>
  <si>
    <t>CUST0124</t>
  </si>
  <si>
    <t>Oscar Dian Wardana Laksono</t>
  </si>
  <si>
    <t>CUST0125</t>
  </si>
  <si>
    <t>Fauzan Siregar</t>
  </si>
  <si>
    <t>CUST0126</t>
  </si>
  <si>
    <t>Rara Raka Anggraini Kurniawan</t>
  </si>
  <si>
    <t>CUST0127</t>
  </si>
  <si>
    <t>Iqbal Ramadhan</t>
  </si>
  <si>
    <t>CUST0128</t>
  </si>
  <si>
    <t>Dara Naufal Kurniawan</t>
  </si>
  <si>
    <t>CUST0129</t>
  </si>
  <si>
    <t>Elisa Sari Putri Pratama</t>
  </si>
  <si>
    <t>CUST0130</t>
  </si>
  <si>
    <t>Satria Dian Ramadhan</t>
  </si>
  <si>
    <t>CUST0131</t>
  </si>
  <si>
    <t>Dania Siregar</t>
  </si>
  <si>
    <t>CUST0132</t>
  </si>
  <si>
    <t>Putra Bayu Iskandar Susanto</t>
  </si>
  <si>
    <t>CUST0133</t>
  </si>
  <si>
    <t>Sheila Irawan</t>
  </si>
  <si>
    <t>CUST0134</t>
  </si>
  <si>
    <t>Vania Dwi Santoso</t>
  </si>
  <si>
    <t>CUST0135</t>
  </si>
  <si>
    <t>Kiki Ramadhan</t>
  </si>
  <si>
    <t>CUST0136</t>
  </si>
  <si>
    <t>Naufal Bayu Kusnadi</t>
  </si>
  <si>
    <t>CUST0137</t>
  </si>
  <si>
    <t>Dara Susanto</t>
  </si>
  <si>
    <t>CUST0138</t>
  </si>
  <si>
    <t>Gita Suryanto</t>
  </si>
  <si>
    <t>CUST0139</t>
  </si>
  <si>
    <t>Dania Galang Rahman Hakim</t>
  </si>
  <si>
    <t>CUST0140</t>
  </si>
  <si>
    <t>Rizky Naufal Ananda</t>
  </si>
  <si>
    <t>CUST0141</t>
  </si>
  <si>
    <t>Andika Suryani</t>
  </si>
  <si>
    <t>CUST0142</t>
  </si>
  <si>
    <t>Agung Nur Pranoto</t>
  </si>
  <si>
    <t>CUST0143</t>
  </si>
  <si>
    <t>Aisyah Lestari</t>
  </si>
  <si>
    <t>CUST0144</t>
  </si>
  <si>
    <t>Nabila Aulia Handayani Rahman</t>
  </si>
  <si>
    <t>CUST0145</t>
  </si>
  <si>
    <t>Satria Fajar Pangestu</t>
  </si>
  <si>
    <t>CUST0146</t>
  </si>
  <si>
    <t>Vera Adi Putri</t>
  </si>
  <si>
    <t>CUST0147</t>
  </si>
  <si>
    <t>Yusuf Laksono</t>
  </si>
  <si>
    <t>CUST0148</t>
  </si>
  <si>
    <t>Rani Bayu Permata</t>
  </si>
  <si>
    <t>CUST0149</t>
  </si>
  <si>
    <t>Yudha Abdullah</t>
  </si>
  <si>
    <t>CUST0150</t>
  </si>
  <si>
    <t>Clara Prasetyo</t>
  </si>
  <si>
    <t>CUST0151</t>
  </si>
  <si>
    <t>Dimas Nur Permadi</t>
  </si>
  <si>
    <t>CUST0152</t>
  </si>
  <si>
    <t>Rara Purnama</t>
  </si>
  <si>
    <t>CUST0153</t>
  </si>
  <si>
    <t>Ghani Rizal Permadi</t>
  </si>
  <si>
    <t>CUST0154</t>
  </si>
  <si>
    <t>Arif Naufal Gunawan</t>
  </si>
  <si>
    <t>CUST0155</t>
  </si>
  <si>
    <t>Julia Dian Maulana</t>
  </si>
  <si>
    <t>CUST0156</t>
  </si>
  <si>
    <t>Joko Aulia Ramadhan</t>
  </si>
  <si>
    <t>CUST0157</t>
  </si>
  <si>
    <t>Rosa Rizki Firmansyah</t>
  </si>
  <si>
    <t>CUST0158</t>
  </si>
  <si>
    <t>Salsa Dwi Ananda</t>
  </si>
  <si>
    <t>CUST0159</t>
  </si>
  <si>
    <t>Nadia Sari Suryanto</t>
  </si>
  <si>
    <t>CUST0160</t>
  </si>
  <si>
    <t>Taufik Firmansyah</t>
  </si>
  <si>
    <t>CUST0161</t>
  </si>
  <si>
    <t>Agung Nur Wijaya</t>
  </si>
  <si>
    <t>CUST0162</t>
  </si>
  <si>
    <t>Fadli Kirana Mulyadi</t>
  </si>
  <si>
    <t>CUST0163</t>
  </si>
  <si>
    <t>Arman Ayu Prasetyo</t>
  </si>
  <si>
    <t>CUST0164</t>
  </si>
  <si>
    <t>Yoga Dwi Mulyadi Iskandar</t>
  </si>
  <si>
    <t>CUST0165</t>
  </si>
  <si>
    <t>Rafi Adi Mulyadi</t>
  </si>
  <si>
    <t>CUST0166</t>
  </si>
  <si>
    <t>Putra Kusuma</t>
  </si>
  <si>
    <t>CUST0167</t>
  </si>
  <si>
    <t>Hafiz Citra Iskandar</t>
  </si>
  <si>
    <t>CUST0168</t>
  </si>
  <si>
    <t>Ghani Ramadhan</t>
  </si>
  <si>
    <t>CUST0169</t>
  </si>
  <si>
    <t>Fauzan Citra Pangestu</t>
  </si>
  <si>
    <t>CUST0170</t>
  </si>
  <si>
    <t>Rosa Dwi Laksono Wulandari</t>
  </si>
  <si>
    <t>CUST0171</t>
  </si>
  <si>
    <t>Aulia Citra Kusuma Cahyani</t>
  </si>
  <si>
    <t>CUST0172</t>
  </si>
  <si>
    <t>Miko Anjani Wulandari</t>
  </si>
  <si>
    <t>CUST0173</t>
  </si>
  <si>
    <t>Fauzan Naufal Firmansyah Purnama</t>
  </si>
  <si>
    <t>CUST0174</t>
  </si>
  <si>
    <t>Daffa Dian Irawan Permadi</t>
  </si>
  <si>
    <t>CUST0175</t>
  </si>
  <si>
    <t>Adit Adi Pranoto</t>
  </si>
  <si>
    <t>CUST0176</t>
  </si>
  <si>
    <t>Lina Lestari</t>
  </si>
  <si>
    <t>CUST0177</t>
  </si>
  <si>
    <t>Nadia Ramadhan</t>
  </si>
  <si>
    <t>CUST0178</t>
  </si>
  <si>
    <t>Febri Dwi Mulyadi</t>
  </si>
  <si>
    <t>CUST0179</t>
  </si>
  <si>
    <t>Alya Anggraini</t>
  </si>
  <si>
    <t>CUST0180</t>
  </si>
  <si>
    <t>Wawan Permadi</t>
  </si>
  <si>
    <t>CUST0181</t>
  </si>
  <si>
    <t>Oki Gunawan</t>
  </si>
  <si>
    <t>CUST0182</t>
  </si>
  <si>
    <t>Nabila Galang Wardana</t>
  </si>
  <si>
    <t>CUST0183</t>
  </si>
  <si>
    <t>Ganesha Ananda</t>
  </si>
  <si>
    <t>CUST0184</t>
  </si>
  <si>
    <t>Fikri Utami</t>
  </si>
  <si>
    <t>CUST0185</t>
  </si>
  <si>
    <t>Iqbal Permata</t>
  </si>
  <si>
    <t>CUST0186</t>
  </si>
  <si>
    <t>Deni Adi Irawan Nugroho</t>
  </si>
  <si>
    <t>CUST0187</t>
  </si>
  <si>
    <t>Andika Firmansyah</t>
  </si>
  <si>
    <t>CUST0188</t>
  </si>
  <si>
    <t>Arman Suryani</t>
  </si>
  <si>
    <t>CUST0189</t>
  </si>
  <si>
    <t>Adit Setyawan</t>
  </si>
  <si>
    <t>CUST0190</t>
  </si>
  <si>
    <t>Irene Putra Nugroho</t>
  </si>
  <si>
    <t>CUST0191</t>
  </si>
  <si>
    <t>Melati Rizal Cahyani</t>
  </si>
  <si>
    <t>CUST0192</t>
  </si>
  <si>
    <t>Danu Raka Santoso</t>
  </si>
  <si>
    <t>CUST0193</t>
  </si>
  <si>
    <t>Rizky Herlambang</t>
  </si>
  <si>
    <t>CUST0194</t>
  </si>
  <si>
    <t>Olivia Fajar Rahman</t>
  </si>
  <si>
    <t>CUST0195</t>
  </si>
  <si>
    <t>Febri Sari Nugroho</t>
  </si>
  <si>
    <t>CUST0196</t>
  </si>
  <si>
    <t>Clara Anggraini</t>
  </si>
  <si>
    <t>CUST0197</t>
  </si>
  <si>
    <t>Putri Siregar</t>
  </si>
  <si>
    <t>CUST0198</t>
  </si>
  <si>
    <t>Fajar Cahyani</t>
  </si>
  <si>
    <t>CUST0199</t>
  </si>
  <si>
    <t>Rizal Rizki Wulandari</t>
  </si>
  <si>
    <t>CUST0200</t>
  </si>
  <si>
    <t>Irfan Fajar Prasetyo</t>
  </si>
  <si>
    <t>CUST0201</t>
  </si>
  <si>
    <t>Doni Kirana Permata</t>
  </si>
  <si>
    <t>CUST0202</t>
  </si>
  <si>
    <t>Laras Hidayat</t>
  </si>
  <si>
    <t>CUST0203</t>
  </si>
  <si>
    <t>Zahra Nugroho</t>
  </si>
  <si>
    <t>CUST0204</t>
  </si>
  <si>
    <t>Laura Saputra</t>
  </si>
  <si>
    <t>CUST0205</t>
  </si>
  <si>
    <t>Rani Yuliani</t>
  </si>
  <si>
    <t>CUST0206</t>
  </si>
  <si>
    <t>Aisyah Naufal Herlambang</t>
  </si>
  <si>
    <t>CUST0207</t>
  </si>
  <si>
    <t>Aisyah Setyawan</t>
  </si>
  <si>
    <t>CUST0208</t>
  </si>
  <si>
    <t>Fauzan Mulyadi</t>
  </si>
  <si>
    <t>CUST0209</t>
  </si>
  <si>
    <t>Laura Anjani Prasetyo</t>
  </si>
  <si>
    <t>CUST0210</t>
  </si>
  <si>
    <t>Fajar Iskandar</t>
  </si>
  <si>
    <t>CUST0211</t>
  </si>
  <si>
    <t>Ganesha Anggraini</t>
  </si>
  <si>
    <t>CUST0212</t>
  </si>
  <si>
    <t>Rosa Kirana Pranoto Purnama</t>
  </si>
  <si>
    <t>CUST0213</t>
  </si>
  <si>
    <t>Raka Siregar</t>
  </si>
  <si>
    <t>CUST0214</t>
  </si>
  <si>
    <t>Nisa Citra Salim</t>
  </si>
  <si>
    <t>CUST0215</t>
  </si>
  <si>
    <t>Karina Putri Suryanto</t>
  </si>
  <si>
    <t>CUST0216</t>
  </si>
  <si>
    <t>Rara Naufal Pratama</t>
  </si>
  <si>
    <t>CUST0217</t>
  </si>
  <si>
    <t>Kania Gunawan</t>
  </si>
  <si>
    <t>CUST0218</t>
  </si>
  <si>
    <t>Zahra Raka Salim Nugroho</t>
  </si>
  <si>
    <t>CUST0219</t>
  </si>
  <si>
    <t>Laura Dian Permadi</t>
  </si>
  <si>
    <t>CUST0220</t>
  </si>
  <si>
    <t>Rosa Naufal Nugroho</t>
  </si>
  <si>
    <t>CUST0221</t>
  </si>
  <si>
    <t>Fadli Dwi Hakim</t>
  </si>
  <si>
    <t>CUST0222</t>
  </si>
  <si>
    <t>Putri Ananda</t>
  </si>
  <si>
    <t>CUST0223</t>
  </si>
  <si>
    <t>Rizal Bintang Kurniawan</t>
  </si>
  <si>
    <t>CUST0224</t>
  </si>
  <si>
    <t>Hanif Ningsih</t>
  </si>
  <si>
    <t>CUST0225</t>
  </si>
  <si>
    <t>Yusuf Bintang Wibowo</t>
  </si>
  <si>
    <t>CUST0226</t>
  </si>
  <si>
    <t>Raka Naufal Kusuma</t>
  </si>
  <si>
    <t>CUST0227</t>
  </si>
  <si>
    <t>Satria Hakim</t>
  </si>
  <si>
    <t>CUST0228</t>
  </si>
  <si>
    <t>Bima Wardana</t>
  </si>
  <si>
    <t>CUST0229</t>
  </si>
  <si>
    <t>Dania Bintang Suryani</t>
  </si>
  <si>
    <t>CUST0230</t>
  </si>
  <si>
    <t>Tiara Citra Wulandari</t>
  </si>
  <si>
    <t>CUST0231</t>
  </si>
  <si>
    <t>Agung Hidayat</t>
  </si>
  <si>
    <t>CUST0232</t>
  </si>
  <si>
    <t>Fauzan Rizki Saputra</t>
  </si>
  <si>
    <t>CUST0233</t>
  </si>
  <si>
    <t>Mia Herlambang</t>
  </si>
  <si>
    <t>CUST0234</t>
  </si>
  <si>
    <t>Doni Anjani Suryani</t>
  </si>
  <si>
    <t>CUST0235</t>
  </si>
  <si>
    <t>Bella Fajar Salim Kusuma</t>
  </si>
  <si>
    <t>CUST0236</t>
  </si>
  <si>
    <t>Amelia Laksono</t>
  </si>
  <si>
    <t>CUST0237</t>
  </si>
  <si>
    <t>Celine Naufal Pranoto</t>
  </si>
  <si>
    <t>CUST0238</t>
  </si>
  <si>
    <t>Aulia Rizal Anggraini</t>
  </si>
  <si>
    <t>CUST0239</t>
  </si>
  <si>
    <t>Ratih Wibowo</t>
  </si>
  <si>
    <t>CUST0240</t>
  </si>
  <si>
    <t>Oscar Fauzi</t>
  </si>
  <si>
    <t>CUST0241</t>
  </si>
  <si>
    <t>Salsa Fajar Maulana Putri</t>
  </si>
  <si>
    <t>CUST0242</t>
  </si>
  <si>
    <t>Doni Irawan</t>
  </si>
  <si>
    <t>CUST0243</t>
  </si>
  <si>
    <t>Karina Rahman</t>
  </si>
  <si>
    <t>CUST0244</t>
  </si>
  <si>
    <t>Sheila Rizki Setiawan</t>
  </si>
  <si>
    <t>CUST0245</t>
  </si>
  <si>
    <t>Dinda Kirana Laksono</t>
  </si>
  <si>
    <t>CUST0246</t>
  </si>
  <si>
    <t>Rafi Utami</t>
  </si>
  <si>
    <t>CUST0247</t>
  </si>
  <si>
    <t>Miko Ayu Wijaya</t>
  </si>
  <si>
    <t>CUST0248</t>
  </si>
  <si>
    <t>Oscar Saputra</t>
  </si>
  <si>
    <t>CUST0249</t>
  </si>
  <si>
    <t>Intan Citra Kusnadi</t>
  </si>
  <si>
    <t>CUST0250</t>
  </si>
  <si>
    <t>Andika Saputra</t>
  </si>
  <si>
    <t>CUST0251</t>
  </si>
  <si>
    <t>Ratih Abdullah</t>
  </si>
  <si>
    <t>CUST0252</t>
  </si>
  <si>
    <t>Kania Prasetyo</t>
  </si>
  <si>
    <t>CUST0253</t>
  </si>
  <si>
    <t>Bella Naufal Nugroho</t>
  </si>
  <si>
    <t>CUST0254</t>
  </si>
  <si>
    <t>Reza Kusnadi</t>
  </si>
  <si>
    <t>CUST0255</t>
  </si>
  <si>
    <t>Dimas Cahyani</t>
  </si>
  <si>
    <t>CUST0256</t>
  </si>
  <si>
    <t>Sofyan Raka Anggraini</t>
  </si>
  <si>
    <t>CUST0257</t>
  </si>
  <si>
    <t>Yoga Ayu Putri</t>
  </si>
  <si>
    <t>CUST0258</t>
  </si>
  <si>
    <t>Vina Laksono</t>
  </si>
  <si>
    <t>CUST0259</t>
  </si>
  <si>
    <t>Julia Bayu Fauzi</t>
  </si>
  <si>
    <t>CUST0260</t>
  </si>
  <si>
    <t>Julia Irawan</t>
  </si>
  <si>
    <t>CUST0261</t>
  </si>
  <si>
    <t>Putri Adi Prasetyo</t>
  </si>
  <si>
    <t>CUST0262</t>
  </si>
  <si>
    <t>Ghani Fajar Wijaya</t>
  </si>
  <si>
    <t>CUST0263</t>
  </si>
  <si>
    <t>Laura Adi Saputra</t>
  </si>
  <si>
    <t>CUST0264</t>
  </si>
  <si>
    <t>Salsa Gunawan</t>
  </si>
  <si>
    <t>CUST0265</t>
  </si>
  <si>
    <t>Melati Putri</t>
  </si>
  <si>
    <t>CUST0266</t>
  </si>
  <si>
    <t>Dinda Nur Saputra</t>
  </si>
  <si>
    <t>CUST0267</t>
  </si>
  <si>
    <t>Eka Herlambang</t>
  </si>
  <si>
    <t>CUST0268</t>
  </si>
  <si>
    <t>Hana Kurniawan</t>
  </si>
  <si>
    <t>CUST0269</t>
  </si>
  <si>
    <t>Joko Firmansyah</t>
  </si>
  <si>
    <t>CUST0270</t>
  </si>
  <si>
    <t>Amelia Mulyadi</t>
  </si>
  <si>
    <t>CUST0271</t>
  </si>
  <si>
    <t>Dania Nur Siregar</t>
  </si>
  <si>
    <t>CUST0272</t>
  </si>
  <si>
    <t>Jihan Anjani Handayani</t>
  </si>
  <si>
    <t>CUST0273</t>
  </si>
  <si>
    <t>Oki Adi Pratama Lestari</t>
  </si>
  <si>
    <t>CUST0274</t>
  </si>
  <si>
    <t>Nadia Kirana Mahendra</t>
  </si>
  <si>
    <t>CUST0275</t>
  </si>
  <si>
    <t>Siska Adi Kurnia</t>
  </si>
  <si>
    <t>CUST0276</t>
  </si>
  <si>
    <t>Raka Nur Anggraini</t>
  </si>
  <si>
    <t>CUST0277</t>
  </si>
  <si>
    <t>Sofyan Ayu Fauzi</t>
  </si>
  <si>
    <t>CUST0278</t>
  </si>
  <si>
    <t>Gina Bintang Setiawan Pratama</t>
  </si>
  <si>
    <t>CUST0279</t>
  </si>
  <si>
    <t>Rafi Laksono</t>
  </si>
  <si>
    <t>CUST0280</t>
  </si>
  <si>
    <t>Miko Aulia Susanto Wulandari</t>
  </si>
  <si>
    <t>CUST0281</t>
  </si>
  <si>
    <t>Ratih Irawan</t>
  </si>
  <si>
    <t>CUST0282</t>
  </si>
  <si>
    <t>Rian Hakim</t>
  </si>
  <si>
    <t>CUST0283</t>
  </si>
  <si>
    <t>Arman Adi Kurnia Herlambang</t>
  </si>
  <si>
    <t>CUST0284</t>
  </si>
  <si>
    <t>Putri Rizal Saputra</t>
  </si>
  <si>
    <t>CUST0285</t>
  </si>
  <si>
    <t>Bella Raka Wijaya</t>
  </si>
  <si>
    <t>CUST0286</t>
  </si>
  <si>
    <t>Dara Irawan</t>
  </si>
  <si>
    <t>CUST0287</t>
  </si>
  <si>
    <t>Siska Nur Wardana</t>
  </si>
  <si>
    <t>CUST0288</t>
  </si>
  <si>
    <t>Olivia Kusnadi</t>
  </si>
  <si>
    <t>CUST0289</t>
  </si>
  <si>
    <t>Irfan Sari Fauzi Setiawan</t>
  </si>
  <si>
    <t>CUST0290</t>
  </si>
  <si>
    <t>Putri Nur Saputra</t>
  </si>
  <si>
    <t>CUST0291</t>
  </si>
  <si>
    <t>Bima Dian Utami Purnama</t>
  </si>
  <si>
    <t>CUST0292</t>
  </si>
  <si>
    <t>Andika Mahendra</t>
  </si>
  <si>
    <t>CUST0293</t>
  </si>
  <si>
    <t>Olivia Rizal Maulana</t>
  </si>
  <si>
    <t>CUST0294</t>
  </si>
  <si>
    <t>Febri Kusuma</t>
  </si>
  <si>
    <t>CUST0295</t>
  </si>
  <si>
    <t>Mira Handayani</t>
  </si>
  <si>
    <t>CUST0296</t>
  </si>
  <si>
    <t>Doni Wibowo</t>
  </si>
  <si>
    <t>CUST0297</t>
  </si>
  <si>
    <t>Wahyu Putri Wulandari Wijaya</t>
  </si>
  <si>
    <t>CUST0298</t>
  </si>
  <si>
    <t>Dania Kurniawan</t>
  </si>
  <si>
    <t>CUST0299</t>
  </si>
  <si>
    <t>Fadli Sari Cahyani</t>
  </si>
  <si>
    <t>CUST0300</t>
  </si>
  <si>
    <t>Bayu Rizal Wardana</t>
  </si>
  <si>
    <t>CUST0301</t>
  </si>
  <si>
    <t>Iqbal Naufal Irawan</t>
  </si>
  <si>
    <t>CUST0302</t>
  </si>
  <si>
    <t>Alya Adi Wibowo</t>
  </si>
  <si>
    <t>CUST0303</t>
  </si>
  <si>
    <t>Laras Adi Hakim</t>
  </si>
  <si>
    <t>CUST0304</t>
  </si>
  <si>
    <t>Elsa Adi Yuliani</t>
  </si>
  <si>
    <t>CUST0305</t>
  </si>
  <si>
    <t>Raka Utami</t>
  </si>
  <si>
    <t>CUST0306</t>
  </si>
  <si>
    <t>Mia Aulia Ningsih</t>
  </si>
  <si>
    <t>CUST0307</t>
  </si>
  <si>
    <t>Karina Adi Kurnia</t>
  </si>
  <si>
    <t>CUST0308</t>
  </si>
  <si>
    <t>Irfan Mahendra</t>
  </si>
  <si>
    <t>CUST0309</t>
  </si>
  <si>
    <t>Cahya Bintang Kurnia</t>
  </si>
  <si>
    <t>CUST0310</t>
  </si>
  <si>
    <t>Sheila Bayu Kusnadi</t>
  </si>
  <si>
    <t>CUST0311</t>
  </si>
  <si>
    <t>Fikri Herlambang</t>
  </si>
  <si>
    <t>CUST0312</t>
  </si>
  <si>
    <t>Elisa Salim</t>
  </si>
  <si>
    <t>CUST0313</t>
  </si>
  <si>
    <t>Yoga Raka Kusuma</t>
  </si>
  <si>
    <t>CUST0314</t>
  </si>
  <si>
    <t>Dewi Utami</t>
  </si>
  <si>
    <t>CUST0315</t>
  </si>
  <si>
    <t>Olivia Naufal Wardana</t>
  </si>
  <si>
    <t>CUST0316</t>
  </si>
  <si>
    <t>Wahyu Handayani</t>
  </si>
  <si>
    <t>CUST0317</t>
  </si>
  <si>
    <t>Elang Hidayat</t>
  </si>
  <si>
    <t>CUST0318</t>
  </si>
  <si>
    <t>Sheila Hidayat</t>
  </si>
  <si>
    <t>CUST0319</t>
  </si>
  <si>
    <t>Nadia Permata</t>
  </si>
  <si>
    <t>CUST0320</t>
  </si>
  <si>
    <t>Ratih Sari Rahman</t>
  </si>
  <si>
    <t>CUST0321</t>
  </si>
  <si>
    <t>Ghani Galang Mulyadi</t>
  </si>
  <si>
    <t>CUST0322</t>
  </si>
  <si>
    <t>Oki Anjani Rahman</t>
  </si>
  <si>
    <t>CUST0323</t>
  </si>
  <si>
    <t>Oscar Bintang Maulana</t>
  </si>
  <si>
    <t>CUST0324</t>
  </si>
  <si>
    <t>Sinta Cahyani</t>
  </si>
  <si>
    <t>CUST0325</t>
  </si>
  <si>
    <t>Gina Sari Ningsih Putri</t>
  </si>
  <si>
    <t>CUST0326</t>
  </si>
  <si>
    <t>Yusuf Fauzi</t>
  </si>
  <si>
    <t>CUST0327</t>
  </si>
  <si>
    <t>Niko Rahman</t>
  </si>
  <si>
    <t>CUST0328</t>
  </si>
  <si>
    <t>Rara Raka Fauzi Pangestu</t>
  </si>
  <si>
    <t>CUST0329</t>
  </si>
  <si>
    <t>Amelia Bintang Susanto Lestari</t>
  </si>
  <si>
    <t>CUST0330</t>
  </si>
  <si>
    <t>Bagas Fauzi</t>
  </si>
  <si>
    <t>CUST0331</t>
  </si>
  <si>
    <t>Daffa Rizal Suryanto Wardana</t>
  </si>
  <si>
    <t>CUST0332</t>
  </si>
  <si>
    <t>Rizky Hidayat</t>
  </si>
  <si>
    <t>CUST0333</t>
  </si>
  <si>
    <t>Farah Hidayat</t>
  </si>
  <si>
    <t>CUST0334</t>
  </si>
  <si>
    <t>Hana Sari Fauzi Permadi</t>
  </si>
  <si>
    <t>CUST0335</t>
  </si>
  <si>
    <t>Della Santoso</t>
  </si>
  <si>
    <t>CUST0336</t>
  </si>
  <si>
    <t>Elsa Ramadhan</t>
  </si>
  <si>
    <t>CUST0337</t>
  </si>
  <si>
    <t>Dara Bayu Prasetyo</t>
  </si>
  <si>
    <t>CUST0338</t>
  </si>
  <si>
    <t>Celine Fauzi</t>
  </si>
  <si>
    <t>CUST0339</t>
  </si>
  <si>
    <t>Satria Pranoto</t>
  </si>
  <si>
    <t>CUST0340</t>
  </si>
  <si>
    <t>Elsa Mulyadi</t>
  </si>
  <si>
    <t>CUST0341</t>
  </si>
  <si>
    <t>Agung Kirana Maulana</t>
  </si>
  <si>
    <t>CUST0342</t>
  </si>
  <si>
    <t>Aditya Anggraini</t>
  </si>
  <si>
    <t>CUST0343</t>
  </si>
  <si>
    <t>Della Kirana Nugroho</t>
  </si>
  <si>
    <t>CUST0344</t>
  </si>
  <si>
    <t>Ardi Nur Salim</t>
  </si>
  <si>
    <t>CUST0345</t>
  </si>
  <si>
    <t>Alya Anjani Hidayat</t>
  </si>
  <si>
    <t>CUST0346</t>
  </si>
  <si>
    <t>Zahra Wibowo</t>
  </si>
  <si>
    <t>CUST0347</t>
  </si>
  <si>
    <t>Sheila Anjani Pangestu</t>
  </si>
  <si>
    <t>CUST0348</t>
  </si>
  <si>
    <t>Celine Kirana Abdullah</t>
  </si>
  <si>
    <t>CUST0349</t>
  </si>
  <si>
    <t>Putri Raka Salim</t>
  </si>
  <si>
    <t>CUST0350</t>
  </si>
  <si>
    <t>Nabila Utami</t>
  </si>
  <si>
    <t>product_id</t>
  </si>
  <si>
    <t>product_name</t>
  </si>
  <si>
    <t>category</t>
  </si>
  <si>
    <t>brand</t>
  </si>
  <si>
    <t>unit_price</t>
  </si>
  <si>
    <t>P001</t>
  </si>
  <si>
    <t>Headphone Wireless Noise Cancelling</t>
  </si>
  <si>
    <t>Electronics</t>
  </si>
  <si>
    <t>Atech</t>
  </si>
  <si>
    <t>P002</t>
  </si>
  <si>
    <t>Kemeja Casual Slim Fit</t>
  </si>
  <si>
    <t>Fashion</t>
  </si>
  <si>
    <t>Modest</t>
  </si>
  <si>
    <t>P003</t>
  </si>
  <si>
    <t>Sprei Katun Jepang Soft</t>
  </si>
  <si>
    <t>Home</t>
  </si>
  <si>
    <t>Casa</t>
  </si>
  <si>
    <t>P004</t>
  </si>
  <si>
    <t>Serum Wajah Brightening Vitamin C</t>
  </si>
  <si>
    <t>Beauty</t>
  </si>
  <si>
    <t>GlowUp</t>
  </si>
  <si>
    <t>P005</t>
  </si>
  <si>
    <t>Matras Yoga Anti Slip TPE</t>
  </si>
  <si>
    <t>Sports</t>
  </si>
  <si>
    <t>Active</t>
  </si>
  <si>
    <t>P006</t>
  </si>
  <si>
    <t>Buku Panduan Bisnis &amp; Strategi Modern</t>
  </si>
  <si>
    <t>Books</t>
  </si>
  <si>
    <t>Insight</t>
  </si>
  <si>
    <t>P007</t>
  </si>
  <si>
    <t>Earphone Bluetooth TWS Pro</t>
  </si>
  <si>
    <t>P008</t>
  </si>
  <si>
    <t>Kaos Polos Cotton Combed 30s</t>
  </si>
  <si>
    <t>P009</t>
  </si>
  <si>
    <t>Bantal Leher Memory Foam</t>
  </si>
  <si>
    <t>P010</t>
  </si>
  <si>
    <t>Facial Wash Foam Mild Cleanser</t>
  </si>
  <si>
    <t>P011</t>
  </si>
  <si>
    <t>Dumbbell Neoprene Set 2kg</t>
  </si>
  <si>
    <t>P012</t>
  </si>
  <si>
    <t>Buku Self Development Master Mindset</t>
  </si>
  <si>
    <t>P013</t>
  </si>
  <si>
    <t>Kabel Data Fast Charge USB-C</t>
  </si>
  <si>
    <t>P014</t>
  </si>
  <si>
    <t>Celana Chino Panjang Premium</t>
  </si>
  <si>
    <t>P015</t>
  </si>
  <si>
    <t>Lampu Tidur LED Smart Touch</t>
  </si>
  <si>
    <t>P016</t>
  </si>
  <si>
    <t>Sunscreen SPF 50 PA+++ Light</t>
  </si>
  <si>
    <t>P017</t>
  </si>
  <si>
    <t>Tali Skipping Adjustable Speed</t>
  </si>
  <si>
    <t>P018</t>
  </si>
  <si>
    <t>Buku Keuangan &amp; Manajemen Investasi</t>
  </si>
  <si>
    <t>P019</t>
  </si>
  <si>
    <t>Powerbank 10000mAh Ultra Slim</t>
  </si>
  <si>
    <t>P020</t>
  </si>
  <si>
    <t>Jaket Hoodie Oversize Soft</t>
  </si>
  <si>
    <t>P021</t>
  </si>
  <si>
    <t>Set Pisau Dapur Stainless Steel</t>
  </si>
  <si>
    <t>P022</t>
  </si>
  <si>
    <t>Moisturizing Gel Aloe Vera</t>
  </si>
  <si>
    <t>P023</t>
  </si>
  <si>
    <t>Botol Minum Olahraga 1 Liter BPA Free</t>
  </si>
  <si>
    <t>P024</t>
  </si>
  <si>
    <t>Buku Novel Fiksi Inspiratif Terbaik</t>
  </si>
  <si>
    <t>P025</t>
  </si>
  <si>
    <t>Smartwatch Sport Edition</t>
  </si>
  <si>
    <t>P026</t>
  </si>
  <si>
    <t>Hijab Segiempat Premium Silk</t>
  </si>
  <si>
    <t>P027</t>
  </si>
  <si>
    <t>Panci Anti Lengket Teflon Multi</t>
  </si>
  <si>
    <t>P028</t>
  </si>
  <si>
    <t>Lip Tint Matte Long Lasting</t>
  </si>
  <si>
    <t>P029</t>
  </si>
  <si>
    <t>Resistance Band Loop Set</t>
  </si>
  <si>
    <t>P030</t>
  </si>
  <si>
    <t>Buku Psikologi Manusia &amp; Perilaku</t>
  </si>
  <si>
    <t>P031</t>
  </si>
  <si>
    <t>Mouse Wireless Ergonomis</t>
  </si>
  <si>
    <t>P032</t>
  </si>
  <si>
    <t>Gamis Syar'i Elegant Edition</t>
  </si>
  <si>
    <t>P033</t>
  </si>
  <si>
    <t>Wadah Makanan Glass Airtight Set</t>
  </si>
  <si>
    <t>P034</t>
  </si>
  <si>
    <t>Masker Wajah Sheet Mask Hydra</t>
  </si>
  <si>
    <t>P035</t>
  </si>
  <si>
    <t>Hand Grip Adjustable Trainer</t>
  </si>
  <si>
    <t>P036</t>
  </si>
  <si>
    <t>Buku Kepemimpinan &amp; Manajemen Tim</t>
  </si>
  <si>
    <t>P037</t>
  </si>
  <si>
    <t>Speaker Bluetooth Portable Bass</t>
  </si>
  <si>
    <t>P038</t>
  </si>
  <si>
    <t>Sweater Rajut Outer Premium</t>
  </si>
  <si>
    <t>P039</t>
  </si>
  <si>
    <t>Rak Sepatu Minimalis Susun</t>
  </si>
  <si>
    <t>P040</t>
  </si>
  <si>
    <t>Micellar Water Cleansing Oil</t>
  </si>
  <si>
    <t>P041</t>
  </si>
  <si>
    <t>Raket Bulutangkis Carbon Light</t>
  </si>
  <si>
    <t>P042</t>
  </si>
  <si>
    <t>Buku Pemrograman Python &amp; Data Analytics</t>
  </si>
  <si>
    <t>P043</t>
  </si>
  <si>
    <t>Charger Adapter Wall Fast Charging</t>
  </si>
  <si>
    <t>P044</t>
  </si>
  <si>
    <t>Celana Jeans Stretch Slim</t>
  </si>
  <si>
    <t>P045</t>
  </si>
  <si>
    <t>Diffuser Aromaterapi Ultrasonik</t>
  </si>
  <si>
    <t>P046</t>
  </si>
  <si>
    <t>Toner Wajah Hydrating Glow</t>
  </si>
  <si>
    <t>P047</t>
  </si>
  <si>
    <t>Bola Basket Indoor Outdoor</t>
  </si>
  <si>
    <t>P048</t>
  </si>
  <si>
    <t>Buku Desain Grafis &amp; Kreativitas</t>
  </si>
  <si>
    <t>P049</t>
  </si>
  <si>
    <t>Webcam Full HD 1080p</t>
  </si>
  <si>
    <t>P050</t>
  </si>
  <si>
    <t>Kaos Polo Classic Fit</t>
  </si>
  <si>
    <t>P051</t>
  </si>
  <si>
    <t>Keset Kamar Mandi Microfiber</t>
  </si>
  <si>
    <t>P052</t>
  </si>
  <si>
    <t>Eye Cream Anti Dark Circle</t>
  </si>
  <si>
    <t>P053</t>
  </si>
  <si>
    <t>Jersey Olahraga Dry-Fit Breathable</t>
  </si>
  <si>
    <t>P054</t>
  </si>
  <si>
    <t>Buku Produktivitas &amp; Manajemen Waktu</t>
  </si>
  <si>
    <t>P055</t>
  </si>
  <si>
    <t>Keyboard Mechanical RGB Light</t>
  </si>
  <si>
    <t>P056</t>
  </si>
  <si>
    <t>Topi Baseball Sport Original</t>
  </si>
  <si>
    <t>P057</t>
  </si>
  <si>
    <t>Cangkir Keramik Aesthetic Set</t>
  </si>
  <si>
    <t>P058</t>
  </si>
  <si>
    <t>Body Lotion Fragrance Premium</t>
  </si>
  <si>
    <t>P059</t>
  </si>
  <si>
    <t>Busa Foam Roller Massage</t>
  </si>
  <si>
    <t>P060</t>
  </si>
  <si>
    <t>Buku Sejarah &amp; Peradaban Dunia</t>
  </si>
  <si>
    <t>order_id</t>
  </si>
  <si>
    <t>order_date</t>
  </si>
  <si>
    <t>quantity</t>
  </si>
  <si>
    <t>gross_sales</t>
  </si>
  <si>
    <t>promo_code</t>
  </si>
  <si>
    <t>discount</t>
  </si>
  <si>
    <t>shipping_cost</t>
  </si>
  <si>
    <t>total_amount</t>
  </si>
  <si>
    <t>payment_method</t>
  </si>
  <si>
    <t>courier</t>
  </si>
  <si>
    <t>order_status</t>
  </si>
  <si>
    <t>month</t>
  </si>
  <si>
    <t>is_delivered</t>
  </si>
  <si>
    <t>net_sales</t>
  </si>
  <si>
    <t>ORD00001</t>
  </si>
  <si>
    <t>NONE</t>
  </si>
  <si>
    <t>Credit Card</t>
  </si>
  <si>
    <t>AnterAja</t>
  </si>
  <si>
    <t>Delivered</t>
  </si>
  <si>
    <t>2025-03</t>
  </si>
  <si>
    <t>Yes</t>
  </si>
  <si>
    <t>ORD00002</t>
  </si>
  <si>
    <t>FLASHSALE</t>
  </si>
  <si>
    <t>COD</t>
  </si>
  <si>
    <t>SiCepat</t>
  </si>
  <si>
    <t>ORD00003</t>
  </si>
  <si>
    <t>NEWUSER</t>
  </si>
  <si>
    <t>E-Wallet</t>
  </si>
  <si>
    <t>ORD00004</t>
  </si>
  <si>
    <t>DISC10</t>
  </si>
  <si>
    <t>2025-02</t>
  </si>
  <si>
    <t>ORD00005</t>
  </si>
  <si>
    <t>Bank Transfer</t>
  </si>
  <si>
    <t>Shipped</t>
  </si>
  <si>
    <t>2025-04</t>
  </si>
  <si>
    <t>No</t>
  </si>
  <si>
    <t>ORD00006</t>
  </si>
  <si>
    <t>ORD00007</t>
  </si>
  <si>
    <t>DISC15</t>
  </si>
  <si>
    <t>2025-05</t>
  </si>
  <si>
    <t>ORD00008</t>
  </si>
  <si>
    <t>ORD00009</t>
  </si>
  <si>
    <t>ORD00010</t>
  </si>
  <si>
    <t>ORD00011</t>
  </si>
  <si>
    <t>JNE</t>
  </si>
  <si>
    <t>ORD00012</t>
  </si>
  <si>
    <t>J&amp;T</t>
  </si>
  <si>
    <t>ORD00013</t>
  </si>
  <si>
    <t>Processing</t>
  </si>
  <si>
    <t>ORD00014</t>
  </si>
  <si>
    <t>ORD00015</t>
  </si>
  <si>
    <t>2025-01</t>
  </si>
  <si>
    <t>ORD00016</t>
  </si>
  <si>
    <t>ORD00017</t>
  </si>
  <si>
    <t>Cancelled</t>
  </si>
  <si>
    <t>ORD00018</t>
  </si>
  <si>
    <t>ORD00019</t>
  </si>
  <si>
    <t>ORD00020</t>
  </si>
  <si>
    <t>2025-06</t>
  </si>
  <si>
    <t>ORD00021</t>
  </si>
  <si>
    <t>ORD00022</t>
  </si>
  <si>
    <t>ORD00023</t>
  </si>
  <si>
    <t>ORD00024</t>
  </si>
  <si>
    <t>ORD00025</t>
  </si>
  <si>
    <t>Returned</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</si>
  <si>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</si>
  <si>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</si>
  <si>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</si>
  <si>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</si>
  <si>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</si>
  <si>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</si>
  <si>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</si>
  <si>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</si>
  <si>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</si>
  <si>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</si>
  <si>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</si>
  <si>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</si>
  <si>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</si>
  <si>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</si>
  <si>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</si>
  <si>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</si>
  <si>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</si>
  <si>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</si>
  <si>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</si>
  <si>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</si>
  <si>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</si>
  <si>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</si>
  <si>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</si>
  <si>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</si>
  <si>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</si>
  <si>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</si>
  <si>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</si>
  <si>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</si>
  <si>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</si>
  <si>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</si>
  <si>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</si>
  <si>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</si>
  <si>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</si>
  <si>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</si>
  <si>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</si>
  <si>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</si>
  <si>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</si>
  <si>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</si>
  <si>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</si>
  <si>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</si>
  <si>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</si>
  <si>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</si>
  <si>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</si>
  <si>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</si>
  <si>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</si>
  <si>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</si>
  <si>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</si>
  <si>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</si>
  <si>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</si>
  <si>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</si>
  <si>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</si>
  <si>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</si>
  <si>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</si>
  <si>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</si>
  <si>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</si>
  <si>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</si>
  <si>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</si>
  <si>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</si>
  <si>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</si>
  <si>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</si>
  <si>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</si>
  <si>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</si>
  <si>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</si>
  <si>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</si>
  <si>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</si>
  <si>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</si>
  <si>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</si>
  <si>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</si>
  <si>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</si>
  <si>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</si>
  <si>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</si>
  <si>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</si>
  <si>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</si>
  <si>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</si>
  <si>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</si>
  <si>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</si>
  <si>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</si>
  <si>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</si>
  <si>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</si>
  <si>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</si>
  <si>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</si>
  <si>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</si>
  <si>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</si>
  <si>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</si>
  <si>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</si>
  <si>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</si>
  <si>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</si>
  <si>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</si>
  <si>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</si>
  <si>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</si>
  <si>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</si>
  <si>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</si>
  <si>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</si>
  <si>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</si>
  <si>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</si>
  <si>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</si>
  <si>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</si>
  <si>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</si>
  <si>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</si>
  <si>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</si>
  <si>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</si>
  <si>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</si>
  <si>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</si>
  <si>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</si>
  <si>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</si>
  <si>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</si>
  <si>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</si>
  <si>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</si>
  <si>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</si>
  <si>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</si>
  <si>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</si>
  <si>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</si>
  <si>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</si>
  <si>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</si>
  <si>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</si>
  <si>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</si>
  <si>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</si>
  <si>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</si>
  <si>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</si>
  <si>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</si>
  <si>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</si>
  <si>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</si>
  <si>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</si>
  <si>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</si>
  <si>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</si>
  <si>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</si>
  <si>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</si>
  <si>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</si>
  <si>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</si>
  <si>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</si>
  <si>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</si>
  <si>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</si>
  <si>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</si>
  <si>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</si>
  <si>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</si>
  <si>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</si>
  <si>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</si>
  <si>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</si>
  <si>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</si>
  <si>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</si>
  <si>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</si>
  <si>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</si>
  <si>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</si>
  <si>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</si>
  <si>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</si>
  <si>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</si>
  <si>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</si>
  <si>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</si>
  <si>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</si>
  <si>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</si>
  <si>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</si>
  <si>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</si>
  <si>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</si>
  <si>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</si>
  <si>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</si>
  <si>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</si>
  <si>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</si>
  <si>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</si>
  <si>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</si>
  <si>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</si>
  <si>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</si>
  <si>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</si>
  <si>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</si>
  <si>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</si>
  <si>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</si>
  <si>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</si>
  <si>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</si>
  <si>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</si>
  <si>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</si>
  <si>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</si>
  <si>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</si>
  <si>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</si>
  <si>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</si>
  <si>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</si>
  <si>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</si>
  <si>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</si>
  <si>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</si>
  <si>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</si>
  <si>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</si>
  <si>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</si>
  <si>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</si>
  <si>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</si>
  <si>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</si>
  <si>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</si>
  <si>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</si>
  <si>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</si>
  <si>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</si>
  <si>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</si>
  <si>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</si>
  <si>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</si>
  <si>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</si>
  <si>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</si>
  <si>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</si>
  <si>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</si>
  <si>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</si>
  <si>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</si>
  <si>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</si>
  <si>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</si>
  <si>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</si>
  <si>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</si>
  <si>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</si>
  <si>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</si>
  <si>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</si>
  <si>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</si>
  <si>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</si>
  <si>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</si>
  <si>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</si>
  <si>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</si>
  <si>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</si>
  <si>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</si>
  <si>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</si>
  <si>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</si>
  <si>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</si>
  <si>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</si>
  <si>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</si>
  <si>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</si>
  <si>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</si>
  <si>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</si>
  <si>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</si>
  <si>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</si>
  <si>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</si>
  <si>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</si>
  <si>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</si>
  <si>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</si>
  <si>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</si>
  <si>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</si>
  <si>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</si>
  <si>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</si>
  <si>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</si>
  <si>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</si>
  <si>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</si>
  <si>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</si>
  <si>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</si>
  <si>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</si>
  <si>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</si>
  <si>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</si>
  <si>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</si>
  <si>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</si>
  <si>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</si>
  <si>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</si>
  <si>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</si>
  <si>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</si>
  <si>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</si>
  <si>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</si>
  <si>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</si>
  <si>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</si>
  <si>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</si>
  <si>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</si>
  <si>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</si>
  <si>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</si>
  <si>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</si>
  <si>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</si>
  <si>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</si>
  <si>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</si>
  <si>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</si>
  <si>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</si>
  <si>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</si>
  <si>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</si>
  <si>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</si>
  <si>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</si>
  <si>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</si>
  <si>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</si>
  <si>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</si>
  <si>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</si>
  <si>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</si>
  <si>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</si>
  <si>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</si>
  <si>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</si>
  <si>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</si>
  <si>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</si>
  <si>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</si>
  <si>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</si>
  <si>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</si>
  <si>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</si>
  <si>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</si>
  <si>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</si>
  <si>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</si>
  <si>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</si>
  <si>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</si>
  <si>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</si>
  <si>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</si>
  <si>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</si>
  <si>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</si>
  <si>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</si>
  <si>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</si>
  <si>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</si>
  <si>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</si>
  <si>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</si>
  <si>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</si>
  <si>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</si>
  <si>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</si>
  <si>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</si>
  <si>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</si>
  <si>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</si>
  <si>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</si>
  <si>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</si>
  <si>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</si>
  <si>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</si>
  <si>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</si>
  <si>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</si>
  <si>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</si>
  <si>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</si>
  <si>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</si>
  <si>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</si>
  <si>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</si>
  <si>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</si>
  <si>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</si>
  <si>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</si>
  <si>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</si>
  <si>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</si>
  <si>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</si>
  <si>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</si>
  <si>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</si>
  <si>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</si>
  <si>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</si>
  <si>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</si>
  <si>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</si>
  <si>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</si>
  <si>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</si>
  <si>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</si>
  <si>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</si>
  <si>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</si>
  <si>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</si>
  <si>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</si>
  <si>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</si>
  <si>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</si>
  <si>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</si>
  <si>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</si>
  <si>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</si>
  <si>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</si>
  <si>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</si>
  <si>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</si>
  <si>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</si>
  <si>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</si>
  <si>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</si>
  <si>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</si>
  <si>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</si>
  <si>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</si>
  <si>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</si>
  <si>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</si>
  <si>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</si>
  <si>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</si>
  <si>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</si>
  <si>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</si>
  <si>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</si>
  <si>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</si>
  <si>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</si>
  <si>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</si>
  <si>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</si>
  <si>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</si>
  <si>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</si>
  <si>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</si>
  <si>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</si>
  <si>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</si>
  <si>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</si>
  <si>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</si>
  <si>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</si>
  <si>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</si>
  <si>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</si>
  <si>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</si>
  <si>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</si>
  <si>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</si>
  <si>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</si>
  <si>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</si>
  <si>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</si>
  <si>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</si>
  <si>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</si>
  <si>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</si>
  <si>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</si>
  <si>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</si>
  <si>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</si>
  <si>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</si>
  <si>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</si>
  <si>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</si>
  <si>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</si>
  <si>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</si>
  <si>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</si>
  <si>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</si>
  <si>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</si>
  <si>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</si>
  <si>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</si>
  <si>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</si>
  <si>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</si>
  <si>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</si>
  <si>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</si>
  <si>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</si>
  <si>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</si>
  <si>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</si>
  <si>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</si>
  <si>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</si>
  <si>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</si>
  <si>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</si>
  <si>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</si>
  <si>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</si>
  <si>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</si>
  <si>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</si>
  <si>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</si>
  <si>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</si>
  <si>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</si>
  <si>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</si>
  <si>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</si>
  <si>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</si>
  <si>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</si>
  <si>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</si>
  <si>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</si>
  <si>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</si>
  <si>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</si>
  <si>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</si>
  <si>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</si>
  <si>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</si>
  <si>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</si>
  <si>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</si>
  <si>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</si>
  <si>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</si>
  <si>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</si>
  <si>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</si>
  <si>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</si>
  <si>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</si>
  <si>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</si>
  <si>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</si>
  <si>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</si>
  <si>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</si>
  <si>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</si>
  <si>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</si>
  <si>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</si>
  <si>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</si>
  <si>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</si>
  <si>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</si>
  <si>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</si>
  <si>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</si>
  <si>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</si>
  <si>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</si>
  <si>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</si>
  <si>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</si>
  <si>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</si>
  <si>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</si>
  <si>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</si>
  <si>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</si>
  <si>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</si>
  <si>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</si>
  <si>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</si>
  <si>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</si>
  <si>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</si>
  <si>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</si>
  <si>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</si>
  <si>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</si>
  <si>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</si>
  <si>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</si>
  <si>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</si>
  <si>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</si>
  <si>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</si>
  <si>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</si>
  <si>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</si>
  <si>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</si>
  <si>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</si>
  <si>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</si>
  <si>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</si>
  <si>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</si>
  <si>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</si>
  <si>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</si>
  <si>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</si>
  <si>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</si>
  <si>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</si>
  <si>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</si>
  <si>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</si>
  <si>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</si>
  <si>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</si>
  <si>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</si>
  <si>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</si>
  <si>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</si>
  <si>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</si>
  <si>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</si>
  <si>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</si>
  <si>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</si>
  <si>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</si>
  <si>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</si>
  <si>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</si>
  <si>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</si>
  <si>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</si>
  <si>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</si>
  <si>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</si>
  <si>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</si>
  <si>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</si>
  <si>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</si>
  <si>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</si>
  <si>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</si>
  <si>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</si>
  <si>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</si>
  <si>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</si>
  <si>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</si>
  <si>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</si>
  <si>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</si>
  <si>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</si>
  <si>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</si>
  <si>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</si>
  <si>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</si>
  <si>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</si>
  <si>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</si>
  <si>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</si>
  <si>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</si>
  <si>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</si>
  <si>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</si>
  <si>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</si>
  <si>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</si>
  <si>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</si>
  <si>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</si>
  <si>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</si>
  <si>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</si>
  <si>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</si>
  <si>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</si>
  <si>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</si>
  <si>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</si>
  <si>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</si>
  <si>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</si>
  <si>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</si>
  <si>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</si>
  <si>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</si>
  <si>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</si>
  <si>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</si>
  <si>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</si>
  <si>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</si>
  <si>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</si>
  <si>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</si>
  <si>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</si>
  <si>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</si>
  <si>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</si>
  <si>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</si>
  <si>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</si>
  <si>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</si>
  <si>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</si>
  <si>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</si>
  <si>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</si>
  <si>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</si>
  <si>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</si>
  <si>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</si>
  <si>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</si>
  <si>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</si>
  <si>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</si>
  <si>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</si>
  <si>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</si>
  <si>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</si>
  <si>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</si>
  <si>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</si>
  <si>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</si>
  <si>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</si>
  <si>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</si>
  <si>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</si>
  <si>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</si>
  <si>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</si>
  <si>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</si>
  <si>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</si>
  <si>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</si>
  <si>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</si>
  <si>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</si>
  <si>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</si>
  <si>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</si>
  <si>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</si>
  <si>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</si>
  <si>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</si>
  <si>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</si>
  <si>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</si>
  <si>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</si>
  <si>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</si>
  <si>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</si>
  <si>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</si>
  <si>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</si>
  <si>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</si>
  <si>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</si>
  <si>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</si>
  <si>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</si>
  <si>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</si>
  <si>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</si>
  <si>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</si>
  <si>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</si>
  <si>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</si>
  <si>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</si>
  <si>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</si>
  <si>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</si>
  <si>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</si>
  <si>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</si>
  <si>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</si>
  <si>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</si>
  <si>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</si>
  <si>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</si>
  <si>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</si>
  <si>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</si>
  <si>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</si>
  <si>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</si>
  <si>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</si>
  <si>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</si>
  <si>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</si>
  <si>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</si>
  <si>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</si>
  <si>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</si>
  <si>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</si>
  <si>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</si>
  <si>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</si>
  <si>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</si>
  <si>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</si>
  <si>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</si>
  <si>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</si>
  <si>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</si>
  <si>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</si>
  <si>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</si>
  <si>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</si>
  <si>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</si>
  <si>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</si>
  <si>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</si>
  <si>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</si>
  <si>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</si>
  <si>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</si>
  <si>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</si>
  <si>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</si>
  <si>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</si>
  <si>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</si>
  <si>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</si>
  <si>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</si>
  <si>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</si>
  <si>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</si>
  <si>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</si>
  <si>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</si>
  <si>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</si>
  <si>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</si>
  <si>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</si>
  <si>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</si>
  <si>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</si>
  <si>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</si>
  <si>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</si>
  <si>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</si>
  <si>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</si>
  <si>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</si>
  <si>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</si>
  <si>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</si>
  <si>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</si>
  <si>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</si>
  <si>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</si>
  <si>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</si>
  <si>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</si>
  <si>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</si>
  <si>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</si>
  <si>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</si>
  <si>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</si>
  <si>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</si>
  <si>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</si>
  <si>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</si>
  <si>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</si>
  <si>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</si>
  <si>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</si>
  <si>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</si>
  <si>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</si>
  <si>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</si>
  <si>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</si>
  <si>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</si>
  <si>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</si>
  <si>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</si>
  <si>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</si>
  <si>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</si>
  <si>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</si>
  <si>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</si>
  <si>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</si>
  <si>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</si>
  <si>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</si>
  <si>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</si>
  <si>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</si>
  <si>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</si>
  <si>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</si>
  <si>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</si>
  <si>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</si>
  <si>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</si>
  <si>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</si>
  <si>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</si>
  <si>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</si>
  <si>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</si>
  <si>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</si>
  <si>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</si>
  <si>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</si>
  <si>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</si>
  <si>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</si>
  <si>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</si>
  <si>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</si>
  <si>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</si>
  <si>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</si>
  <si>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</si>
  <si>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</si>
  <si>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</si>
  <si>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</si>
  <si>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</si>
  <si>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</si>
  <si>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</si>
  <si>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</si>
  <si>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</si>
  <si>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</si>
  <si>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</si>
  <si>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</si>
  <si>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</si>
  <si>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</si>
  <si>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</si>
  <si>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</si>
  <si>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</si>
  <si>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</si>
  <si>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</si>
  <si>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</si>
  <si>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</si>
  <si>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</si>
  <si>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</si>
  <si>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</si>
  <si>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</si>
  <si>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</si>
  <si>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</si>
  <si>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</si>
  <si>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</si>
  <si>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</si>
  <si>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</si>
  <si>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</si>
  <si>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</si>
  <si>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</si>
  <si>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</si>
  <si>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</si>
  <si>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</si>
  <si>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</si>
  <si>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</si>
  <si>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</si>
  <si>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</si>
  <si>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</si>
  <si>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</si>
  <si>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</si>
  <si>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</si>
  <si>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</si>
  <si>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</si>
  <si>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</si>
  <si>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</si>
  <si>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</si>
  <si>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</si>
  <si>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</si>
  <si>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</si>
  <si>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</si>
  <si>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</si>
  <si>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</si>
  <si>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</si>
  <si>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</si>
  <si>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</si>
  <si>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</si>
  <si>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</si>
  <si>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</si>
  <si>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</si>
  <si>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</si>
  <si>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</si>
  <si>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</si>
  <si>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</si>
  <si>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</si>
  <si>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</si>
  <si>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</si>
  <si>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</si>
  <si>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</si>
  <si>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</si>
  <si>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</si>
  <si>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</si>
  <si>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</si>
  <si>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</si>
  <si>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</si>
  <si>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</si>
  <si>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</si>
  <si>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</si>
  <si>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</si>
  <si>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</si>
  <si>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</si>
  <si>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</si>
  <si>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</si>
  <si>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</si>
  <si>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</si>
  <si>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</si>
  <si>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</si>
  <si>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</si>
  <si>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</si>
  <si>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</si>
  <si>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</si>
  <si>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</si>
  <si>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</si>
  <si>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</si>
  <si>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</si>
  <si>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</si>
  <si>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</si>
  <si>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</si>
  <si>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</si>
  <si>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</si>
  <si>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</si>
  <si>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</si>
  <si>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</si>
  <si>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</si>
  <si>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</si>
  <si>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</si>
  <si>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</si>
  <si>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</si>
  <si>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</si>
  <si>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</si>
  <si>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</si>
  <si>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</si>
  <si>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</si>
  <si>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</si>
  <si>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</si>
  <si>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</si>
  <si>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</si>
  <si>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</si>
  <si>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</si>
  <si>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</si>
  <si>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</si>
  <si>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</si>
  <si>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</si>
  <si>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</si>
  <si>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</si>
  <si>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</si>
  <si>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</si>
  <si>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</si>
  <si>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</si>
  <si>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</si>
  <si>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</si>
  <si>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</si>
  <si>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</si>
  <si>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</si>
  <si>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</si>
  <si>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</si>
  <si>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</si>
  <si>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</si>
  <si>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</si>
  <si>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</si>
  <si>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</si>
  <si>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</si>
  <si>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</si>
  <si>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</si>
  <si>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</si>
  <si>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</si>
  <si>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</si>
  <si>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</si>
  <si>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</si>
  <si>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</si>
  <si>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</si>
  <si>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</si>
  <si>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</si>
  <si>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</si>
  <si>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</si>
  <si>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</si>
  <si>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</si>
  <si>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</si>
  <si>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</si>
  <si>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</si>
  <si>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</si>
  <si>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</si>
  <si>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</si>
  <si>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</si>
  <si>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</si>
  <si>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</si>
  <si>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</si>
  <si>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</si>
  <si>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</si>
  <si>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</si>
  <si>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</si>
  <si>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</si>
  <si>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</si>
  <si>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</si>
  <si>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</si>
  <si>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</si>
  <si>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</si>
  <si>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</si>
  <si>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</si>
  <si>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</si>
  <si>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</si>
  <si>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</si>
  <si>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</si>
  <si>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</si>
  <si>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</si>
  <si>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</si>
  <si>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</si>
  <si>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</si>
  <si>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</si>
  <si>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</si>
  <si>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</si>
  <si>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</si>
  <si>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</si>
  <si>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</si>
  <si>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</si>
  <si>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</si>
  <si>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</si>
  <si>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</si>
  <si>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</si>
  <si>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</si>
  <si>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</si>
  <si>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</si>
  <si>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</si>
  <si>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</si>
  <si>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</si>
  <si>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</si>
  <si>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</si>
  <si>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</si>
  <si>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</si>
  <si>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</si>
  <si>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</si>
  <si>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</si>
  <si>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</si>
  <si>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</si>
  <si>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</si>
  <si>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</si>
  <si>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</si>
  <si>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</si>
  <si>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</si>
  <si>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</si>
  <si>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</si>
  <si>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</si>
  <si>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</si>
  <si>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</si>
  <si>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</si>
  <si>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</si>
  <si>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</si>
  <si>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</si>
  <si>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</si>
  <si>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</si>
  <si>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</si>
  <si>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</si>
  <si>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</si>
  <si>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</si>
  <si>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</si>
  <si>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</si>
  <si>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</si>
  <si>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</si>
  <si>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</si>
  <si>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</si>
  <si>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</si>
  <si>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</si>
  <si>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</si>
  <si>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</si>
  <si>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</si>
  <si>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</si>
  <si>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</si>
  <si>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</si>
  <si>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</si>
  <si>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</si>
  <si>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</si>
  <si>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</si>
  <si>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</si>
  <si>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</si>
  <si>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</si>
  <si>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</si>
  <si>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</si>
  <si>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</si>
  <si>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</si>
  <si>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</si>
  <si>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</si>
  <si>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</si>
  <si>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</si>
  <si>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</si>
  <si>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</si>
  <si>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</si>
  <si>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</si>
  <si>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</si>
  <si>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</si>
  <si>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</si>
  <si>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</si>
  <si>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</si>
  <si>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</si>
  <si>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</si>
  <si>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</si>
  <si>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</si>
  <si>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</si>
  <si>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</si>
  <si>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</si>
  <si>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</si>
  <si>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</si>
  <si>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</si>
  <si>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</si>
  <si>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</si>
  <si>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</si>
  <si>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</si>
  <si>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</si>
  <si>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</si>
  <si>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</si>
  <si>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</si>
  <si>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</si>
  <si>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</si>
  <si>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</si>
  <si>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</si>
  <si>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</si>
  <si>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</si>
  <si>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</si>
  <si>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</si>
  <si>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</si>
  <si>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</si>
  <si>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</si>
  <si>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</si>
  <si>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</si>
  <si>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</si>
  <si>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</si>
  <si>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</si>
  <si>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</si>
  <si>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</si>
  <si>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</si>
  <si>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</si>
  <si>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</si>
  <si>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</si>
  <si>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</si>
  <si>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</si>
  <si>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</si>
  <si>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</si>
  <si>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</si>
  <si>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</si>
  <si>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</si>
  <si>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</si>
  <si>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</si>
  <si>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</si>
  <si>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</si>
  <si>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</si>
  <si>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</si>
  <si>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</si>
  <si>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</si>
  <si>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</si>
  <si>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</si>
  <si>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</si>
  <si>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</si>
  <si>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</si>
  <si>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</si>
  <si>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</si>
  <si>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</si>
  <si>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</si>
  <si>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</si>
  <si>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</si>
  <si>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</si>
  <si>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</si>
  <si>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</si>
  <si>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</si>
  <si>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</si>
  <si>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</si>
  <si>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</si>
  <si>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</si>
  <si>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</si>
  <si>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</si>
  <si>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</si>
  <si>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</si>
  <si>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</si>
  <si>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</si>
  <si>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</si>
  <si>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</si>
  <si>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</si>
  <si>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</si>
  <si>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</si>
  <si>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</si>
  <si>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</si>
  <si>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</si>
  <si>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</si>
  <si>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</si>
  <si>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</si>
  <si>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</si>
  <si>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</si>
  <si>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</si>
  <si>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</si>
  <si>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</si>
  <si>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</si>
  <si>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</si>
  <si>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</si>
  <si>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</si>
  <si>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</si>
  <si>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</si>
  <si>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</si>
  <si>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</si>
  <si>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</si>
  <si>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</si>
  <si>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</si>
  <si>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</si>
  <si>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</si>
  <si>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</si>
  <si>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</si>
  <si>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</si>
  <si>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</si>
  <si>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</si>
  <si>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</si>
  <si>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</si>
  <si>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</si>
  <si>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</si>
  <si>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</si>
  <si>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</si>
  <si>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</si>
  <si>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</si>
  <si>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</si>
  <si>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</si>
  <si>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</si>
  <si>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</si>
  <si>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</si>
  <si>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</si>
  <si>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</si>
  <si>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</si>
  <si>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</si>
  <si>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</si>
  <si>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</si>
  <si>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</si>
  <si>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</si>
  <si>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</si>
  <si>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</si>
  <si>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</si>
  <si>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</si>
  <si>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</si>
  <si>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</si>
  <si>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</si>
  <si>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</si>
  <si>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</si>
  <si>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</si>
  <si>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</si>
  <si>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</si>
  <si>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</si>
  <si>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</si>
  <si>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</si>
  <si>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</si>
  <si>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</si>
  <si>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</si>
  <si>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</si>
  <si>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</si>
  <si>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</si>
  <si>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</si>
  <si>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</si>
  <si>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</si>
  <si>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</si>
  <si>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</si>
  <si>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</si>
  <si>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</si>
  <si>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</si>
  <si>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</si>
  <si>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</si>
  <si>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</si>
  <si>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</si>
  <si>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</si>
  <si>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</si>
  <si>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</si>
  <si>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</si>
  <si>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</si>
  <si>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</si>
  <si>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</si>
  <si>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</si>
  <si>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</si>
  <si>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</si>
  <si>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</si>
  <si>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</si>
  <si>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</si>
  <si>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</si>
  <si>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</si>
  <si>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</si>
  <si>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</si>
  <si>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</si>
  <si>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</si>
  <si>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</si>
  <si>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</si>
  <si>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</si>
  <si>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</si>
  <si>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</si>
  <si>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</si>
  <si>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</si>
  <si>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</si>
  <si>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</si>
  <si>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</si>
  <si>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</si>
  <si>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</si>
  <si>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</si>
  <si>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</si>
  <si>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</si>
  <si>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</si>
  <si>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</si>
  <si>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</si>
  <si>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</si>
  <si>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</si>
  <si>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</si>
  <si>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</si>
  <si>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</si>
  <si>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</si>
  <si>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</si>
  <si>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</si>
  <si>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</si>
  <si>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</si>
  <si>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</si>
  <si>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</si>
  <si>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</si>
  <si>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Column</t>
  </si>
  <si>
    <t>Total Rows</t>
  </si>
  <si>
    <t>Missing</t>
  </si>
  <si>
    <t>Missing %</t>
  </si>
  <si>
    <t>Status</t>
  </si>
  <si>
    <t>TRUE</t>
  </si>
  <si>
    <t>FALSE</t>
  </si>
  <si>
    <t>Missing Value Check</t>
  </si>
  <si>
    <t>DATA FORMATTING</t>
  </si>
  <si>
    <t>UNKNOWN</t>
  </si>
  <si>
    <t>New Column</t>
  </si>
  <si>
    <t>revenue</t>
  </si>
  <si>
    <r>
      <t xml:space="preserve">Realized revenue generated only from orders with a </t>
    </r>
    <r>
      <rPr>
        <sz val="10"/>
        <color theme="1"/>
        <rFont val="Arial Unicode MS"/>
      </rPr>
      <t>Delivered</t>
    </r>
    <r>
      <rPr>
        <sz val="11"/>
        <color theme="1"/>
        <rFont val="Calibri"/>
        <family val="2"/>
        <scheme val="minor"/>
      </rPr>
      <t xml:space="preserve"> status.</t>
    </r>
  </si>
  <si>
    <t>Duplicate Check</t>
  </si>
  <si>
    <t>Check Item</t>
  </si>
  <si>
    <t>Table</t>
  </si>
  <si>
    <t>Key</t>
  </si>
  <si>
    <t>Total Row</t>
  </si>
  <si>
    <t>Unique Value</t>
  </si>
  <si>
    <t>Duplicate Order ID</t>
  </si>
  <si>
    <t>Orders</t>
  </si>
  <si>
    <t>Duplicate Customer Id</t>
  </si>
  <si>
    <t>Customers</t>
  </si>
  <si>
    <t>Duplicate Product ID</t>
  </si>
  <si>
    <t>Products</t>
  </si>
  <si>
    <t>Start Date</t>
  </si>
  <si>
    <t>End Date</t>
  </si>
  <si>
    <t>Row Labels</t>
  </si>
  <si>
    <t>Grand Total</t>
  </si>
  <si>
    <t>Jan</t>
  </si>
  <si>
    <t>Feb</t>
  </si>
  <si>
    <t>Mar</t>
  </si>
  <si>
    <t>Apr</t>
  </si>
  <si>
    <t>May</t>
  </si>
  <si>
    <t>Jun</t>
  </si>
  <si>
    <t>Count of order_id</t>
  </si>
  <si>
    <t>Sum of quantity</t>
  </si>
  <si>
    <t>Sum of gross_sales</t>
  </si>
  <si>
    <t>Sum of total_amount</t>
  </si>
  <si>
    <t>Sum of net_sales</t>
  </si>
  <si>
    <t>Sum of revenue</t>
  </si>
  <si>
    <t>revenue_growth</t>
  </si>
  <si>
    <t>Monthly Report</t>
  </si>
  <si>
    <t>status</t>
  </si>
  <si>
    <t>Total Customers</t>
  </si>
  <si>
    <t>Total Customers with Order</t>
  </si>
  <si>
    <t>Total Customers without Order</t>
  </si>
  <si>
    <t>total_orders_customer</t>
  </si>
  <si>
    <t>repeat_customers</t>
  </si>
  <si>
    <t>new_customer</t>
  </si>
  <si>
    <t>without_order</t>
  </si>
  <si>
    <t>AOV</t>
  </si>
  <si>
    <t>Total Orders</t>
  </si>
  <si>
    <t>Total Quantity</t>
  </si>
  <si>
    <t>Gross Sales</t>
  </si>
  <si>
    <t>Total Amount</t>
  </si>
  <si>
    <t>Net Sales</t>
  </si>
  <si>
    <t>Revenue</t>
  </si>
  <si>
    <t>Revenue by City</t>
  </si>
  <si>
    <t>KPI</t>
  </si>
  <si>
    <t>status %</t>
  </si>
  <si>
    <t>Order Status</t>
  </si>
  <si>
    <t>Category Report</t>
  </si>
  <si>
    <t>Brand Report</t>
  </si>
  <si>
    <t>Top Product by Total Order</t>
  </si>
  <si>
    <t>Top Product by Total Quantity</t>
  </si>
  <si>
    <t>Top Product by Total Revenue</t>
  </si>
  <si>
    <t>Product Contribution</t>
  </si>
  <si>
    <t>Top 10 Customer by Revenue</t>
  </si>
  <si>
    <t>total_customers</t>
  </si>
  <si>
    <t>customers_contribution</t>
  </si>
  <si>
    <t>Delivered Rate</t>
  </si>
  <si>
    <t>Total  Order</t>
  </si>
  <si>
    <t>Repeat Customer</t>
  </si>
  <si>
    <t>New Customers</t>
  </si>
  <si>
    <t>Customers without Order</t>
  </si>
  <si>
    <t>Cancelled + Returned</t>
  </si>
  <si>
    <t>revenue/order</t>
  </si>
  <si>
    <t>Processing + Shipped</t>
  </si>
  <si>
    <t>1. Revenue declined significantly in June, falling 23.95% from May to Rp40.40M, making June the lowest-revenue month in the period.
2. March recorded the highest monthly revenue at Rp59.33M, supported by a relatively high revenue per order.
3. Delivered orders account for only 68.25% of total orders, while 31.75% remain non-delivered, indicating an opportunity to improve order fulfillment.
4. Cancelled and returned orders represent 10.67% of total orders, which may indicate potential fulfillment or customer-experience issues requiring further investigation.
5. Malang generated the highest city revenue at Rp42.27M despite having fewer orders than Jakarta, indicating a higher revenue per order in Malang.</t>
  </si>
  <si>
    <t>Insights</t>
  </si>
  <si>
    <t>1. The top 10 products generated Rp130.66M, contributing approximately 43.66% of total revenue.
2. Lampu Tidur LED Smart Touch is the highest-revenue product, generating Rp16.68M or 5.57% of total revenue.
3. Books is the strongest revenue category, generating Rp80.54M or approximately 26.92% of total revenue.
4. Sports recorded the highest quantity at 428 units, but generated only Rp45.55M in revenue, suggesting that high sales volume does not necessarily translate into the highest revenue.
5. Insight is the highest-revenue brand, generating Rp80.54M or approximately 26.92% of total revenue.</t>
  </si>
  <si>
    <t>Inaights</t>
  </si>
  <si>
    <t>1. Customer retention is strong, with 300 of 340 customers with orders classified as repeat customers, resulting in an 88.24% repeat customer rate.
2. Only 10 customers have not placed an order, representing 2.86% of the total customer base and providing a small but identifiable target for first-purchase campaigns.
3. The top 10 customers generated Rp32.17M, contributing approximately 10.76% of total revenue, indicating that revenue is not heavily concentrated among a small number of customers.
4. Female customers generated higher revenue than male customers (Rp160.83M vs. Rp138.41M), with female customers also having a higher revenue per order.
5. Bronze customers generated the highest total revenue at Rp156.56M, while Silver and Gold customers recorded higher revenue per order, indicating an opportunity to increase customer migration toward higher membership tiers.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</si>
</sst>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_-[$Rp-421]* #,##0.00_-;\-[$Rp-421]* #,##0.00_-;_-[$Rp-421]* &quot;-&quot;??_-;_-@_-"/>
    <numFmt numFmtId="166" formatCode="_-[$Rp-421]* #,##0.00_-;\-[$Rp-421]* #,##0.00_-;_-[$Rp-421]* 0??_-;_-@_-"/>
    <numFmt numFmtId="167" formatCode="m/yyyy"/>
    <numFmt numFmtId="168" formatCode="&quot;$&quot;#,##0.00"/>
  </numFmts>
  <fonts count="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name val="Calibri"/>
    </font>
    <font>
      <sz val="10"/>
      <color rgb="FF000000"/>
      <name val="Segoe UI"/>
    </font>
    <font>
      <sz val="10"/>
      <color theme="1"/>
      <name val="Arial Unicode MS"/>
    </font>
    <font>
      <b/>
      <sz val="1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4"/>
        <bgColor indexed="64"/>
      </patternFill>
    </fill>
    <fill>
      <patternFill patternType="solid">
        <fgColor theme="4" tint="0.59999389629810485"/>
        <bgColor theme="4" tint="0.79998168889431442"/>
      </patternFill>
    </fill>
    <fill>
      <patternFill patternType="solid">
        <fgColor theme="4" tint="0.39997558519241921"/>
        <bgColor indexed="64"/>
      </patternFill>
    </fill>
    <fill>
      <patternFill patternType="solid">
        <fgColor theme="4" tint="0.79998168889431442"/>
        <bgColor indexed="64"/>
      </patternFill>
    </fill>
  </fills>
  <borders count="38">
    <border>
      <left/>
      <right/>
      <top/>
      <bottom/>
      <diagonal/>
    </border>
    <border>
      <left style="thin">
        <color auto="1"/>
      </left>
      <right style="thin">
        <color auto="1"/>
      </right>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rgb="FFD9D9D9"/>
      </left>
      <right style="thin">
        <color rgb="FFD9D9D9"/>
      </right>
      <top style="thin">
        <color rgb="FFD9D9D9"/>
      </top>
      <bottom style="thin">
        <color rgb="FFD9D9D9"/>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0"/>
      </right>
      <top style="thin">
        <color theme="1"/>
      </top>
      <bottom style="thick">
        <color theme="0"/>
      </bottom>
      <diagonal/>
    </border>
    <border>
      <left style="thin">
        <color theme="0"/>
      </left>
      <right style="thin">
        <color theme="0"/>
      </right>
      <top style="thin">
        <color theme="1"/>
      </top>
      <bottom style="thick">
        <color theme="0"/>
      </bottom>
      <diagonal/>
    </border>
    <border>
      <left style="thin">
        <color theme="0"/>
      </left>
      <right/>
      <top style="thin">
        <color theme="1"/>
      </top>
      <bottom style="thick">
        <color theme="0"/>
      </bottom>
      <diagonal/>
    </border>
    <border>
      <left style="thin">
        <color theme="0"/>
      </left>
      <right style="thin">
        <color theme="1"/>
      </right>
      <top style="thin">
        <color theme="0"/>
      </top>
      <bottom style="thin">
        <color theme="0"/>
      </bottom>
      <diagonal/>
    </border>
    <border>
      <left style="thin">
        <color theme="1"/>
      </left>
      <right style="thin">
        <color theme="0"/>
      </right>
      <top style="thin">
        <color theme="0"/>
      </top>
      <bottom style="thin">
        <color theme="0"/>
      </bottom>
      <diagonal/>
    </border>
    <border>
      <left style="thin">
        <color theme="1"/>
      </left>
      <right/>
      <top style="thin">
        <color theme="0"/>
      </top>
      <bottom style="thin">
        <color theme="0"/>
      </bottom>
      <diagonal/>
    </border>
    <border>
      <left style="thin">
        <color theme="1"/>
      </left>
      <right/>
      <top/>
      <bottom style="thin">
        <color theme="0"/>
      </bottom>
      <diagonal/>
    </border>
    <border>
      <left style="thin">
        <color theme="1"/>
      </left>
      <right/>
      <top/>
      <bottom style="thin">
        <color theme="1"/>
      </bottom>
      <diagonal/>
    </border>
    <border>
      <left style="thin">
        <color theme="0"/>
      </left>
      <right style="thin">
        <color theme="0"/>
      </right>
      <top style="thin">
        <color theme="0"/>
      </top>
      <bottom style="thin">
        <color theme="1"/>
      </bottom>
      <diagonal/>
    </border>
    <border>
      <left/>
      <right/>
      <top/>
      <bottom style="thin">
        <color theme="1"/>
      </bottom>
      <diagonal/>
    </border>
    <border>
      <left style="thin">
        <color theme="0"/>
      </left>
      <right style="thin">
        <color theme="1"/>
      </right>
      <top style="thin">
        <color theme="0"/>
      </top>
      <bottom style="thin">
        <color theme="1"/>
      </bottom>
      <diagonal/>
    </border>
    <border>
      <left style="thin">
        <color theme="1"/>
      </left>
      <right style="thin">
        <color theme="0"/>
      </right>
      <top style="thin">
        <color theme="0"/>
      </top>
      <bottom/>
      <diagonal/>
    </border>
    <border>
      <left style="thin">
        <color theme="1"/>
      </left>
      <right style="thin">
        <color theme="0"/>
      </right>
      <top/>
      <bottom style="thick">
        <color theme="0"/>
      </bottom>
      <diagonal/>
    </border>
    <border>
      <left style="thin">
        <color theme="0"/>
      </left>
      <right style="thin">
        <color theme="0"/>
      </right>
      <top/>
      <bottom style="thick">
        <color theme="0"/>
      </bottom>
      <diagonal/>
    </border>
    <border>
      <left style="thin">
        <color theme="0"/>
      </left>
      <right style="thin">
        <color theme="1"/>
      </right>
      <top/>
      <bottom style="thick">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left>
      <right style="thin">
        <color theme="0"/>
      </right>
      <top style="thin">
        <color theme="0"/>
      </top>
      <bottom style="thin">
        <color theme="1"/>
      </bottom>
      <diagonal/>
    </border>
  </borders>
  <cellStyleXfs count="2">
    <xf numFmtId="0" fontId="0" fillId="0" borderId="0"/>
    <xf numFmtId="9" fontId="1" fillId="0" borderId="0" applyFont="0" applyFill="0" applyBorder="0" applyAlignment="0" applyProtection="0"/>
  </cellStyleXfs>
  <cellXfs count="88">
    <xf numFmtId="0" fontId="0" fillId="0" borderId="0" xfId="0"/>
    <xf numFmtId="0" fontId="4" fillId="0" borderId="1" xfId="0" applyFont="1" applyBorder="1" applyAlignment="1">
      <alignment horizontal="center"/>
    </xf>
    <xf numFmtId="0" fontId="0" fillId="2" borderId="2" xfId="0" applyFill="1" applyBorder="1"/>
    <xf numFmtId="0" fontId="0" fillId="0" borderId="2" xfId="0" applyBorder="1"/>
    <xf numFmtId="0" fontId="5" fillId="4" borderId="7" xfId="0" applyFont="1" applyFill="1" applyBorder="1" applyAlignment="1">
      <alignment horizontal="left" vertical="center"/>
    </xf>
    <xf numFmtId="0" fontId="5" fillId="2" borderId="7" xfId="0" applyFont="1" applyFill="1" applyBorder="1" applyAlignment="1">
      <alignment horizontal="left" vertical="center"/>
    </xf>
    <xf numFmtId="164" fontId="0" fillId="0" borderId="0" xfId="0" applyNumberFormat="1"/>
    <xf numFmtId="3" fontId="0" fillId="0" borderId="0" xfId="0" applyNumberFormat="1"/>
    <xf numFmtId="22" fontId="0" fillId="0" borderId="0" xfId="0" applyNumberFormat="1"/>
    <xf numFmtId="14" fontId="0" fillId="0" borderId="0" xfId="0" applyNumberFormat="1"/>
    <xf numFmtId="0" fontId="0" fillId="0" borderId="13" xfId="0" applyBorder="1"/>
    <xf numFmtId="0" fontId="0" fillId="0" borderId="14" xfId="0" applyBorder="1"/>
    <xf numFmtId="0" fontId="2" fillId="3" borderId="15" xfId="0" applyFont="1" applyFill="1" applyBorder="1"/>
    <xf numFmtId="0" fontId="2" fillId="3" borderId="16" xfId="0" applyFont="1" applyFill="1" applyBorder="1"/>
    <xf numFmtId="0" fontId="2" fillId="3" borderId="17" xfId="0" applyFont="1" applyFill="1" applyBorder="1"/>
    <xf numFmtId="0" fontId="2" fillId="0" borderId="11" xfId="0" applyFont="1" applyBorder="1"/>
    <xf numFmtId="0" fontId="2" fillId="3" borderId="11" xfId="0" applyFont="1" applyFill="1" applyBorder="1"/>
    <xf numFmtId="0" fontId="2" fillId="0" borderId="12" xfId="0" applyFont="1" applyBorder="1"/>
    <xf numFmtId="0" fontId="2" fillId="5" borderId="13" xfId="0" applyFont="1" applyFill="1" applyBorder="1"/>
    <xf numFmtId="22" fontId="0" fillId="0" borderId="5" xfId="0" applyNumberFormat="1" applyBorder="1"/>
    <xf numFmtId="14" fontId="0" fillId="0" borderId="18" xfId="0" applyNumberFormat="1" applyBorder="1"/>
    <xf numFmtId="0" fontId="0" fillId="4" borderId="19" xfId="0" applyFill="1" applyBorder="1"/>
    <xf numFmtId="22" fontId="0" fillId="4" borderId="5" xfId="0" applyNumberFormat="1" applyFill="1" applyBorder="1"/>
    <xf numFmtId="0" fontId="0" fillId="4" borderId="5" xfId="0" applyFill="1" applyBorder="1"/>
    <xf numFmtId="0" fontId="0" fillId="4" borderId="6" xfId="0" applyFill="1" applyBorder="1"/>
    <xf numFmtId="0" fontId="0" fillId="4" borderId="0" xfId="0" applyFill="1"/>
    <xf numFmtId="0" fontId="2" fillId="5" borderId="20" xfId="0" applyFont="1" applyFill="1" applyBorder="1"/>
    <xf numFmtId="165" fontId="0" fillId="0" borderId="14" xfId="0" applyNumberFormat="1" applyBorder="1"/>
    <xf numFmtId="0" fontId="0" fillId="2" borderId="19" xfId="0" applyFill="1" applyBorder="1"/>
    <xf numFmtId="22" fontId="0" fillId="2" borderId="5" xfId="0" applyNumberFormat="1" applyFill="1" applyBorder="1"/>
    <xf numFmtId="0" fontId="0" fillId="2" borderId="5" xfId="0" applyFill="1" applyBorder="1"/>
    <xf numFmtId="0" fontId="0" fillId="2" borderId="6" xfId="0" applyFill="1" applyBorder="1"/>
    <xf numFmtId="0" fontId="2" fillId="5" borderId="21" xfId="0" applyFont="1" applyFill="1" applyBorder="1"/>
    <xf numFmtId="166" fontId="0" fillId="0" borderId="14" xfId="0" applyNumberFormat="1" applyBorder="1"/>
    <xf numFmtId="0" fontId="2" fillId="5" borderId="22" xfId="0" applyFont="1" applyFill="1" applyBorder="1"/>
    <xf numFmtId="14" fontId="0" fillId="0" borderId="23" xfId="0" applyNumberFormat="1" applyBorder="1"/>
    <xf numFmtId="0" fontId="0" fillId="0" borderId="24" xfId="0" applyBorder="1"/>
    <xf numFmtId="167" fontId="0" fillId="0" borderId="25" xfId="0" applyNumberFormat="1" applyBorder="1"/>
    <xf numFmtId="0" fontId="0" fillId="2" borderId="26" xfId="0" applyFill="1" applyBorder="1"/>
    <xf numFmtId="22" fontId="0" fillId="2" borderId="8" xfId="0" applyNumberFormat="1" applyFill="1" applyBorder="1"/>
    <xf numFmtId="0" fontId="0" fillId="2" borderId="8" xfId="0" applyFill="1" applyBorder="1"/>
    <xf numFmtId="0" fontId="0" fillId="2" borderId="9" xfId="0" applyFill="1" applyBorder="1"/>
    <xf numFmtId="0" fontId="2" fillId="3" borderId="27" xfId="0" applyFont="1" applyFill="1" applyBorder="1"/>
    <xf numFmtId="0" fontId="2" fillId="3" borderId="28" xfId="0" applyFont="1" applyFill="1" applyBorder="1"/>
    <xf numFmtId="0" fontId="2" fillId="3" borderId="29" xfId="0" applyFont="1" applyFill="1" applyBorder="1"/>
    <xf numFmtId="0" fontId="0" fillId="4" borderId="18" xfId="0" applyFill="1" applyBorder="1"/>
    <xf numFmtId="0" fontId="0" fillId="0" borderId="32" xfId="0" applyBorder="1"/>
    <xf numFmtId="0" fontId="0" fillId="0" borderId="33" xfId="0" applyBorder="1"/>
    <xf numFmtId="0" fontId="0" fillId="2" borderId="18" xfId="0" applyFill="1" applyBorder="1"/>
    <xf numFmtId="0" fontId="2" fillId="5" borderId="34" xfId="0" applyFont="1" applyFill="1" applyBorder="1"/>
    <xf numFmtId="0" fontId="0" fillId="6" borderId="18" xfId="0" applyFill="1" applyBorder="1"/>
    <xf numFmtId="0" fontId="0" fillId="2" borderId="37" xfId="0" applyFill="1" applyBorder="1"/>
    <xf numFmtId="22" fontId="0" fillId="2" borderId="23" xfId="0" applyNumberFormat="1" applyFill="1" applyBorder="1"/>
    <xf numFmtId="0" fontId="0" fillId="2" borderId="23" xfId="0" applyFill="1" applyBorder="1"/>
    <xf numFmtId="0" fontId="0" fillId="2" borderId="25" xfId="0" applyFill="1" applyBorder="1"/>
    <xf numFmtId="0" fontId="0" fillId="0" borderId="22" xfId="0" applyBorder="1"/>
    <xf numFmtId="166" fontId="0" fillId="0" borderId="0" xfId="0" applyNumberFormat="1"/>
    <xf numFmtId="167" fontId="0" fillId="0" borderId="0" xfId="0" applyNumberFormat="1"/>
    <xf numFmtId="168" fontId="0" fillId="0" borderId="0" xfId="0" applyNumberFormat="1"/>
    <xf numFmtId="0" fontId="7" fillId="7" borderId="3" xfId="0" applyFont="1" applyFill="1" applyBorder="1"/>
    <xf numFmtId="14" fontId="0" fillId="0" borderId="3" xfId="0" applyNumberFormat="1" applyBorder="1"/>
    <xf numFmtId="0" fontId="0" fillId="0" borderId="0" xfId="0" pivotButton="1"/>
    <xf numFmtId="0" fontId="0" fillId="0" borderId="0" xfId="0" applyAlignment="1">
      <alignment horizontal="left"/>
    </xf>
    <xf numFmtId="10" fontId="0" fillId="0" borderId="0" xfId="1" applyNumberFormat="1" applyFont="1"/>
    <xf numFmtId="165" fontId="0" fillId="0" borderId="0" xfId="0" applyNumberFormat="1"/>
    <xf numFmtId="0" fontId="3" fillId="8" borderId="0" xfId="0" applyFont="1" applyFill="1"/>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30" xfId="0" applyBorder="1" applyAlignment="1">
      <alignment horizontal="center"/>
    </xf>
    <xf numFmtId="0" fontId="0" fillId="0" borderId="4" xfId="0" applyBorder="1" applyAlignment="1">
      <alignment horizontal="center"/>
    </xf>
    <xf numFmtId="0" fontId="0" fillId="0" borderId="31"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0" xfId="0" applyNumberFormat="1"/>
    <xf numFmtId="0" fontId="0" fillId="8" borderId="0" xfId="0" applyFill="1"/>
    <xf numFmtId="10" fontId="0" fillId="8" borderId="0" xfId="1" applyNumberFormat="1" applyFont="1" applyFill="1"/>
    <xf numFmtId="0" fontId="3" fillId="0" borderId="0" xfId="0" applyFont="1" applyFill="1"/>
    <xf numFmtId="0" fontId="0" fillId="0" borderId="0" xfId="0" applyAlignment="1">
      <alignment horizontal="left" vertical="top" wrapText="1"/>
    </xf>
    <xf numFmtId="0" fontId="0" fillId="0" borderId="0" xfId="0" applyAlignment="1">
      <alignment horizontal="left" vertical="top"/>
    </xf>
    <xf numFmtId="0" fontId="0" fillId="0" borderId="0" xfId="0" applyFont="1" applyAlignment="1">
      <alignment horizontal="left" vertical="top" wrapText="1"/>
    </xf>
    <xf numFmtId="0" fontId="3" fillId="0" borderId="0" xfId="0" applyFont="1" applyAlignment="1">
      <alignment horizontal="left" vertical="top"/>
    </xf>
    <xf numFmtId="0" fontId="0" fillId="0" borderId="0" xfId="0" applyBorder="1"/>
    <xf numFmtId="166" fontId="0" fillId="0" borderId="0" xfId="0" applyNumberFormat="1" applyBorder="1"/>
    <xf numFmtId="0" fontId="0" fillId="0" borderId="0" xfId="0" applyBorder="1" applyAlignment="1">
      <alignment horizontal="center"/>
    </xf>
    <xf numFmtId="0" fontId="0" fillId="0" borderId="0" xfId="0" pivotButton="1" applyBorder="1"/>
    <xf numFmtId="0" fontId="0" fillId="0" borderId="0" xfId="0" applyBorder="1" applyAlignment="1">
      <alignment horizontal="left"/>
    </xf>
  </cellXfs>
  <cellStyles count="2">
    <cellStyle name="Normal" xfId="0" builtinId="0"/>
    <cellStyle name="Percent" xfId="1" builtinId="5"/>
  </cellStyles>
  <dxfs count="65">
    <dxf>
      <border>
        <left/>
        <right/>
        <top/>
        <bottom/>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font>
        <b val="0"/>
        <i val="0"/>
        <strike val="0"/>
        <condense val="0"/>
        <extend val="0"/>
        <outline val="0"/>
        <shadow val="0"/>
        <u val="none"/>
        <vertAlign val="baseline"/>
        <sz val="10"/>
        <color rgb="FF000000"/>
        <name val="Segoe UI"/>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3" formatCode="#,##0"/>
    </dxf>
    <dxf>
      <numFmt numFmtId="3" formatCode="#,##0"/>
    </dxf>
    <dxf>
      <numFmt numFmtId="3" formatCode="#,##0"/>
    </dxf>
    <dxf>
      <numFmt numFmtId="3" formatCode="#,##0"/>
    </dxf>
    <dxf>
      <numFmt numFmtId="3" formatCode="#,##0"/>
    </dxf>
    <dxf>
      <numFmt numFmtId="3" formatCode="#,##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font>
        <b val="0"/>
      </font>
    </dxf>
    <dxf>
      <font>
        <b val="0"/>
      </font>
    </dxf>
    <dxf>
      <font>
        <b val="0"/>
      </font>
    </dxf>
    <dxf>
      <font>
        <b val="0"/>
      </font>
    </dxf>
    <dxf>
      <font>
        <b val="0"/>
      </font>
    </dxf>
    <dxf>
      <font>
        <b val="0"/>
      </font>
    </dxf>
    <dxf>
      <font>
        <b val="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66" formatCode="_-[$Rp-421]* #,##0.00_-;\-[$Rp-421]* #,##0.00_-;_-[$Rp-421]* 0??_-;_-@_-"/>
    </dxf>
    <dxf>
      <numFmt numFmtId="166" formatCode="_-[$Rp-421]* #,##0.00_-;\-[$Rp-421]* #,##0.00_-;_-[$Rp-421]* 0??_-;_-@_-"/>
    </dxf>
    <dxf>
      <numFmt numFmtId="167" formatCode="m/yyyy"/>
    </dxf>
    <dxf>
      <numFmt numFmtId="166" formatCode="_-[$Rp-421]* #,##0.00_-;\-[$Rp-421]* #,##0.00_-;_-[$Rp-421]* 0??_-;_-@_-"/>
    </dxf>
    <dxf>
      <numFmt numFmtId="166" formatCode="_-[$Rp-421]* #,##0.00_-;\-[$Rp-421]* #,##0.00_-;_-[$Rp-421]* 0??_-;_-@_-"/>
    </dxf>
    <dxf>
      <numFmt numFmtId="166" formatCode="_-[$Rp-421]* #,##0.00_-;\-[$Rp-421]* #,##0.00_-;_-[$Rp-421]* 0??_-;_-@_-"/>
    </dxf>
    <dxf>
      <numFmt numFmtId="166" formatCode="_-[$Rp-421]* #,##0.00_-;\-[$Rp-421]* #,##0.00_-;_-[$Rp-421]* 0??_-;_-@_-"/>
    </dxf>
    <dxf>
      <numFmt numFmtId="166" formatCode="_-[$Rp-421]* #,##0.00_-;\-[$Rp-421]* #,##0.00_-;_-[$Rp-421]* 0??_-;_-@_-"/>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ko" refreshedDate="46264.034100231482" createdVersion="8" refreshedVersion="8" minRefreshableVersion="3" recordCount="1200" xr:uid="{C5DF329B-2458-4D0C-B0D0-8DCF87663CD1}">
  <cacheSource type="worksheet">
    <worksheetSource name="clean"/>
  </cacheSource>
  <cacheFields count="27">
    <cacheField name="order_id" numFmtId="0">
      <sharedItems count="1200">
        <s v="ORD00062"/>
        <s v="ORD00246"/>
        <s v="ORD00048"/>
        <s v="ORD00428"/>
        <s v="ORD00434"/>
        <s v="ORD00750"/>
        <s v="ORD00799"/>
        <s v="ORD00951"/>
        <s v="ORD00960"/>
        <s v="ORD01108"/>
        <s v="ORD00659"/>
        <s v="ORD00826"/>
        <s v="ORD01068"/>
        <s v="ORD01071"/>
        <s v="ORD00265"/>
        <s v="ORD00066"/>
        <s v="ORD00503"/>
        <s v="ORD00517"/>
        <s v="ORD01009"/>
        <s v="ORD01056"/>
        <s v="ORD01125"/>
        <s v="ORD01188"/>
        <s v="ORD00286"/>
        <s v="ORD00147"/>
        <s v="ORD00090"/>
        <s v="ORD00132"/>
        <s v="ORD00373"/>
        <s v="ORD00684"/>
        <s v="ORD00768"/>
        <s v="ORD00994"/>
        <s v="ORD01098"/>
        <s v="ORD01190"/>
        <s v="ORD00035"/>
        <s v="ORD00319"/>
        <s v="ORD00350"/>
        <s v="ORD00655"/>
        <s v="ORD00722"/>
        <s v="ORD00896"/>
        <s v="ORD00944"/>
        <s v="ORD00989"/>
        <s v="ORD00165"/>
        <s v="ORD00036"/>
        <s v="ORD00190"/>
        <s v="ORD00215"/>
        <s v="ORD00339"/>
        <s v="ORD00444"/>
        <s v="ORD00509"/>
        <s v="ORD00562"/>
        <s v="ORD00719"/>
        <s v="ORD01149"/>
        <s v="ORD00266"/>
        <s v="ORD00267"/>
        <s v="ORD00221"/>
        <s v="ORD00912"/>
        <s v="ORD00917"/>
        <s v="ORD00941"/>
        <s v="ORD00056"/>
        <s v="ORD00285"/>
        <s v="ORD00341"/>
        <s v="ORD00644"/>
        <s v="ORD01013"/>
        <s v="ORD01052"/>
        <s v="ORD01163"/>
        <s v="ORD00482"/>
        <s v="ORD00533"/>
        <s v="ORD01016"/>
        <s v="ORD01099"/>
        <s v="ORD00107"/>
        <s v="ORD00264"/>
        <s v="ORD00263"/>
        <s v="ORD00401"/>
        <s v="ORD00514"/>
        <s v="ORD00516"/>
        <s v="ORD00729"/>
        <s v="ORD00023"/>
        <s v="ORD00275"/>
        <s v="ORD00573"/>
        <s v="ORD00843"/>
        <s v="ORD00856"/>
        <s v="ORD00032"/>
        <s v="ORD00235"/>
        <s v="ORD00438"/>
        <s v="ORD00512"/>
        <s v="ORD00575"/>
        <s v="ORD00592"/>
        <s v="ORD00328"/>
        <s v="ORD00180"/>
        <s v="ORD00250"/>
        <s v="ORD00580"/>
        <s v="ORD00762"/>
        <s v="ORD01127"/>
        <s v="ORD00205"/>
        <s v="ORD00403"/>
        <s v="ORD00532"/>
        <s v="ORD00859"/>
        <s v="ORD00990"/>
        <s v="ORD01196"/>
        <s v="ORD00449"/>
        <s v="ORD00668"/>
        <s v="ORD00670"/>
        <s v="ORD00741"/>
        <s v="ORD00789"/>
        <s v="ORD00816"/>
        <s v="ORD00981"/>
        <s v="ORD00346"/>
        <s v="ORD00374"/>
        <s v="ORD00699"/>
        <s v="ORD00749"/>
        <s v="ORD01141"/>
        <s v="ORD00304"/>
        <s v="ORD00177"/>
        <s v="ORD00237"/>
        <s v="ORD00499"/>
        <s v="ORD00634"/>
        <s v="ORD00861"/>
        <s v="ORD00020"/>
        <s v="ORD00083"/>
        <s v="ORD00368"/>
        <s v="ORD00483"/>
        <s v="ORD00627"/>
        <s v="ORD00837"/>
        <s v="ORD01012"/>
        <s v="ORD00197"/>
        <s v="ORD00041"/>
        <s v="ORD00336"/>
        <s v="ORD00394"/>
        <s v="ORD00492"/>
        <s v="ORD01033"/>
        <s v="ORD01195"/>
        <s v="ORD00277"/>
        <s v="ORD00355"/>
        <s v="ORD00111"/>
        <s v="ORD00095"/>
        <s v="ORD00245"/>
        <s v="ORD00907"/>
        <s v="ORD00968"/>
        <s v="ORD00977"/>
        <s v="ORD01086"/>
        <s v="ORD00143"/>
        <s v="ORD00382"/>
        <s v="ORD00397"/>
        <s v="ORD00633"/>
        <s v="ORD00857"/>
        <s v="ORD00964"/>
        <s v="ORD00106"/>
        <s v="ORD00447"/>
        <s v="ORD00759"/>
        <s v="ORD00830"/>
        <s v="ORD00849"/>
        <s v="ORD00952"/>
        <s v="ORD00352"/>
        <s v="ORD00354"/>
        <s v="ORD00647"/>
        <s v="ORD00904"/>
        <s v="ORD00919"/>
        <s v="ORD00953"/>
        <s v="ORD00057"/>
        <s v="ORD00104"/>
        <s v="ORD00280"/>
        <s v="ORD00490"/>
        <s v="ORD00508"/>
        <s v="ORD00597"/>
        <s v="ORD00723"/>
        <s v="ORD00230"/>
        <s v="ORD00100"/>
        <s v="ORD00195"/>
        <s v="ORD00294"/>
        <s v="ORD00408"/>
        <s v="ORD00738"/>
        <s v="ORD00884"/>
        <s v="ORD00925"/>
        <s v="ORD01135"/>
        <s v="ORD00296"/>
        <s v="ORD00158"/>
        <s v="ORD00109"/>
        <s v="ORD00589"/>
        <s v="ORD00620"/>
        <s v="ORD00983"/>
        <s v="ORD00185"/>
        <s v="ORD00384"/>
        <s v="ORD00556"/>
        <s v="ORD00636"/>
        <s v="ORD01048"/>
        <s v="ORD00144"/>
        <s v="ORD00260"/>
        <s v="ORD00507"/>
        <s v="ORD00921"/>
        <s v="ORD00102"/>
        <s v="ORD00338"/>
        <s v="ORD00495"/>
        <s v="ORD00550"/>
        <s v="ORD00635"/>
        <s v="ORD00780"/>
        <s v="ORD01199"/>
        <s v="ORD00333"/>
        <s v="ORD00212"/>
        <s v="ORD00392"/>
        <s v="ORD00453"/>
        <s v="ORD00841"/>
        <s v="ORD00865"/>
        <s v="ORD00955"/>
        <s v="ORD00208"/>
        <s v="ORD00152"/>
        <s v="ORD00302"/>
        <s v="ORD00377"/>
        <s v="ORD00381"/>
        <s v="ORD00421"/>
        <s v="ORD00484"/>
        <s v="ORD00613"/>
        <s v="ORD00781"/>
        <s v="ORD00987"/>
        <s v="ORD01097"/>
        <s v="ORD00067"/>
        <s v="ORD00326"/>
        <s v="ORD00216"/>
        <s v="ORD00198"/>
        <s v="ORD00176"/>
        <s v="ORD00689"/>
        <s v="ORD00708"/>
        <s v="ORD00791"/>
        <s v="ORD00947"/>
        <s v="ORD01118"/>
        <s v="ORD00011"/>
        <s v="ORD00258"/>
        <s v="ORD00222"/>
        <s v="ORD00320"/>
        <s v="ORD00396"/>
        <s v="ORD00467"/>
        <s v="ORD00542"/>
        <s v="ORD01041"/>
        <s v="ORD00231"/>
        <s v="ORD00110"/>
        <s v="ORD00113"/>
        <s v="ORD00442"/>
        <s v="ORD00525"/>
        <s v="ORD00535"/>
        <s v="ORD00664"/>
        <s v="ORD00717"/>
        <s v="ORD00740"/>
        <s v="ORD00906"/>
        <s v="ORD00975"/>
        <s v="ORD01021"/>
        <s v="ORD01095"/>
        <s v="ORD01173"/>
        <s v="ORD00370"/>
        <s v="ORD00414"/>
        <s v="ORD00595"/>
        <s v="ORD00894"/>
        <s v="ORD00225"/>
        <s v="ORD00446"/>
        <s v="ORD00905"/>
        <s v="ORD01019"/>
        <s v="ORD01032"/>
        <s v="ORD01145"/>
        <s v="ORD00167"/>
        <s v="ORD00098"/>
        <s v="ORD00069"/>
        <s v="ORD00145"/>
        <s v="ORD00440"/>
        <s v="ORD00937"/>
        <s v="ORD01004"/>
        <s v="ORD01129"/>
        <s v="ORD00010"/>
        <s v="ORD00606"/>
        <s v="ORD00764"/>
        <s v="ORD00783"/>
        <s v="ORD00995"/>
        <s v="ORD01103"/>
        <s v="ORD01111"/>
        <s v="ORD00073"/>
        <s v="ORD00140"/>
        <s v="ORD00252"/>
        <s v="ORD00309"/>
        <s v="ORD00445"/>
        <s v="ORD00466"/>
        <s v="ORD00731"/>
        <s v="ORD00742"/>
        <s v="ORD00829"/>
        <s v="ORD00980"/>
        <s v="ORD01050"/>
        <s v="ORD00614"/>
        <s v="ORD00782"/>
        <s v="ORD01186"/>
        <s v="ORD00312"/>
        <s v="ORD00055"/>
        <s v="ORD00044"/>
        <s v="ORD00290"/>
        <s v="ORD00138"/>
        <s v="ORD00191"/>
        <s v="ORD00240"/>
        <s v="ORD00363"/>
        <s v="ORD00747"/>
        <s v="ORD00786"/>
        <s v="ORD00804"/>
        <s v="ORD01156"/>
        <s v="ORD00112"/>
        <s v="ORD00433"/>
        <s v="ORD00481"/>
        <s v="ORD00702"/>
        <s v="ORD00864"/>
        <s v="ORD00108"/>
        <s v="ORD00209"/>
        <s v="ORD00537"/>
        <s v="ORD00669"/>
        <s v="ORD00761"/>
        <s v="ORD00769"/>
        <s v="ORD00778"/>
        <s v="ORD00956"/>
        <s v="ORD00979"/>
        <s v="ORD00120"/>
        <s v="ORD00418"/>
        <s v="ORD00998"/>
        <s v="ORD00007"/>
        <s v="ORD00028"/>
        <s v="ORD00076"/>
        <s v="ORD00173"/>
        <s v="ORD00991"/>
        <s v="ORD01027"/>
        <s v="ORD01115"/>
        <s v="ORD00342"/>
        <s v="ORD00331"/>
        <s v="ORD00511"/>
        <s v="ORD00845"/>
        <s v="ORD00860"/>
        <s v="ORD01031"/>
        <s v="ORD01074"/>
        <s v="ORD00686"/>
        <s v="ORD00705"/>
        <s v="ORD00726"/>
        <s v="ORD00903"/>
        <s v="ORD00157"/>
        <s v="ORD00506"/>
        <s v="ORD00616"/>
        <s v="ORD00663"/>
        <s v="ORD00776"/>
        <s v="ORD00976"/>
        <s v="ORD00059"/>
        <s v="ORD00203"/>
        <s v="ORD00658"/>
        <s v="ORD00752"/>
        <s v="ORD00822"/>
        <s v="ORD01085"/>
        <s v="ORD01113"/>
        <s v="ORD00012"/>
        <s v="ORD00367"/>
        <s v="ORD00372"/>
        <s v="ORD00465"/>
        <s v="ORD00551"/>
        <s v="ORD00593"/>
        <s v="ORD00852"/>
        <s v="ORD00913"/>
        <s v="ORD01157"/>
        <s v="ORD00171"/>
        <s v="ORD00348"/>
        <s v="ORD00412"/>
        <s v="ORD00665"/>
        <s v="ORD01139"/>
        <s v="ORD00156"/>
        <s v="ORD00578"/>
        <s v="ORD00652"/>
        <s v="ORD00736"/>
        <s v="ORD00848"/>
        <s v="ORD00887"/>
        <s v="ORD01026"/>
        <s v="ORD00767"/>
        <s v="ORD00835"/>
        <s v="ORD00310"/>
        <s v="ORD00058"/>
        <s v="ORD00063"/>
        <s v="ORD00315"/>
        <s v="ORD00622"/>
        <s v="ORD00893"/>
        <s v="ORD01025"/>
        <s v="ORD00096"/>
        <s v="ORD00379"/>
        <s v="ORD00399"/>
        <s v="ORD00436"/>
        <s v="ORD00448"/>
        <s v="ORD00691"/>
        <s v="ORD00988"/>
        <s v="ORD01069"/>
        <s v="ORD00329"/>
        <s v="ORD00361"/>
        <s v="ORD00255"/>
        <s v="ORD00186"/>
        <s v="ORD00082"/>
        <s v="ORD00583"/>
        <s v="ORD00687"/>
        <s v="ORD00777"/>
        <s v="ORD00796"/>
        <s v="ORD00151"/>
        <s v="ORD00612"/>
        <s v="ORD00811"/>
        <s v="ORD01076"/>
        <s v="ORD01120"/>
        <s v="ORD00224"/>
        <s v="ORD00546"/>
        <s v="ORD00584"/>
        <s v="ORD00803"/>
        <s v="ORD01067"/>
        <s v="ORD00321"/>
        <s v="ORD00201"/>
        <s v="ORD00207"/>
        <s v="ORD00657"/>
        <s v="ORD00784"/>
        <s v="ORD01001"/>
        <s v="ORD01011"/>
        <s v="ORD01143"/>
        <s v="ORD01179"/>
        <s v="ORD00091"/>
        <s v="ORD00074"/>
        <s v="ORD00204"/>
        <s v="ORD00261"/>
        <s v="ORD00530"/>
        <s v="ORD00673"/>
        <s v="ORD00026"/>
        <s v="ORD00257"/>
        <s v="ORD00356"/>
        <s v="ORD00911"/>
        <s v="ORD01077"/>
        <s v="ORD01167"/>
        <s v="ORD00129"/>
        <s v="ORD00064"/>
        <s v="ORD00297"/>
        <s v="ORD00242"/>
        <s v="ORD00540"/>
        <s v="ORD00548"/>
        <s v="ORD00700"/>
        <s v="ORD00706"/>
        <s v="ORD00714"/>
        <s v="ORD00878"/>
        <s v="ORD00298"/>
        <s v="ORD00683"/>
        <s v="ORD00760"/>
        <s v="ORD00817"/>
        <s v="ORD00901"/>
        <s v="ORD01161"/>
        <s v="ORD00046"/>
        <s v="ORD00178"/>
        <s v="ORD00133"/>
        <s v="ORD00615"/>
        <s v="ORD00754"/>
        <s v="ORD00842"/>
        <s v="ORD01044"/>
        <s v="ORD01182"/>
        <s v="ORD00014"/>
        <s v="ORD00189"/>
        <s v="ORD00344"/>
        <s v="ORD00150"/>
        <s v="ORD00425"/>
        <s v="ORD00528"/>
        <s v="ORD00809"/>
        <s v="ORD00973"/>
        <s v="ORD01024"/>
        <s v="ORD01029"/>
        <s v="ORD01054"/>
        <s v="ORD01084"/>
        <s v="ORD00005"/>
        <s v="ORD00334"/>
        <s v="ORD00251"/>
        <s v="ORD00497"/>
        <s v="ORD00872"/>
        <s v="ORD00139"/>
        <s v="ORD00303"/>
        <s v="ORD00353"/>
        <s v="ORD00629"/>
        <s v="ORD00972"/>
        <s v="ORD00413"/>
        <s v="ORD00494"/>
        <s v="ORD00693"/>
        <s v="ORD00880"/>
        <s v="ORD01142"/>
        <s v="ORD01166"/>
        <s v="ORD00039"/>
        <s v="ORD00065"/>
        <s v="ORD00128"/>
        <s v="ORD00395"/>
        <s v="ORD00431"/>
        <s v="ORD00581"/>
        <s v="ORD00626"/>
        <s v="ORD00879"/>
        <s v="ORD00939"/>
        <s v="ORD00022"/>
        <s v="ORD00169"/>
        <s v="ORD00299"/>
        <s v="ORD00097"/>
        <s v="ORD00380"/>
        <s v="ORD00406"/>
        <s v="ORD00588"/>
        <s v="ORD00666"/>
        <s v="ORD00923"/>
        <s v="ORD01039"/>
        <s v="ORD00288"/>
        <s v="ORD00077"/>
        <s v="ORD00030"/>
        <s v="ORD00228"/>
        <s v="ORD00291"/>
        <s v="ORD00362"/>
        <s v="ORD00416"/>
        <s v="ORD00450"/>
        <s v="ORD00599"/>
        <s v="ORD00790"/>
        <s v="ORD00908"/>
        <s v="ORD01144"/>
        <s v="ORD01152"/>
        <s v="ORD01153"/>
        <s v="ORD00227"/>
        <s v="ORD01022"/>
        <s v="ORD01028"/>
        <s v="ORD00017"/>
        <s v="ORD00402"/>
        <s v="ORD00730"/>
        <s v="ORD00792"/>
        <s v="ORD00814"/>
        <s v="ORD00846"/>
        <s v="ORD00914"/>
        <s v="ORD00269"/>
        <s v="ORD00123"/>
        <s v="ORD00565"/>
        <s v="ORD00709"/>
        <s v="ORD01040"/>
        <s v="ORD00253"/>
        <s v="ORD00276"/>
        <s v="ORD00121"/>
        <s v="ORD00314"/>
        <s v="ORD00364"/>
        <s v="ORD00435"/>
        <s v="ORD00543"/>
        <s v="ORD00560"/>
        <s v="ORD00733"/>
        <s v="ORD00881"/>
        <s v="ORD00239"/>
        <s v="ORD00220"/>
        <s v="ORD00419"/>
        <s v="ORD00498"/>
        <s v="ORD00712"/>
        <s v="ORD00807"/>
        <s v="ORD00024"/>
        <s v="ORD00420"/>
        <s v="ORD00672"/>
        <s v="ORD00692"/>
        <s v="ORD00932"/>
        <s v="ORD01160"/>
        <s v="ORD00160"/>
        <s v="ORD00313"/>
        <s v="ORD00226"/>
        <s v="ORD00268"/>
        <s v="ORD00376"/>
        <s v="ORD00641"/>
        <s v="ORD00674"/>
        <s v="ORD00716"/>
        <s v="ORD00770"/>
        <s v="ORD00795"/>
        <s v="ORD00810"/>
        <s v="ORD00272"/>
        <s v="ORD00274"/>
        <s v="ORD00375"/>
        <s v="ORD00254"/>
        <s v="ORD00369"/>
        <s v="ORD00424"/>
        <s v="ORD00457"/>
        <s v="ORD00721"/>
        <s v="ORD01104"/>
        <s v="ORD00238"/>
        <s v="ORD00486"/>
        <s v="ORD00808"/>
        <s v="ORD00900"/>
        <s v="ORD00141"/>
        <s v="ORD00115"/>
        <s v="ORD00155"/>
        <s v="ORD00487"/>
        <s v="ORD00797"/>
        <s v="ORD00667"/>
        <s v="ORD00737"/>
        <s v="ORD00818"/>
        <s v="ORD01083"/>
        <s v="ORD00306"/>
        <s v="ORD00515"/>
        <s v="ORD00854"/>
        <s v="ORD01006"/>
        <s v="ORD01072"/>
        <s v="ORD01180"/>
        <s v="ORD00340"/>
        <s v="ORD00415"/>
        <s v="ORD00758"/>
        <s v="ORD00876"/>
        <s v="ORD01023"/>
        <s v="ORD00084"/>
        <s v="ORD00061"/>
        <s v="ORD00262"/>
        <s v="ORD00358"/>
        <s v="ORD00389"/>
        <s v="ORD00703"/>
        <s v="ORD00815"/>
        <s v="ORD00828"/>
        <s v="ORD00936"/>
        <s v="ORD01035"/>
        <s v="ORD01037"/>
        <s v="ORD01073"/>
        <s v="ORD00347"/>
        <s v="ORD00184"/>
        <s v="ORD00604"/>
        <s v="ORD00774"/>
        <s v="ORD00801"/>
        <s v="ORD00897"/>
        <s v="ORD01020"/>
        <s v="ORD01106"/>
        <s v="ORD00704"/>
        <s v="ORD00858"/>
        <s v="ORD00938"/>
        <s v="ORD00281"/>
        <s v="ORD00459"/>
        <s v="ORD00462"/>
        <s v="ORD00697"/>
        <s v="ORD01010"/>
        <s v="ORD00042"/>
        <s v="ORD00153"/>
        <s v="ORD00489"/>
        <s v="ORD00930"/>
        <s v="ORD01140"/>
        <s v="ORD01191"/>
        <s v="ORD00001"/>
        <s v="ORD00182"/>
        <s v="ORD00536"/>
        <s v="ORD00631"/>
        <s v="ORD00671"/>
        <s v="ORD00863"/>
        <s v="ORD01062"/>
        <s v="ORD00080"/>
        <s v="ORD00429"/>
        <s v="ORD00485"/>
        <s v="ORD00538"/>
        <s v="ORD00574"/>
        <s v="ORD00660"/>
        <s v="ORD00806"/>
        <s v="ORD01181"/>
        <s v="ORD01189"/>
        <s v="ORD00308"/>
        <s v="ORD00619"/>
        <s v="ORD00888"/>
        <s v="ORD00984"/>
        <s v="ORD01174"/>
        <s v="ORD00241"/>
        <s v="ORD00470"/>
        <s v="ORD00696"/>
        <s v="ORD00718"/>
        <s v="ORD00753"/>
        <s v="ORD01066"/>
        <s v="ORD00293"/>
        <s v="ORD00202"/>
        <s v="ORD00430"/>
        <s v="ORD00568"/>
        <s v="ORD00586"/>
        <s v="ORD00685"/>
        <s v="ORD00823"/>
        <s v="ORD00836"/>
        <s v="ORD00383"/>
        <s v="ORD01075"/>
        <s v="ORD01107"/>
        <s v="ORD00029"/>
        <s v="ORD00404"/>
        <s v="ORD00468"/>
        <s v="ORD00552"/>
        <s v="ORD00853"/>
        <s v="ORD00862"/>
        <s v="ORD00902"/>
        <s v="ORD01133"/>
        <s v="ORD00002"/>
        <s v="ORD00317"/>
        <s v="ORD00452"/>
        <s v="ORD00491"/>
        <s v="ORD00596"/>
        <s v="ORD00961"/>
        <s v="ORD01038"/>
        <s v="ORD00126"/>
        <s v="ORD00047"/>
        <s v="ORD00555"/>
        <s v="ORD00715"/>
        <s v="ORD00948"/>
        <s v="ORD00959"/>
        <s v="ORD01061"/>
        <s v="ORD01132"/>
        <s v="ORD01168"/>
        <s v="ORD01170"/>
        <s v="ORD00365"/>
        <s v="ORD00564"/>
        <s v="ORD01082"/>
        <s v="ORD00087"/>
        <s v="ORD00287"/>
        <s v="ORD00206"/>
        <s v="ORD00480"/>
        <s v="ORD00566"/>
        <s v="ORD00585"/>
        <s v="ORD00609"/>
        <s v="ORD00638"/>
        <s v="ORD00927"/>
        <s v="ORD01005"/>
        <s v="ORD00236"/>
        <s v="ORD00068"/>
        <s v="ORD00105"/>
        <s v="ORD00200"/>
        <s v="ORD00460"/>
        <s v="ORD00971"/>
        <s v="ORD00996"/>
        <s v="ORD01177"/>
        <s v="ORD01193"/>
        <s v="ORD00093"/>
        <s v="ORD00210"/>
        <s v="ORD00301"/>
        <s v="ORD00371"/>
        <s v="ORD00458"/>
        <s v="ORD00513"/>
        <s v="ORD00630"/>
        <s v="ORD01055"/>
        <s v="ORD01063"/>
        <s v="ORD01128"/>
        <s v="ORD00233"/>
        <s v="ORD00323"/>
        <s v="ORD00500"/>
        <s v="ORD00561"/>
        <s v="ORD00624"/>
        <s v="ORD00735"/>
        <s v="ORD00831"/>
        <s v="ORD00855"/>
        <s v="ORD00357"/>
        <s v="ORD00549"/>
        <s v="ORD00594"/>
        <s v="ORD00844"/>
        <s v="ORD00337"/>
        <s v="ORD00545"/>
        <s v="ORD00926"/>
        <s v="ORD01089"/>
        <s v="ORD00008"/>
        <s v="ORD01100"/>
        <s v="ORD00003"/>
        <s v="ORD00179"/>
        <s v="ORD00463"/>
        <s v="ORD00559"/>
        <s v="ORD00576"/>
        <s v="ORD00591"/>
        <s v="ORD00922"/>
        <s v="ORD00934"/>
        <s v="ORD01042"/>
        <s v="ORD00174"/>
        <s v="ORD00744"/>
        <s v="ORD00819"/>
        <s v="ORD00982"/>
        <s v="ORD01197"/>
        <s v="ORD00410"/>
        <s v="ORD00570"/>
        <s v="ORD00643"/>
        <s v="ORD00651"/>
        <s v="ORD00676"/>
        <s v="ORD00695"/>
        <s v="ORD00974"/>
        <s v="ORD00053"/>
        <s v="ORD00526"/>
        <s v="ORD00553"/>
        <s v="ORD00677"/>
        <s v="ORD00834"/>
        <s v="ORD00920"/>
        <s v="ORD00929"/>
        <s v="ORD01192"/>
        <s v="ORD00117"/>
        <s v="ORD00426"/>
        <s v="ORD00427"/>
        <s v="ORD00520"/>
        <s v="ORD00680"/>
        <s v="ORD00745"/>
        <s v="ORD01002"/>
        <s v="ORD01151"/>
        <s v="ORD00078"/>
        <s v="ORD00391"/>
        <s v="ORD00478"/>
        <s v="ORD01000"/>
        <s v="ORD01064"/>
        <s v="ORD00137"/>
        <s v="ORD00232"/>
        <s v="ORD00284"/>
        <s v="ORD00388"/>
        <s v="ORD00534"/>
        <s v="ORD00949"/>
        <s v="ORD00942"/>
        <s v="ORD01046"/>
        <s v="ORD01137"/>
        <s v="ORD00052"/>
        <s v="ORD00248"/>
        <s v="ORD00164"/>
        <s v="ORD00443"/>
        <s v="ORD00579"/>
        <s v="ORD00654"/>
        <s v="ORD01059"/>
        <s v="ORD01070"/>
        <s v="ORD01079"/>
        <s v="ORD00071"/>
        <s v="ORD00136"/>
        <s v="ORD00038"/>
        <s v="ORD00081"/>
        <s v="ORD00360"/>
        <s v="ORD00366"/>
        <s v="ORD00650"/>
        <s v="ORD00812"/>
        <s v="ORD00978"/>
        <s v="ORD00168"/>
        <s v="ORD00563"/>
        <s v="ORD00970"/>
        <s v="ORD01158"/>
        <s v="ORD01184"/>
        <s v="ORD00131"/>
        <s v="ORD00194"/>
        <s v="ORD00471"/>
        <s v="ORD01003"/>
        <s v="ORD01110"/>
        <s v="ORD00075"/>
        <s v="ORD00088"/>
        <s v="ORD00332"/>
        <s v="ORD00385"/>
        <s v="ORD00645"/>
        <s v="ORD01162"/>
        <s v="ORD00196"/>
        <s v="ORD00423"/>
        <s v="ORD00441"/>
        <s v="ORD00456"/>
        <s v="ORD00590"/>
        <s v="ORD00707"/>
        <s v="ORD00892"/>
        <s v="ORD01081"/>
        <s v="ORD01087"/>
        <s v="ORD01116"/>
        <s v="ORD00162"/>
        <s v="ORD00085"/>
        <s v="ORD00199"/>
        <s v="ORD00307"/>
        <s v="ORD00681"/>
        <s v="ORD00725"/>
        <s v="ORD00957"/>
        <s v="ORD01014"/>
        <s v="ORD01131"/>
        <s v="ORD01198"/>
        <s v="ORD01200"/>
        <s v="ORD00021"/>
        <s v="ORD00343"/>
        <s v="ORD00378"/>
        <s v="ORD00398"/>
        <s v="ORD00805"/>
        <s v="ORD00025"/>
        <s v="ORD00092"/>
        <s v="ORD00119"/>
        <s v="ORD00124"/>
        <s v="ORD00163"/>
        <s v="ORD00602"/>
        <s v="ORD00648"/>
        <s v="ORD00019"/>
        <s v="ORD00270"/>
        <s v="ORD00558"/>
        <s v="ORD00603"/>
        <s v="ORD00821"/>
        <s v="ORD00918"/>
        <s v="ORD00958"/>
        <s v="ORD00013"/>
        <s v="ORD00018"/>
        <s v="ORD00518"/>
        <s v="ORD00529"/>
        <s v="ORD01109"/>
        <s v="ORD01117"/>
        <s v="ORD00349"/>
        <s v="ORD00134"/>
        <s v="ORD00316"/>
        <s v="ORD00577"/>
        <s v="ORD00582"/>
        <s v="ORD00899"/>
        <s v="ORD01034"/>
        <s v="ORD01096"/>
        <s v="ORD00211"/>
        <s v="ORD00617"/>
        <s v="ORD00621"/>
        <s v="ORD00639"/>
        <s v="ORD00868"/>
        <s v="ORD01122"/>
        <s v="ORD00054"/>
        <s v="ORD00154"/>
        <s v="ORD00234"/>
        <s v="ORD00505"/>
        <s v="ORD00523"/>
        <s v="ORD00850"/>
        <s v="ORD00004"/>
        <s v="ORD00125"/>
        <s v="ORD00116"/>
        <s v="ORD00170"/>
        <s v="ORD00086"/>
        <s v="ORD00475"/>
        <s v="ORD00788"/>
        <s v="ORD00827"/>
        <s v="ORD00997"/>
        <s v="ORD01134"/>
        <s v="ORD01172"/>
        <s v="ORD00244"/>
        <s v="ORD00247"/>
        <s v="ORD00094"/>
        <s v="ORD00229"/>
        <s v="ORD00405"/>
        <s v="ORD00608"/>
        <s v="ORD00623"/>
        <s v="ORD00890"/>
        <s v="ORD01049"/>
        <s v="ORD01088"/>
        <s v="ORD00166"/>
        <s v="ORD00432"/>
        <s v="ORD00473"/>
        <s v="ORD01178"/>
        <s v="ORD00114"/>
        <s v="ORD00335"/>
        <s v="ORD00678"/>
        <s v="ORD00800"/>
        <s v="ORD00898"/>
        <s v="ORD01017"/>
        <s v="ORD01176"/>
        <s v="ORD00283"/>
        <s v="ORD01093"/>
        <s v="ORD01119"/>
        <s v="ORD00273"/>
        <s v="ORD00417"/>
        <s v="ORD01043"/>
        <s v="ORD01150"/>
        <s v="ORD01154"/>
        <s v="ORD00089"/>
        <s v="ORD00646"/>
        <s v="ORD00694"/>
        <s v="ORD00748"/>
        <s v="ORD00851"/>
        <s v="ORD00895"/>
        <s v="ORD00016"/>
        <s v="ORD00188"/>
        <s v="ORD00601"/>
        <s v="ORD00661"/>
        <s v="ORD00732"/>
        <s v="ORD01091"/>
        <s v="ORD00187"/>
        <s v="ORD00330"/>
        <s v="ORD00539"/>
        <s v="ORD00916"/>
        <s v="ORD00931"/>
        <s v="ORD01045"/>
        <s v="ORD00390"/>
        <s v="ORD00474"/>
        <s v="ORD00825"/>
        <s v="ORD01030"/>
        <s v="ORD01187"/>
        <s v="ORD00031"/>
        <s v="ORD00351"/>
        <s v="ORD00218"/>
        <s v="ORD00407"/>
        <s v="ORD00479"/>
        <s v="ORD00544"/>
        <s v="ORD00739"/>
        <s v="ORD00847"/>
        <s v="ORD01124"/>
        <s v="ORD00146"/>
        <s v="ORD00567"/>
        <s v="ORD00690"/>
        <s v="ORD00756"/>
        <s v="ORD00943"/>
        <s v="ORD00037"/>
        <s v="ORD00045"/>
        <s v="ORD00161"/>
        <s v="ORD01092"/>
        <s v="ORD00118"/>
        <s v="ORD00009"/>
        <s v="ORD00488"/>
        <s v="ORD00682"/>
        <s v="ORD00954"/>
        <s v="ORD00966"/>
        <s v="ORD01078"/>
        <s v="ORD00469"/>
        <s v="ORD00766"/>
        <s v="ORD00870"/>
        <s v="ORD00924"/>
        <s v="ORD00318"/>
        <s v="ORD00325"/>
        <s v="ORD00324"/>
        <s v="ORD00531"/>
        <s v="ORD00798"/>
        <s v="ORD00813"/>
        <s v="ORD00006"/>
        <s v="ORD00172"/>
        <s v="ORD00049"/>
        <s v="ORD00130"/>
        <s v="ORD00400"/>
        <s v="ORD00437"/>
        <s v="ORD00771"/>
        <s v="ORD00883"/>
        <s v="ORD01194"/>
        <s v="ORD00455"/>
        <s v="ORD00502"/>
        <s v="ORD00734"/>
        <s v="ORD01155"/>
        <s v="ORD00043"/>
        <s v="ORD00223"/>
        <s v="ORD00727"/>
        <s v="ORD00763"/>
        <s v="ORD00886"/>
        <s v="ORD00967"/>
        <s v="ORD00992"/>
        <s v="ORD01164"/>
        <s v="ORD00422"/>
        <s v="ORD00501"/>
        <s v="ORD00637"/>
        <s v="ORD00794"/>
        <s v="ORD00214"/>
        <s v="ORD00751"/>
        <s v="ORD00950"/>
        <s v="ORD01171"/>
        <s v="ORD00027"/>
        <s v="ORD00557"/>
        <s v="ORD00600"/>
        <s v="ORD00605"/>
        <s v="ORD00607"/>
        <s v="ORD00713"/>
        <s v="ORD00773"/>
        <s v="ORD00833"/>
        <s v="ORD00969"/>
        <s v="ORD01147"/>
        <s v="ORD00193"/>
        <s v="ORD00728"/>
        <s v="ORD00793"/>
        <s v="ORD00909"/>
        <s v="ORD00945"/>
        <s v="ORD01114"/>
        <s v="ORD00060"/>
        <s v="ORD00710"/>
        <s v="ORD00772"/>
        <s v="ORD00787"/>
        <s v="ORD00928"/>
        <s v="ORD00935"/>
        <s v="ORD01102"/>
        <s v="ORD00524"/>
        <s v="ORD00587"/>
        <s v="ORD00628"/>
        <s v="ORD00882"/>
        <s v="ORD00933"/>
        <s v="ORD01007"/>
        <s v="ORD00072"/>
        <s v="ORD00249"/>
        <s v="ORD00295"/>
        <s v="ORD00300"/>
        <s v="ORD00282"/>
        <s v="ORD00477"/>
        <s v="ORD00522"/>
        <s v="ORD01015"/>
        <s v="ORD00103"/>
        <s v="ORD00175"/>
        <s v="ORD00387"/>
        <s v="ORD00656"/>
        <s v="ORD00779"/>
        <s v="ORD01051"/>
        <s v="ORD01053"/>
        <s v="ORD00183"/>
        <s v="ORD00127"/>
        <s v="ORD00820"/>
        <s v="ORD00874"/>
        <s v="ORD00889"/>
        <s v="ORD00219"/>
        <s v="ORD00464"/>
        <s v="ORD00493"/>
        <s v="ORD00832"/>
        <s v="ORD01065"/>
        <s v="ORD01094"/>
        <s v="ORD01148"/>
        <s v="ORD01175"/>
        <s v="ORD00271"/>
        <s v="ORD00033"/>
        <s v="ORD00454"/>
        <s v="ORD00510"/>
        <s v="ORD00572"/>
        <s v="ORD00765"/>
        <s v="ORD00785"/>
        <s v="ORD01105"/>
        <s v="ORD00051"/>
        <s v="ORD00327"/>
        <s v="ORD00359"/>
        <s v="ORD00439"/>
        <s v="ORD00569"/>
        <s v="ORD00598"/>
        <s v="ORD00662"/>
        <s v="ORD01060"/>
        <s v="ORD01123"/>
        <s v="ORD00122"/>
        <s v="ORD00034"/>
        <s v="ORD00311"/>
        <s v="ORD00289"/>
        <s v="ORD00322"/>
        <s v="ORD00278"/>
        <s v="ORD00649"/>
        <s v="ORD01058"/>
        <s v="ORD01185"/>
        <s v="ORD00101"/>
        <s v="ORD00775"/>
        <s v="ORD00877"/>
        <s v="ORD01036"/>
        <s v="ORD01130"/>
        <s v="ORD00159"/>
        <s v="ORD00386"/>
        <s v="ORD00724"/>
        <s v="ORD00839"/>
        <s v="ORD00867"/>
        <s v="ORD00885"/>
        <s v="ORD00910"/>
        <s v="ORD00256"/>
        <s v="ORD00411"/>
        <s v="ORD00527"/>
        <s v="ORD00743"/>
        <s v="ORD00915"/>
        <s v="ORD00079"/>
        <s v="ORD00461"/>
        <s v="ORD00610"/>
        <s v="ORD00746"/>
        <s v="ORD00985"/>
        <s v="ORD00993"/>
        <s v="ORD01080"/>
        <s v="ORD01101"/>
        <s v="ORD00149"/>
        <s v="ORD00099"/>
        <s v="ORD00496"/>
        <s v="ORD00711"/>
        <s v="ORD00824"/>
        <s v="ORD01047"/>
        <s v="ORD00259"/>
        <s v="ORD00148"/>
        <s v="ORD00476"/>
        <s v="ORD00519"/>
        <s v="ORD00618"/>
        <s v="ORD00640"/>
        <s v="ORD00873"/>
        <s v="ORD00986"/>
        <s v="ORD00217"/>
        <s v="ORD00521"/>
        <s v="ORD00571"/>
        <s v="ORD00653"/>
        <s v="ORD00802"/>
        <s v="ORD00866"/>
        <s v="ORD00875"/>
        <s v="ORD00940"/>
        <s v="ORD01090"/>
        <s v="ORD01136"/>
        <s v="ORD00292"/>
        <s v="ORD00142"/>
        <s v="ORD00279"/>
        <s v="ORD00701"/>
        <s v="ORD00840"/>
        <s v="ORD01146"/>
        <s v="ORD00135"/>
        <s v="ORD00393"/>
        <s v="ORD00504"/>
        <s v="ORD00554"/>
        <s v="ORD00675"/>
        <s v="ORD00999"/>
        <s v="ORD01169"/>
        <s v="ORD00070"/>
        <s v="ORD00409"/>
        <s v="ORD00451"/>
        <s v="ORD00611"/>
        <s v="ORD00838"/>
        <s v="ORD00181"/>
        <s v="ORD00040"/>
        <s v="ORD00243"/>
        <s v="ORD00632"/>
        <s v="ORD01112"/>
        <s v="ORD01165"/>
        <s v="ORD00015"/>
        <s v="ORD00192"/>
        <s v="ORD00305"/>
        <s v="ORD00345"/>
        <s v="ORD00472"/>
        <s v="ORD00547"/>
        <s v="ORD00642"/>
        <s v="ORD00891"/>
        <s v="ORD00965"/>
        <s v="ORD01057"/>
        <s v="ORD01126"/>
        <s v="ORD00698"/>
        <s v="ORD00962"/>
        <s v="ORD01018"/>
        <s v="ORD00050"/>
        <s v="ORD00625"/>
        <s v="ORD00679"/>
        <s v="ORD00688"/>
        <s v="ORD00720"/>
        <s v="ORD00755"/>
        <s v="ORD00946"/>
        <s v="ORD01138"/>
        <s v="ORD01159"/>
        <s v="ORD01183"/>
        <s v="ORD00213"/>
        <s v="ORD00541"/>
        <s v="ORD00757"/>
        <s v="ORD00869"/>
        <s v="ORD00871"/>
        <s v="ORD00963"/>
        <s v="ORD01008"/>
        <s v="ORD01121"/>
      </sharedItems>
    </cacheField>
    <cacheField name="order_date" numFmtId="14">
      <sharedItems containsSemiMixedTypes="0" containsNonDate="0" containsDate="1" containsString="0" minDate="2025-01-01T00:00:00" maxDate="2025-07-01T00:00:00"/>
    </cacheField>
    <cacheField name="customer_id" numFmtId="0">
      <sharedItems/>
    </cacheField>
    <cacheField name="product_id" numFmtId="0">
      <sharedItems/>
    </cacheField>
    <cacheField name="quantity" numFmtId="0">
      <sharedItems containsSemiMixedTypes="0" containsString="0" containsNumber="1" containsInteger="1" minValue="1" maxValue="4"/>
    </cacheField>
    <cacheField name="unit_price" numFmtId="166">
      <sharedItems containsSemiMixedTypes="0" containsString="0" containsNumber="1" containsInteger="1" minValue="35000" maxValue="500000"/>
    </cacheField>
    <cacheField name="gross_sales" numFmtId="166">
      <sharedItems containsSemiMixedTypes="0" containsString="0" containsNumber="1" containsInteger="1" minValue="35000" maxValue="2000000"/>
    </cacheField>
    <cacheField name="promo_code" numFmtId="0">
      <sharedItems/>
    </cacheField>
    <cacheField name="discount" numFmtId="166">
      <sharedItems containsSemiMixedTypes="0" containsString="0" containsNumber="1" containsInteger="1" minValue="0" maxValue="400000"/>
    </cacheField>
    <cacheField name="shipping_cost" numFmtId="166">
      <sharedItems containsSemiMixedTypes="0" containsString="0" containsNumber="1" containsInteger="1" minValue="10000" maxValue="30000"/>
    </cacheField>
    <cacheField name="total_amount" numFmtId="166">
      <sharedItems containsSemiMixedTypes="0" containsString="0" containsNumber="1" containsInteger="1" minValue="39750" maxValue="2030000"/>
    </cacheField>
    <cacheField name="payment_method" numFmtId="0">
      <sharedItems/>
    </cacheField>
    <cacheField name="courier" numFmtId="0">
      <sharedItems/>
    </cacheField>
    <cacheField name="order_status" numFmtId="0">
      <sharedItems count="5">
        <s v="Delivered"/>
        <s v="Processing"/>
        <s v="Shipped"/>
        <s v="Returned"/>
        <s v="Cancelled"/>
      </sharedItems>
    </cacheField>
    <cacheField name="month" numFmtId="167">
      <sharedItems containsSemiMixedTypes="0" containsNonDate="0" containsDate="1" containsString="0" minDate="2025-01-01T00:00:00" maxDate="2025-06-02T00:00:00" count="6">
        <d v="2025-06-01T00:00:00"/>
        <d v="2025-05-01T00:00:00"/>
        <d v="2025-04-01T00:00:00"/>
        <d v="2025-03-01T00:00:00"/>
        <d v="2025-02-01T00:00:00"/>
        <d v="2025-01-01T00:00:00"/>
      </sharedItems>
      <fieldGroup par="26"/>
    </cacheField>
    <cacheField name="is_delivered" numFmtId="0">
      <sharedItems/>
    </cacheField>
    <cacheField name="net_sales" numFmtId="166">
      <sharedItems containsSemiMixedTypes="0" containsString="0" containsNumber="1" containsInteger="1" minValue="28000" maxValue="2000000"/>
    </cacheField>
    <cacheField name="product_name" numFmtId="0">
      <sharedItems count="60">
        <s v="Buku Sejarah &amp; Peradaban Dunia"/>
        <s v="Buku Keuangan &amp; Manajemen Investasi"/>
        <s v="Buku Kepemimpinan &amp; Manajemen Tim"/>
        <s v="Hijab Segiempat Premium Silk"/>
        <s v="Speaker Bluetooth Portable Bass"/>
        <s v="Buku Produktivitas &amp; Manajemen Waktu"/>
        <s v="Jaket Hoodie Oversize Soft"/>
        <s v="Toner Wajah Hydrating Glow"/>
        <s v="Sunscreen SPF 50 PA+++ Light"/>
        <s v="Keyboard Mechanical RGB Light"/>
        <s v="Diffuser Aromaterapi Ultrasonik"/>
        <s v="Rak Sepatu Minimalis Susun"/>
        <s v="Matras Yoga Anti Slip TPE"/>
        <s v="Facial Wash Foam Mild Cleanser"/>
        <s v="Botol Minum Olahraga 1 Liter BPA Free"/>
        <s v="Raket Bulutangkis Carbon Light"/>
        <s v="Busa Foam Roller Massage"/>
        <s v="Webcam Full HD 1080p"/>
        <s v="Kaos Polos Cotton Combed 30s"/>
        <s v="Lampu Tidur LED Smart Touch"/>
        <s v="Mouse Wireless Ergonomis"/>
        <s v="Buku Desain Grafis &amp; Kreativitas"/>
        <s v="Serum Wajah Brightening Vitamin C"/>
        <s v="Powerbank 10000mAh Ultra Slim"/>
        <s v="Body Lotion Fragrance Premium"/>
        <s v="Charger Adapter Wall Fast Charging"/>
        <s v="Headphone Wireless Noise Cancelling"/>
        <s v="Jersey Olahraga Dry-Fit Breathable"/>
        <s v="Micellar Water Cleansing Oil"/>
        <s v="Gamis Syar'i Elegant Edition"/>
        <s v="Celana Chino Panjang Premium"/>
        <s v="Lip Tint Matte Long Lasting"/>
        <s v="Set Pisau Dapur Stainless Steel"/>
        <s v="Buku Psikologi Manusia &amp; Perilaku"/>
        <s v="Kaos Polo Classic Fit"/>
        <s v="Resistance Band Loop Set"/>
        <s v="Buku Pemrograman Python &amp; Data Analytics"/>
        <s v="Sprei Katun Jepang Soft"/>
        <s v="Kemeja Casual Slim Fit"/>
        <s v="Tali Skipping Adjustable Speed"/>
        <s v="Buku Self Development Master Mindset"/>
        <s v="Hand Grip Adjustable Trainer"/>
        <s v="Masker Wajah Sheet Mask Hydra"/>
        <s v="Buku Novel Fiksi Inspiratif Terbaik"/>
        <s v="Cangkir Keramik Aesthetic Set"/>
        <s v="Bantal Leher Memory Foam"/>
        <s v="Sweater Rajut Outer Premium"/>
        <s v="Celana Jeans Stretch Slim"/>
        <s v="Keset Kamar Mandi Microfiber"/>
        <s v="Bola Basket Indoor Outdoor"/>
        <s v="Kabel Data Fast Charge USB-C"/>
        <s v="Panci Anti Lengket Teflon Multi"/>
        <s v="Earphone Bluetooth TWS Pro"/>
        <s v="Smartwatch Sport Edition"/>
        <s v="Topi Baseball Sport Original"/>
        <s v="Moisturizing Gel Aloe Vera"/>
        <s v="Eye Cream Anti Dark Circle"/>
        <s v="Dumbbell Neoprene Set 2kg"/>
        <s v="Wadah Makanan Glass Airtight Set"/>
        <s v="Buku Panduan Bisnis &amp; Strategi Modern"/>
      </sharedItems>
    </cacheField>
    <cacheField name="category" numFmtId="0">
      <sharedItems count="6">
        <s v="Books"/>
        <s v="Fashion"/>
        <s v="Electronics"/>
        <s v="Beauty"/>
        <s v="Home"/>
        <s v="Sports"/>
      </sharedItems>
    </cacheField>
    <cacheField name="brand" numFmtId="0">
      <sharedItems count="6">
        <s v="Insight"/>
        <s v="Modest"/>
        <s v="Atech"/>
        <s v="GlowUp"/>
        <s v="Casa"/>
        <s v="Active"/>
      </sharedItems>
    </cacheField>
    <cacheField name="customer_name" numFmtId="0">
      <sharedItems count="340">
        <s v="Rafi Pangestu"/>
        <s v="Laura Dian Permadi"/>
        <s v="Rosa Dwi Laksono Wulandari"/>
        <s v="Mia Santoso"/>
        <s v="Fikri Herlambang"/>
        <s v="Oscar Bintang Maulana"/>
        <s v="Sheila Bayu Kusnadi"/>
        <s v="Elang Hidayat"/>
        <s v="Indra Kurnia"/>
        <s v="Miko Anjani Wulandari"/>
        <s v="Aulia Citra Kusuma Cahyani"/>
        <s v="Aditya Anggraini"/>
        <s v="Naufal Bintang Anggraini Wibowo"/>
        <s v="Deni Adi Irawan Nugroho"/>
        <s v="Nisa Bayu Kusnadi"/>
        <s v="Aditya Naufal Hidayat"/>
        <s v="Fadli Rahman"/>
        <s v="Yusuf Fauzi"/>
        <s v="Rizky Hidayat"/>
        <s v="Arman Ayu Maulana"/>
        <s v="Raka Naufal Kusuma"/>
        <s v="Ratih Putri Kusnadi"/>
        <s v="Febri Kusuma"/>
        <s v="Bella Naufal Nugroho"/>
        <s v="Zahra Wibowo"/>
        <s v="Rizal Rizki Wulandari"/>
        <s v="Bima Wardana"/>
        <s v="Bayu Rizki Permadi"/>
        <s v="Adit Setyawan"/>
        <s v="Della Kirana Nugroho"/>
        <s v="Sania Maulana"/>
        <s v="Ghani Ramadhan"/>
        <s v="Dewi Utami"/>
        <s v="Andika Mahendra"/>
        <s v="Ardi Wibowo"/>
        <s v="Oki Setyawan"/>
        <s v="Julia Adi Wulandari"/>
        <s v="Celine Fauzi"/>
        <s v="Fauzan Naufal Firmansyah Purnama"/>
        <s v="Rizky Herlambang"/>
        <s v="Celine Naufal Pranoto"/>
        <s v="Putri Nur Saputra"/>
        <s v="Raka Maulana"/>
        <s v="Aulia Rizal Anggraini"/>
        <s v="Mia Aulia Ningsih"/>
        <s v="Della Gunawan"/>
        <s v="Ratih Irawan"/>
        <s v="Elsa Mulyadi"/>
        <s v="Sheila Anjani Pangestu"/>
        <s v="Doni Irawan"/>
        <s v="Ghani Galang Mulyadi"/>
        <s v="Alya Anjani Hidayat"/>
        <s v="Fadli Kirana Mulyadi"/>
        <s v="Fauzan Rizki Saputra"/>
        <s v="Aulia Kusnadi"/>
        <s v="Nanda Ayu Salim"/>
        <s v="Andika Suryani"/>
        <s v="Ratih Sari Rahman"/>
        <s v="Putra Maulana"/>
        <s v="Nadia Kirana Mahendra"/>
        <s v="Vania Dwi Santoso"/>
        <s v="Nia Wibowo"/>
        <s v="Sari Yuliani"/>
        <s v="Olivia Wardana"/>
        <s v="Doni Wibowo"/>
        <s v="Gita Suryanto"/>
        <s v="Surya Kusuma"/>
        <s v="Oscar Dian Wardana Laksono"/>
        <s v="Della Santoso"/>
        <s v="Dimas Wijaya"/>
        <s v="Joko Kusuma"/>
        <s v="Karina Adi Kurnia"/>
        <s v="Rara Purnama"/>
        <s v="Dania Pratama"/>
        <s v="Bagas Fauzi"/>
        <s v="Olivia Rizal Maulana"/>
        <s v="Dara Irawan"/>
        <s v="Anisa Kirana Maulana"/>
        <s v="Danu Pangestu"/>
        <s v="Wawan Permadi"/>
        <s v="Elang Wijaya"/>
        <s v="Wawan Prasetyo"/>
        <s v="Laura Saputra"/>
        <s v="Rizky Naufal Ananda"/>
        <s v="Irene Putra Nugroho"/>
        <s v="Lina Lestari"/>
        <s v="Bayu Sari Ramadhan"/>
        <s v="Putri Ananda"/>
        <s v="Bayu Kusnadi"/>
        <s v="Gina Pratama"/>
        <s v="Dara Naufal Kurniawan"/>
        <s v="Febri Sari Nugroho"/>
        <s v="Raka Utami"/>
        <s v="Dimas Nur Permadi"/>
        <s v="Fauzan Siregar"/>
        <s v="Adit Kirana Pranoto"/>
        <s v="Iqbal Naufal Irawan"/>
        <s v="Naufal Bayu Kusnadi"/>
        <s v="Rani Bayu Permata"/>
        <s v="Agung Nur Wijaya"/>
        <s v="Cahya Bintang Kurnia"/>
        <s v="Intan Citra Kusnadi"/>
        <s v="Irfan Sari Fauzi Setiawan"/>
        <s v="Febri Dwi Mulyadi"/>
        <s v="Sheila Rizki Setiawan"/>
        <s v="Alya Anggraini"/>
        <s v="Putri Siregar"/>
        <s v="Doni Kirana Permata"/>
        <s v="Fauzan Citra Pangestu"/>
        <s v="Rara Naufal Pratama"/>
        <s v="Arif Naufal Gunawan"/>
        <s v="Naufal Firmansyah"/>
        <s v="Ganesha Ananda"/>
        <s v="Rizky Gunawan"/>
        <s v="Dimas Cahyani"/>
        <s v="Taufik Rizal Susanto"/>
        <s v="Dinda Nur Saputra"/>
        <s v="Gina Putri Ananda"/>
        <s v="Della Pratama"/>
        <s v="Fajar Cahyani"/>
        <s v="Zahra Nugroho"/>
        <s v="Yoga Raka Kusuma"/>
        <s v="Laura Anjani Prasetyo"/>
        <s v="Farah Rizal Permata"/>
        <s v="Nisa Siregar"/>
        <s v="Satria Hakim"/>
        <s v="Gina Mahendra"/>
        <s v="Ratih Wibowo"/>
        <s v="Rosa Rizki Firmansyah"/>
        <s v="Daffa Raka Cahyani Hakim"/>
        <s v="Iqbal Mahendra"/>
        <s v="Irene Dwi Prasetyo"/>
        <s v="Mira Nur Prasetyo"/>
        <s v="Oscar Saputra"/>
        <s v="Dania Siregar"/>
        <s v="Yusuf Putri Mulyadi Fauzi"/>
        <s v="Rizal Bintang Kurniawan"/>
        <s v="Julia Bayu Fauzi"/>
        <s v="Yudha Pratama"/>
        <s v="Yusuf Bintang Ningsih"/>
        <s v="Clara Iskandar"/>
        <s v="Raka Nur Anggraini"/>
        <s v="Fauzan Utami"/>
        <s v="Bayu Rizal Wardana"/>
        <s v="Salsa Dwi Ananda"/>
        <s v="Bayu Putra Santoso Cahyani"/>
        <s v="Zahra Raka Salim Nugroho"/>
        <s v="Rosa Wijaya"/>
        <s v="Fadli Sari Cahyani"/>
        <s v="Anisa Anjani Prasetyo Santoso"/>
        <s v="Hana Bayu Ananda"/>
        <s v="Miko Ayu Wijaya"/>
        <s v="Amelia Lestari"/>
        <s v="Gina Sari Ningsih Putri"/>
        <s v="Rara Raka Anggraini Kurniawan"/>
        <s v="Putra Bayu Iskandar Susanto"/>
        <s v="Gita Santoso"/>
        <s v="Elsa Adi Yuliani"/>
        <s v="Niko Iskandar"/>
        <s v="Rara Raka Fauzi Pangestu"/>
        <s v="Vera Adi Putri"/>
        <s v="Gina Bintang Setiawan Pratama"/>
        <s v="Celine Prasetyo"/>
        <s v="Aisyah Lestari"/>
        <s v="Miko Aulia Susanto Wulandari"/>
        <s v="Julia Citra Kusuma Lestari"/>
        <s v="Indah Fajar Pratama"/>
        <s v="Reza Laksono"/>
        <s v="Febri Gunawan"/>
        <s v="Indra Pranoto"/>
        <s v="Putra Irawan"/>
        <s v="Ganesha Anggraini"/>
        <s v="Yoga Dwi Mulyadi Iskandar"/>
        <s v="Oki Adi Pratama Lestari"/>
        <s v="Olivia Naufal Wardana"/>
        <s v="Andika Kirana Wardana"/>
        <s v="Melati Rizal Cahyani"/>
        <s v="Yusuf Bintang Wibowo"/>
        <s v="Kiki Galang Suryanto"/>
        <s v="Karina Putri Suryanto"/>
        <s v="Nabila Utami"/>
        <s v="Mira Putri Pranoto Herlambang"/>
        <s v="Aisyah Setyawan"/>
        <s v="Wahyu Handayani"/>
        <s v="Kevin Rizki Pangestu Mahendra"/>
        <s v="Bella Fajar Salim Kusuma"/>
        <s v="Fadli Dwi Hakim"/>
        <s v="Oki Putra Rahman"/>
        <s v="Kania Prasetyo"/>
        <s v="Rian Pranoto"/>
        <s v="Sheila Hidayat"/>
        <s v="Raka Siregar"/>
        <s v="Olivia Lestari"/>
        <s v="Gina Siregar"/>
        <s v="Alya Adi Wibowo"/>
        <s v="Oki Gunawan"/>
        <s v="Doni Anjani Suryani"/>
        <s v="Aulia Suryanto"/>
        <s v="Dara Maulana"/>
        <s v="Ganesha Putri"/>
        <s v="Tania Abdullah"/>
        <s v="Bella Raka Wijaya"/>
        <s v="Sinta Cahyani"/>
        <s v="Dinda Kirana Laksono"/>
        <s v="Alya Abdullah"/>
        <s v="Putri Raka Salim"/>
        <s v="Amelia Mulyadi"/>
        <s v="Arman Ayu Prasetyo"/>
        <s v="Hana Sari Fauzi Permadi"/>
        <s v="Dania Nur Siregar"/>
        <s v="Elsa Firmansyah"/>
        <s v="Putra Kusuma"/>
        <s v="Elisa Sari Putri Pratama"/>
        <s v="Nisa Citra Salim"/>
        <s v="Kevin Wulandari"/>
        <s v="Yoga Ayu Putri"/>
        <s v="Siska Adi Kurnia"/>
        <s v="Sofyan Ayu Fauzi"/>
        <s v="Rosa Kirana Pranoto Purnama"/>
        <s v="Bima Dian Utami Purnama"/>
        <s v="Yudha Ayu Putri"/>
        <s v="Rara Pranoto"/>
        <s v="Hanif Ningsih"/>
        <s v="Ghani Rizal Permadi"/>
        <s v="Iqbal Ramadhan"/>
        <s v="Arman Adi Kurnia Herlambang"/>
        <s v="Nanda Kirana Pratama"/>
        <s v="Clara Anggraini"/>
        <s v="Dania Bintang Suryani"/>
        <s v="Siska Nur Wardana"/>
        <s v="Fajar Iskandar"/>
        <s v="Sofyan Raka Anggraini"/>
        <s v="Rafi Pratama"/>
        <s v="Amelia Laksono"/>
        <s v="Rani Yuliani"/>
        <s v="Aisyah Naufal Herlambang"/>
        <s v="Melati Aulia Purnama"/>
        <s v="Rosa Naufal Nugroho"/>
        <s v="Nabila Aulia Handayani Rahman"/>
        <s v="Salsa Kusnadi"/>
        <s v="Aulia Raka Iskandar"/>
        <s v="Irfan Mahendra"/>
        <s v="Andika Firmansyah"/>
        <s v="Tiara Citra Wulandari"/>
        <s v="Rani Handayani"/>
        <s v="Irfan Fajar Prasetyo"/>
        <s v="Ardi Nur Salim"/>
        <s v="Eka Herlambang"/>
        <s v="Laura Adi Saputra"/>
        <s v="Nadia Permata"/>
        <s v="Dara Susanto"/>
        <s v="Adit Adi Pranoto"/>
        <s v="Putri Rizal Saputra"/>
        <s v="Fikri Utami"/>
        <s v="Cahya Dwi Anggraini Iskandar"/>
        <s v="Niko Rahman"/>
        <s v="Dania Galang Rahman Hakim"/>
        <s v="Yusuf Laksono"/>
        <s v="Satria Fajar Pangestu"/>
        <s v="Tiara Naufal Lestari"/>
        <s v="Elsa Ramadhan"/>
        <s v="Reza Kusnadi"/>
        <s v="Farah Dian Santoso"/>
        <s v="Laura Laksono"/>
        <s v="Oscar Rizki Suryanto"/>
        <s v="Daffa Rizal Suryanto Wardana"/>
        <s v="Dara Bayu Prasetyo"/>
        <s v="Arif Kirana Setiawan"/>
        <s v="Melati Putri"/>
        <s v="Arman Suryani"/>
        <s v="Olivia Kusnadi"/>
        <s v="Rosa Setiawan"/>
        <s v="Nisa Salim"/>
        <s v="Rafi Adi Mulyadi"/>
        <s v="Agung Kirana Maulana"/>
        <s v="Andika Saputra"/>
        <s v="Wahyu Putri Wulandari Wijaya"/>
        <s v="Danu Raka Santoso"/>
        <s v="Intan Putri Wardana Rahman"/>
        <s v="Taufik Putri"/>
        <s v="Irfan Raka Salim"/>
        <s v="Putri Adi Prasetyo"/>
        <s v="Farah Hidayat"/>
        <s v="Nadia Rizal Pranoto"/>
        <s v="Yudha Abdullah"/>
        <s v="Olivia Fajar Rahman"/>
        <s v="Agung Nur Pranoto"/>
        <s v="Rafi Laksono"/>
        <s v="Hafiz Citra Iskandar"/>
        <s v="Fauzan Mulyadi"/>
        <s v="Amelia Bintang Susanto Lestari"/>
        <s v="Laras Adi Hakim"/>
        <s v="Kania Gunawan"/>
        <s v="Dania Kurniawan"/>
        <s v="Rian Ramadhan"/>
        <s v="Laras Hidayat"/>
        <s v="Irene Adi Nugroho Hidayat"/>
        <s v="Vera Pratama"/>
        <s v="Rosa Mahendra"/>
        <s v="Umar Bintang Yuliani"/>
        <s v="Satria Dian Ramadhan"/>
        <s v="Jihan Anjani Handayani"/>
        <s v="Celine Kirana Abdullah"/>
        <s v="Ratih Wardana"/>
        <s v="Rafi Utami"/>
        <s v="Kiki Ramadhan"/>
        <s v="Daffa Dian Irawan Permadi"/>
        <s v="Rian Hakim"/>
        <s v="Kiki Anjani Prasetyo Wijaya"/>
        <s v="Joko Kirana Siregar Iskandar"/>
        <s v="Sheila Irawan"/>
        <s v="Joko Firmansyah"/>
        <s v="Iqbal Permata"/>
        <s v="Hana Kurniawan"/>
        <s v="Vina Laksono"/>
        <s v="Ghani Fajar Wijaya"/>
        <s v="Elisa Salim"/>
        <s v="Febri Dian Wijaya"/>
        <s v="Agung Hidayat"/>
        <s v="Taufik Firmansyah"/>
        <s v="Oscar Fauzi"/>
        <s v="Mia Herlambang"/>
        <s v="Bima Saputra"/>
        <s v="Alya Adi Hakim"/>
        <s v="Satria Pranoto"/>
        <s v="Sinta Bayu Setyawan"/>
        <s v="Iqbal Wibowo"/>
        <s v="Salsa Gunawan"/>
        <s v="Clara Prasetyo"/>
        <s v="Yani Kusnadi"/>
        <s v="Ratih Abdullah"/>
        <s v="Hanif Wibowo"/>
        <s v="Alya Salim"/>
        <s v="Joko Aulia Ramadhan"/>
        <s v="Oki Anjani Rahman"/>
        <s v="Rosa Irawan"/>
        <s v="Julia Dian Maulana"/>
        <s v="Ghani Herlambang"/>
        <s v="Karina Rahman"/>
        <s v="Mira Handayani"/>
      </sharedItems>
    </cacheField>
    <cacheField name="gender" numFmtId="0">
      <sharedItems count="2">
        <s v="Female"/>
        <s v="Male"/>
      </sharedItems>
    </cacheField>
    <cacheField name="city" numFmtId="0">
      <sharedItems count="10">
        <s v="Solo"/>
        <s v="Yogyakarta"/>
        <s v="Tangerang"/>
        <s v="Surabaya"/>
        <s v="Malang"/>
        <s v="Bandung"/>
        <s v="Depok"/>
        <s v="Semarang"/>
        <s v="Jakarta"/>
        <s v="Bekasi"/>
      </sharedItems>
    </cacheField>
    <cacheField name="customer_segment" numFmtId="0">
      <sharedItems count="3">
        <s v="Silver"/>
        <s v="Bronze"/>
        <s v="Gold"/>
      </sharedItems>
    </cacheField>
    <cacheField name="revenue" numFmtId="166">
      <sharedItems containsSemiMixedTypes="0" containsString="0" containsNumber="1" containsInteger="1" minValue="0" maxValue="2000000"/>
    </cacheField>
    <cacheField name="Days (month)" numFmtId="0" databaseField="0">
      <fieldGroup base="14">
        <rangePr groupBy="days" startDate="2025-01-01T00:00:00" endDate="2025-06-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5"/>
        </groupItems>
      </fieldGroup>
    </cacheField>
    <cacheField name="Months (month)" numFmtId="0" databaseField="0">
      <fieldGroup base="14">
        <rangePr groupBy="months" startDate="2025-01-01T00:00:00" endDate="2025-06-02T00:00:00"/>
        <groupItems count="14">
          <s v="&lt;1/1/2025"/>
          <s v="Jan"/>
          <s v="Feb"/>
          <s v="Mar"/>
          <s v="Apr"/>
          <s v="May"/>
          <s v="Jun"/>
          <s v="Jul"/>
          <s v="Aug"/>
          <s v="Sep"/>
          <s v="Oct"/>
          <s v="Nov"/>
          <s v="Dec"/>
          <s v="&gt;6/2/2025"/>
        </groupItems>
      </fieldGroup>
    </cacheField>
  </cacheFields>
  <extLst>
    <ext xmlns:x14="http://schemas.microsoft.com/office/spreadsheetml/2009/9/main" uri="{725AE2AE-9491-48be-B2B4-4EB974FC3084}">
      <x14:pivotCacheDefinition pivotCacheId="285932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5-06-30T00:00:00"/>
    <s v="CUST0024"/>
    <s v="P060"/>
    <n v="1"/>
    <n v="150000"/>
    <n v="150000"/>
    <s v="NONE"/>
    <n v="0"/>
    <n v="10000"/>
    <n v="160000"/>
    <s v="Credit Card"/>
    <s v="JNE"/>
    <x v="0"/>
    <x v="0"/>
    <s v="Yes"/>
    <n v="150000"/>
    <x v="0"/>
    <x v="0"/>
    <x v="0"/>
    <x v="0"/>
    <x v="0"/>
    <x v="0"/>
    <x v="0"/>
    <n v="150000"/>
  </r>
  <r>
    <x v="1"/>
    <d v="2025-06-30T00:00:00"/>
    <s v="CUST0219"/>
    <s v="P018"/>
    <n v="2"/>
    <n v="500000"/>
    <n v="1000000"/>
    <s v="NEWUSER"/>
    <n v="100000"/>
    <n v="20000"/>
    <n v="920000"/>
    <s v="Credit Card"/>
    <s v="AnterAja"/>
    <x v="1"/>
    <x v="0"/>
    <s v="No"/>
    <n v="900000"/>
    <x v="1"/>
    <x v="0"/>
    <x v="0"/>
    <x v="1"/>
    <x v="1"/>
    <x v="1"/>
    <x v="1"/>
    <n v="0"/>
  </r>
  <r>
    <x v="2"/>
    <d v="2025-06-30T00:00:00"/>
    <s v="CUST0170"/>
    <s v="P036"/>
    <n v="4"/>
    <n v="150000"/>
    <n v="600000"/>
    <s v="NEWUSER"/>
    <n v="60000"/>
    <n v="15000"/>
    <n v="555000"/>
    <s v="Bank Transfer"/>
    <s v="JNE"/>
    <x v="2"/>
    <x v="0"/>
    <s v="No"/>
    <n v="540000"/>
    <x v="2"/>
    <x v="0"/>
    <x v="0"/>
    <x v="2"/>
    <x v="1"/>
    <x v="2"/>
    <x v="1"/>
    <n v="0"/>
  </r>
  <r>
    <x v="3"/>
    <d v="2025-06-30T00:00:00"/>
    <s v="CUST0044"/>
    <s v="P026"/>
    <n v="4"/>
    <n v="200000"/>
    <n v="800000"/>
    <s v="DISC15"/>
    <n v="120000"/>
    <n v="25000"/>
    <n v="705000"/>
    <s v="COD"/>
    <s v="AnterAja"/>
    <x v="0"/>
    <x v="0"/>
    <s v="Yes"/>
    <n v="680000"/>
    <x v="3"/>
    <x v="1"/>
    <x v="1"/>
    <x v="3"/>
    <x v="0"/>
    <x v="3"/>
    <x v="2"/>
    <n v="680000"/>
  </r>
  <r>
    <x v="4"/>
    <d v="2025-06-30T00:00:00"/>
    <s v="CUST0311"/>
    <s v="P037"/>
    <n v="1"/>
    <n v="100000"/>
    <n v="100000"/>
    <s v="NEWUSER"/>
    <n v="10000"/>
    <n v="15000"/>
    <n v="105000"/>
    <s v="Bank Transfer"/>
    <s v="JNE"/>
    <x v="3"/>
    <x v="0"/>
    <s v="No"/>
    <n v="90000"/>
    <x v="4"/>
    <x v="2"/>
    <x v="2"/>
    <x v="4"/>
    <x v="0"/>
    <x v="2"/>
    <x v="2"/>
    <n v="0"/>
  </r>
  <r>
    <x v="5"/>
    <d v="2025-06-30T00:00:00"/>
    <s v="CUST0323"/>
    <s v="P054"/>
    <n v="1"/>
    <n v="100000"/>
    <n v="100000"/>
    <s v="NEWUSER"/>
    <n v="10000"/>
    <n v="30000"/>
    <n v="120000"/>
    <s v="Credit Card"/>
    <s v="JNE"/>
    <x v="4"/>
    <x v="0"/>
    <s v="No"/>
    <n v="90000"/>
    <x v="5"/>
    <x v="0"/>
    <x v="0"/>
    <x v="5"/>
    <x v="0"/>
    <x v="3"/>
    <x v="1"/>
    <n v="0"/>
  </r>
  <r>
    <x v="6"/>
    <d v="2025-06-30T00:00:00"/>
    <s v="CUST0310"/>
    <s v="P020"/>
    <n v="1"/>
    <n v="75000"/>
    <n v="75000"/>
    <s v="DISC15"/>
    <n v="11250"/>
    <n v="15000"/>
    <n v="78750"/>
    <s v="E-Wallet"/>
    <s v="SiCepat"/>
    <x v="4"/>
    <x v="0"/>
    <s v="No"/>
    <n v="63750"/>
    <x v="6"/>
    <x v="1"/>
    <x v="1"/>
    <x v="6"/>
    <x v="1"/>
    <x v="4"/>
    <x v="2"/>
    <n v="0"/>
  </r>
  <r>
    <x v="7"/>
    <d v="2025-06-30T00:00:00"/>
    <s v="CUST0317"/>
    <s v="P046"/>
    <n v="2"/>
    <n v="100000"/>
    <n v="200000"/>
    <s v="NONE"/>
    <n v="0"/>
    <n v="10000"/>
    <n v="210000"/>
    <s v="Bank Transfer"/>
    <s v="SiCepat"/>
    <x v="0"/>
    <x v="0"/>
    <s v="Yes"/>
    <n v="200000"/>
    <x v="7"/>
    <x v="3"/>
    <x v="3"/>
    <x v="7"/>
    <x v="0"/>
    <x v="2"/>
    <x v="0"/>
    <n v="200000"/>
  </r>
  <r>
    <x v="8"/>
    <d v="2025-06-30T00:00:00"/>
    <s v="CUST0107"/>
    <s v="P016"/>
    <n v="1"/>
    <n v="150000"/>
    <n v="150000"/>
    <s v="NONE"/>
    <n v="0"/>
    <n v="15000"/>
    <n v="165000"/>
    <s v="Bank Transfer"/>
    <s v="SiCepat"/>
    <x v="0"/>
    <x v="0"/>
    <s v="Yes"/>
    <n v="150000"/>
    <x v="8"/>
    <x v="3"/>
    <x v="3"/>
    <x v="8"/>
    <x v="0"/>
    <x v="2"/>
    <x v="1"/>
    <n v="150000"/>
  </r>
  <r>
    <x v="9"/>
    <d v="2025-06-30T00:00:00"/>
    <s v="CUST0170"/>
    <s v="P055"/>
    <n v="2"/>
    <n v="300000"/>
    <n v="600000"/>
    <s v="NONE"/>
    <n v="0"/>
    <n v="30000"/>
    <n v="630000"/>
    <s v="E-Wallet"/>
    <s v="JNE"/>
    <x v="1"/>
    <x v="0"/>
    <s v="No"/>
    <n v="600000"/>
    <x v="9"/>
    <x v="2"/>
    <x v="2"/>
    <x v="2"/>
    <x v="1"/>
    <x v="2"/>
    <x v="1"/>
    <n v="0"/>
  </r>
  <r>
    <x v="10"/>
    <d v="2025-06-29T00:00:00"/>
    <s v="CUST0172"/>
    <s v="P045"/>
    <n v="1"/>
    <n v="100000"/>
    <n v="100000"/>
    <s v="NONE"/>
    <n v="0"/>
    <n v="30000"/>
    <n v="130000"/>
    <s v="COD"/>
    <s v="SiCepat"/>
    <x v="0"/>
    <x v="0"/>
    <s v="Yes"/>
    <n v="100000"/>
    <x v="10"/>
    <x v="4"/>
    <x v="4"/>
    <x v="9"/>
    <x v="0"/>
    <x v="0"/>
    <x v="1"/>
    <n v="100000"/>
  </r>
  <r>
    <x v="11"/>
    <d v="2025-06-29T00:00:00"/>
    <s v="CUST0171"/>
    <s v="P039"/>
    <n v="1"/>
    <n v="35000"/>
    <n v="35000"/>
    <s v="NONE"/>
    <n v="0"/>
    <n v="10000"/>
    <n v="45000"/>
    <s v="Bank Transfer"/>
    <s v="SiCepat"/>
    <x v="0"/>
    <x v="0"/>
    <s v="Yes"/>
    <n v="35000"/>
    <x v="11"/>
    <x v="4"/>
    <x v="4"/>
    <x v="10"/>
    <x v="0"/>
    <x v="2"/>
    <x v="1"/>
    <n v="35000"/>
  </r>
  <r>
    <x v="12"/>
    <d v="2025-06-29T00:00:00"/>
    <s v="CUST0342"/>
    <s v="P005"/>
    <n v="1"/>
    <n v="75000"/>
    <n v="75000"/>
    <s v="NONE"/>
    <n v="0"/>
    <n v="15000"/>
    <n v="90000"/>
    <s v="COD"/>
    <s v="J&amp;T"/>
    <x v="0"/>
    <x v="0"/>
    <s v="Yes"/>
    <n v="75000"/>
    <x v="12"/>
    <x v="5"/>
    <x v="5"/>
    <x v="11"/>
    <x v="0"/>
    <x v="5"/>
    <x v="1"/>
    <n v="75000"/>
  </r>
  <r>
    <x v="13"/>
    <d v="2025-06-29T00:00:00"/>
    <s v="CUST0099"/>
    <s v="P010"/>
    <n v="1"/>
    <n v="50000"/>
    <n v="50000"/>
    <s v="DISC10"/>
    <n v="5000"/>
    <n v="20000"/>
    <n v="65000"/>
    <s v="E-Wallet"/>
    <s v="AnterAja"/>
    <x v="0"/>
    <x v="0"/>
    <s v="Yes"/>
    <n v="45000"/>
    <x v="13"/>
    <x v="3"/>
    <x v="3"/>
    <x v="12"/>
    <x v="1"/>
    <x v="6"/>
    <x v="0"/>
    <n v="45000"/>
  </r>
  <r>
    <x v="14"/>
    <d v="2025-06-28T00:00:00"/>
    <s v="CUST0186"/>
    <s v="P023"/>
    <n v="1"/>
    <n v="50000"/>
    <n v="50000"/>
    <s v="DISC15"/>
    <n v="7500"/>
    <n v="15000"/>
    <n v="57500"/>
    <s v="COD"/>
    <s v="JNE"/>
    <x v="0"/>
    <x v="0"/>
    <s v="Yes"/>
    <n v="42500"/>
    <x v="14"/>
    <x v="5"/>
    <x v="5"/>
    <x v="13"/>
    <x v="0"/>
    <x v="4"/>
    <x v="2"/>
    <n v="42500"/>
  </r>
  <r>
    <x v="15"/>
    <d v="2025-06-28T00:00:00"/>
    <s v="CUST0088"/>
    <s v="P041"/>
    <n v="1"/>
    <n v="75000"/>
    <n v="75000"/>
    <s v="DISC10"/>
    <n v="7500"/>
    <n v="25000"/>
    <n v="92500"/>
    <s v="E-Wallet"/>
    <s v="SiCepat"/>
    <x v="0"/>
    <x v="0"/>
    <s v="Yes"/>
    <n v="67500"/>
    <x v="15"/>
    <x v="5"/>
    <x v="5"/>
    <x v="14"/>
    <x v="1"/>
    <x v="7"/>
    <x v="0"/>
    <n v="67500"/>
  </r>
  <r>
    <x v="16"/>
    <d v="2025-06-28T00:00:00"/>
    <s v="CUST0106"/>
    <s v="P059"/>
    <n v="4"/>
    <n v="75000"/>
    <n v="300000"/>
    <s v="NONE"/>
    <n v="0"/>
    <n v="10000"/>
    <n v="310000"/>
    <s v="E-Wallet"/>
    <s v="J&amp;T"/>
    <x v="0"/>
    <x v="0"/>
    <s v="Yes"/>
    <n v="300000"/>
    <x v="16"/>
    <x v="5"/>
    <x v="5"/>
    <x v="15"/>
    <x v="1"/>
    <x v="7"/>
    <x v="0"/>
    <n v="300000"/>
  </r>
  <r>
    <x v="17"/>
    <d v="2025-06-28T00:00:00"/>
    <s v="CUST0119"/>
    <s v="P049"/>
    <n v="1"/>
    <n v="200000"/>
    <n v="200000"/>
    <s v="DISC10"/>
    <n v="20000"/>
    <n v="15000"/>
    <n v="195000"/>
    <s v="COD"/>
    <s v="JNE"/>
    <x v="0"/>
    <x v="0"/>
    <s v="Yes"/>
    <n v="180000"/>
    <x v="17"/>
    <x v="2"/>
    <x v="2"/>
    <x v="16"/>
    <x v="1"/>
    <x v="3"/>
    <x v="1"/>
    <n v="180000"/>
  </r>
  <r>
    <x v="18"/>
    <d v="2025-06-28T00:00:00"/>
    <s v="CUST0107"/>
    <s v="P060"/>
    <n v="3"/>
    <n v="150000"/>
    <n v="450000"/>
    <s v="NONE"/>
    <n v="0"/>
    <n v="30000"/>
    <n v="480000"/>
    <s v="Bank Transfer"/>
    <s v="J&amp;T"/>
    <x v="0"/>
    <x v="0"/>
    <s v="Yes"/>
    <n v="450000"/>
    <x v="0"/>
    <x v="0"/>
    <x v="0"/>
    <x v="8"/>
    <x v="0"/>
    <x v="2"/>
    <x v="1"/>
    <n v="450000"/>
  </r>
  <r>
    <x v="19"/>
    <d v="2025-06-28T00:00:00"/>
    <s v="CUST0326"/>
    <s v="P008"/>
    <n v="2"/>
    <n v="150000"/>
    <n v="300000"/>
    <s v="DISC10"/>
    <n v="30000"/>
    <n v="25000"/>
    <n v="295000"/>
    <s v="E-Wallet"/>
    <s v="SiCepat"/>
    <x v="0"/>
    <x v="0"/>
    <s v="Yes"/>
    <n v="270000"/>
    <x v="18"/>
    <x v="1"/>
    <x v="1"/>
    <x v="17"/>
    <x v="0"/>
    <x v="6"/>
    <x v="0"/>
    <n v="270000"/>
  </r>
  <r>
    <x v="20"/>
    <d v="2025-06-28T00:00:00"/>
    <s v="CUST0332"/>
    <s v="P055"/>
    <n v="2"/>
    <n v="300000"/>
    <n v="600000"/>
    <s v="NONE"/>
    <n v="0"/>
    <n v="10000"/>
    <n v="610000"/>
    <s v="Bank Transfer"/>
    <s v="J&amp;T"/>
    <x v="0"/>
    <x v="0"/>
    <s v="Yes"/>
    <n v="600000"/>
    <x v="9"/>
    <x v="2"/>
    <x v="2"/>
    <x v="18"/>
    <x v="1"/>
    <x v="2"/>
    <x v="1"/>
    <n v="600000"/>
  </r>
  <r>
    <x v="21"/>
    <d v="2025-06-28T00:00:00"/>
    <s v="CUST0086"/>
    <s v="P005"/>
    <n v="4"/>
    <n v="75000"/>
    <n v="300000"/>
    <s v="NONE"/>
    <n v="0"/>
    <n v="30000"/>
    <n v="330000"/>
    <s v="E-Wallet"/>
    <s v="JNE"/>
    <x v="3"/>
    <x v="0"/>
    <s v="No"/>
    <n v="300000"/>
    <x v="12"/>
    <x v="5"/>
    <x v="5"/>
    <x v="19"/>
    <x v="1"/>
    <x v="4"/>
    <x v="0"/>
    <n v="0"/>
  </r>
  <r>
    <x v="22"/>
    <d v="2025-06-27T00:00:00"/>
    <s v="CUST0226"/>
    <s v="P015"/>
    <n v="2"/>
    <n v="500000"/>
    <n v="1000000"/>
    <s v="NONE"/>
    <n v="0"/>
    <n v="15000"/>
    <n v="1015000"/>
    <s v="COD"/>
    <s v="J&amp;T"/>
    <x v="4"/>
    <x v="0"/>
    <s v="No"/>
    <n v="1000000"/>
    <x v="19"/>
    <x v="4"/>
    <x v="4"/>
    <x v="20"/>
    <x v="1"/>
    <x v="7"/>
    <x v="0"/>
    <n v="0"/>
  </r>
  <r>
    <x v="23"/>
    <d v="2025-06-27T00:00:00"/>
    <s v="CUST0049"/>
    <s v="P036"/>
    <n v="3"/>
    <n v="150000"/>
    <n v="450000"/>
    <s v="DISC10"/>
    <n v="45000"/>
    <n v="15000"/>
    <n v="420000"/>
    <s v="Bank Transfer"/>
    <s v="JNE"/>
    <x v="0"/>
    <x v="0"/>
    <s v="Yes"/>
    <n v="405000"/>
    <x v="2"/>
    <x v="0"/>
    <x v="0"/>
    <x v="21"/>
    <x v="0"/>
    <x v="1"/>
    <x v="0"/>
    <n v="405000"/>
  </r>
  <r>
    <x v="24"/>
    <d v="2025-06-27T00:00:00"/>
    <s v="CUST0294"/>
    <s v="P020"/>
    <n v="4"/>
    <n v="75000"/>
    <n v="300000"/>
    <s v="FLASHSALE"/>
    <n v="60000"/>
    <n v="25000"/>
    <n v="265000"/>
    <s v="E-Wallet"/>
    <s v="AnterAja"/>
    <x v="0"/>
    <x v="0"/>
    <s v="Yes"/>
    <n v="240000"/>
    <x v="6"/>
    <x v="1"/>
    <x v="1"/>
    <x v="22"/>
    <x v="0"/>
    <x v="1"/>
    <x v="0"/>
    <n v="240000"/>
  </r>
  <r>
    <x v="25"/>
    <d v="2025-06-27T00:00:00"/>
    <s v="CUST0253"/>
    <s v="P031"/>
    <n v="4"/>
    <n v="150000"/>
    <n v="600000"/>
    <s v="NONE"/>
    <n v="0"/>
    <n v="25000"/>
    <n v="625000"/>
    <s v="Bank Transfer"/>
    <s v="SiCepat"/>
    <x v="3"/>
    <x v="0"/>
    <s v="No"/>
    <n v="600000"/>
    <x v="20"/>
    <x v="2"/>
    <x v="2"/>
    <x v="23"/>
    <x v="0"/>
    <x v="8"/>
    <x v="1"/>
    <n v="0"/>
  </r>
  <r>
    <x v="26"/>
    <d v="2025-06-27T00:00:00"/>
    <s v="CUST0346"/>
    <s v="P023"/>
    <n v="1"/>
    <n v="50000"/>
    <n v="50000"/>
    <s v="DISC15"/>
    <n v="7500"/>
    <n v="20000"/>
    <n v="62500"/>
    <s v="E-Wallet"/>
    <s v="J&amp;T"/>
    <x v="3"/>
    <x v="0"/>
    <s v="No"/>
    <n v="42500"/>
    <x v="14"/>
    <x v="5"/>
    <x v="5"/>
    <x v="24"/>
    <x v="0"/>
    <x v="1"/>
    <x v="1"/>
    <n v="0"/>
  </r>
  <r>
    <x v="27"/>
    <d v="2025-06-27T00:00:00"/>
    <s v="CUST0199"/>
    <s v="P039"/>
    <n v="1"/>
    <n v="35000"/>
    <n v="35000"/>
    <s v="NONE"/>
    <n v="0"/>
    <n v="15000"/>
    <n v="50000"/>
    <s v="Bank Transfer"/>
    <s v="SiCepat"/>
    <x v="0"/>
    <x v="0"/>
    <s v="Yes"/>
    <n v="35000"/>
    <x v="11"/>
    <x v="4"/>
    <x v="4"/>
    <x v="25"/>
    <x v="0"/>
    <x v="8"/>
    <x v="2"/>
    <n v="35000"/>
  </r>
  <r>
    <x v="28"/>
    <d v="2025-06-27T00:00:00"/>
    <s v="CUST0228"/>
    <s v="P048"/>
    <n v="1"/>
    <n v="300000"/>
    <n v="300000"/>
    <s v="DISC15"/>
    <n v="45000"/>
    <n v="15000"/>
    <n v="270000"/>
    <s v="E-Wallet"/>
    <s v="SiCepat"/>
    <x v="0"/>
    <x v="0"/>
    <s v="Yes"/>
    <n v="255000"/>
    <x v="21"/>
    <x v="0"/>
    <x v="0"/>
    <x v="26"/>
    <x v="1"/>
    <x v="1"/>
    <x v="1"/>
    <n v="255000"/>
  </r>
  <r>
    <x v="29"/>
    <d v="2025-06-27T00:00:00"/>
    <s v="CUST0029"/>
    <s v="P039"/>
    <n v="1"/>
    <n v="35000"/>
    <n v="35000"/>
    <s v="NEWUSER"/>
    <n v="3500"/>
    <n v="30000"/>
    <n v="61500"/>
    <s v="Credit Card"/>
    <s v="J&amp;T"/>
    <x v="0"/>
    <x v="0"/>
    <s v="Yes"/>
    <n v="31500"/>
    <x v="11"/>
    <x v="4"/>
    <x v="4"/>
    <x v="27"/>
    <x v="0"/>
    <x v="3"/>
    <x v="1"/>
    <n v="31500"/>
  </r>
  <r>
    <x v="30"/>
    <d v="2025-06-27T00:00:00"/>
    <s v="CUST0189"/>
    <s v="P004"/>
    <n v="1"/>
    <n v="300000"/>
    <n v="300000"/>
    <s v="NEWUSER"/>
    <n v="30000"/>
    <n v="25000"/>
    <n v="295000"/>
    <s v="Credit Card"/>
    <s v="J&amp;T"/>
    <x v="0"/>
    <x v="0"/>
    <s v="Yes"/>
    <n v="270000"/>
    <x v="22"/>
    <x v="3"/>
    <x v="3"/>
    <x v="28"/>
    <x v="1"/>
    <x v="7"/>
    <x v="1"/>
    <n v="270000"/>
  </r>
  <r>
    <x v="31"/>
    <d v="2025-06-27T00:00:00"/>
    <s v="CUST0343"/>
    <s v="P054"/>
    <n v="2"/>
    <n v="100000"/>
    <n v="200000"/>
    <s v="NONE"/>
    <n v="0"/>
    <n v="10000"/>
    <n v="210000"/>
    <s v="Credit Card"/>
    <s v="SiCepat"/>
    <x v="0"/>
    <x v="0"/>
    <s v="Yes"/>
    <n v="200000"/>
    <x v="5"/>
    <x v="0"/>
    <x v="0"/>
    <x v="29"/>
    <x v="1"/>
    <x v="6"/>
    <x v="0"/>
    <n v="200000"/>
  </r>
  <r>
    <x v="32"/>
    <d v="2025-06-26T00:00:00"/>
    <s v="CUST0003"/>
    <s v="P045"/>
    <n v="3"/>
    <n v="100000"/>
    <n v="300000"/>
    <s v="NONE"/>
    <n v="0"/>
    <n v="10000"/>
    <n v="310000"/>
    <s v="COD"/>
    <s v="J&amp;T"/>
    <x v="0"/>
    <x v="0"/>
    <s v="Yes"/>
    <n v="300000"/>
    <x v="10"/>
    <x v="4"/>
    <x v="4"/>
    <x v="30"/>
    <x v="1"/>
    <x v="3"/>
    <x v="2"/>
    <n v="300000"/>
  </r>
  <r>
    <x v="33"/>
    <d v="2025-06-26T00:00:00"/>
    <s v="CUST0168"/>
    <s v="P019"/>
    <n v="2"/>
    <n v="500000"/>
    <n v="1000000"/>
    <s v="NONE"/>
    <n v="0"/>
    <n v="20000"/>
    <n v="1020000"/>
    <s v="Credit Card"/>
    <s v="J&amp;T"/>
    <x v="0"/>
    <x v="0"/>
    <s v="Yes"/>
    <n v="1000000"/>
    <x v="23"/>
    <x v="2"/>
    <x v="2"/>
    <x v="31"/>
    <x v="0"/>
    <x v="1"/>
    <x v="0"/>
    <n v="1000000"/>
  </r>
  <r>
    <x v="34"/>
    <d v="2025-06-26T00:00:00"/>
    <s v="CUST0314"/>
    <s v="P039"/>
    <n v="1"/>
    <n v="35000"/>
    <n v="35000"/>
    <s v="DISC10"/>
    <n v="3500"/>
    <n v="20000"/>
    <n v="51500"/>
    <s v="COD"/>
    <s v="J&amp;T"/>
    <x v="0"/>
    <x v="0"/>
    <s v="Yes"/>
    <n v="31500"/>
    <x v="11"/>
    <x v="4"/>
    <x v="4"/>
    <x v="32"/>
    <x v="0"/>
    <x v="4"/>
    <x v="2"/>
    <n v="31500"/>
  </r>
  <r>
    <x v="35"/>
    <d v="2025-06-26T00:00:00"/>
    <s v="CUST0292"/>
    <s v="P058"/>
    <n v="2"/>
    <n v="35000"/>
    <n v="70000"/>
    <s v="DISC15"/>
    <n v="10500"/>
    <n v="20000"/>
    <n v="79500"/>
    <s v="COD"/>
    <s v="JNE"/>
    <x v="0"/>
    <x v="0"/>
    <s v="Yes"/>
    <n v="59500"/>
    <x v="24"/>
    <x v="3"/>
    <x v="3"/>
    <x v="33"/>
    <x v="1"/>
    <x v="2"/>
    <x v="0"/>
    <n v="59500"/>
  </r>
  <r>
    <x v="36"/>
    <d v="2025-06-26T00:00:00"/>
    <s v="CUST0100"/>
    <s v="P018"/>
    <n v="1"/>
    <n v="500000"/>
    <n v="500000"/>
    <s v="DISC15"/>
    <n v="75000"/>
    <n v="15000"/>
    <n v="440000"/>
    <s v="Bank Transfer"/>
    <s v="J&amp;T"/>
    <x v="0"/>
    <x v="0"/>
    <s v="Yes"/>
    <n v="425000"/>
    <x v="1"/>
    <x v="0"/>
    <x v="0"/>
    <x v="34"/>
    <x v="0"/>
    <x v="2"/>
    <x v="1"/>
    <n v="425000"/>
  </r>
  <r>
    <x v="37"/>
    <d v="2025-06-26T00:00:00"/>
    <s v="CUST0063"/>
    <s v="P043"/>
    <n v="1"/>
    <n v="50000"/>
    <n v="50000"/>
    <s v="FLASHSALE"/>
    <n v="10000"/>
    <n v="15000"/>
    <n v="55000"/>
    <s v="E-Wallet"/>
    <s v="SiCepat"/>
    <x v="0"/>
    <x v="0"/>
    <s v="Yes"/>
    <n v="40000"/>
    <x v="25"/>
    <x v="2"/>
    <x v="2"/>
    <x v="35"/>
    <x v="0"/>
    <x v="9"/>
    <x v="1"/>
    <n v="40000"/>
  </r>
  <r>
    <x v="38"/>
    <d v="2025-06-26T00:00:00"/>
    <s v="CUST0048"/>
    <s v="P008"/>
    <n v="1"/>
    <n v="150000"/>
    <n v="150000"/>
    <s v="FLASHSALE"/>
    <n v="30000"/>
    <n v="10000"/>
    <n v="130000"/>
    <s v="COD"/>
    <s v="JNE"/>
    <x v="4"/>
    <x v="0"/>
    <s v="No"/>
    <n v="120000"/>
    <x v="18"/>
    <x v="1"/>
    <x v="1"/>
    <x v="36"/>
    <x v="0"/>
    <x v="8"/>
    <x v="0"/>
    <n v="0"/>
  </r>
  <r>
    <x v="39"/>
    <d v="2025-06-26T00:00:00"/>
    <s v="CUST0338"/>
    <s v="P001"/>
    <n v="1"/>
    <n v="300000"/>
    <n v="300000"/>
    <s v="FLASHSALE"/>
    <n v="60000"/>
    <n v="30000"/>
    <n v="270000"/>
    <s v="E-Wallet"/>
    <s v="J&amp;T"/>
    <x v="1"/>
    <x v="0"/>
    <s v="No"/>
    <n v="240000"/>
    <x v="26"/>
    <x v="2"/>
    <x v="2"/>
    <x v="37"/>
    <x v="0"/>
    <x v="3"/>
    <x v="1"/>
    <n v="0"/>
  </r>
  <r>
    <x v="40"/>
    <d v="2025-06-25T00:00:00"/>
    <s v="CUST0173"/>
    <s v="P036"/>
    <n v="3"/>
    <n v="150000"/>
    <n v="450000"/>
    <s v="NONE"/>
    <n v="0"/>
    <n v="10000"/>
    <n v="460000"/>
    <s v="E-Wallet"/>
    <s v="J&amp;T"/>
    <x v="0"/>
    <x v="0"/>
    <s v="Yes"/>
    <n v="450000"/>
    <x v="2"/>
    <x v="0"/>
    <x v="0"/>
    <x v="38"/>
    <x v="0"/>
    <x v="1"/>
    <x v="0"/>
    <n v="450000"/>
  </r>
  <r>
    <x v="41"/>
    <d v="2025-06-25T00:00:00"/>
    <s v="CUST0193"/>
    <s v="P053"/>
    <n v="3"/>
    <n v="75000"/>
    <n v="225000"/>
    <s v="DISC15"/>
    <n v="33750"/>
    <n v="25000"/>
    <n v="216250"/>
    <s v="Bank Transfer"/>
    <s v="JNE"/>
    <x v="0"/>
    <x v="0"/>
    <s v="Yes"/>
    <n v="191250"/>
    <x v="27"/>
    <x v="5"/>
    <x v="5"/>
    <x v="39"/>
    <x v="0"/>
    <x v="8"/>
    <x v="2"/>
    <n v="191250"/>
  </r>
  <r>
    <x v="42"/>
    <d v="2025-06-25T00:00:00"/>
    <s v="CUST0107"/>
    <s v="P037"/>
    <n v="2"/>
    <n v="100000"/>
    <n v="200000"/>
    <s v="NEWUSER"/>
    <n v="20000"/>
    <n v="25000"/>
    <n v="205000"/>
    <s v="COD"/>
    <s v="SiCepat"/>
    <x v="2"/>
    <x v="0"/>
    <s v="No"/>
    <n v="180000"/>
    <x v="4"/>
    <x v="2"/>
    <x v="2"/>
    <x v="8"/>
    <x v="0"/>
    <x v="2"/>
    <x v="1"/>
    <n v="0"/>
  </r>
  <r>
    <x v="43"/>
    <d v="2025-06-25T00:00:00"/>
    <s v="CUST0237"/>
    <s v="P020"/>
    <n v="1"/>
    <n v="75000"/>
    <n v="75000"/>
    <s v="NONE"/>
    <n v="0"/>
    <n v="20000"/>
    <n v="95000"/>
    <s v="Bank Transfer"/>
    <s v="J&amp;T"/>
    <x v="0"/>
    <x v="0"/>
    <s v="Yes"/>
    <n v="75000"/>
    <x v="6"/>
    <x v="1"/>
    <x v="1"/>
    <x v="40"/>
    <x v="0"/>
    <x v="4"/>
    <x v="1"/>
    <n v="75000"/>
  </r>
  <r>
    <x v="44"/>
    <d v="2025-06-25T00:00:00"/>
    <s v="CUST0290"/>
    <s v="P040"/>
    <n v="1"/>
    <n v="75000"/>
    <n v="75000"/>
    <s v="DISC10"/>
    <n v="7500"/>
    <n v="15000"/>
    <n v="82500"/>
    <s v="Credit Card"/>
    <s v="J&amp;T"/>
    <x v="0"/>
    <x v="0"/>
    <s v="Yes"/>
    <n v="67500"/>
    <x v="28"/>
    <x v="3"/>
    <x v="3"/>
    <x v="41"/>
    <x v="1"/>
    <x v="6"/>
    <x v="1"/>
    <n v="67500"/>
  </r>
  <r>
    <x v="45"/>
    <d v="2025-06-25T00:00:00"/>
    <s v="CUST0044"/>
    <s v="P040"/>
    <n v="2"/>
    <n v="75000"/>
    <n v="150000"/>
    <s v="NONE"/>
    <n v="0"/>
    <n v="25000"/>
    <n v="175000"/>
    <s v="COD"/>
    <s v="J&amp;T"/>
    <x v="0"/>
    <x v="0"/>
    <s v="Yes"/>
    <n v="150000"/>
    <x v="28"/>
    <x v="3"/>
    <x v="3"/>
    <x v="3"/>
    <x v="0"/>
    <x v="3"/>
    <x v="2"/>
    <n v="150000"/>
  </r>
  <r>
    <x v="46"/>
    <d v="2025-06-25T00:00:00"/>
    <s v="CUST0039"/>
    <s v="P041"/>
    <n v="2"/>
    <n v="75000"/>
    <n v="150000"/>
    <s v="DISC10"/>
    <n v="15000"/>
    <n v="25000"/>
    <n v="160000"/>
    <s v="E-Wallet"/>
    <s v="J&amp;T"/>
    <x v="0"/>
    <x v="0"/>
    <s v="Yes"/>
    <n v="135000"/>
    <x v="15"/>
    <x v="5"/>
    <x v="5"/>
    <x v="42"/>
    <x v="0"/>
    <x v="3"/>
    <x v="0"/>
    <n v="135000"/>
  </r>
  <r>
    <x v="47"/>
    <d v="2025-06-25T00:00:00"/>
    <s v="CUST0048"/>
    <s v="P032"/>
    <n v="1"/>
    <n v="35000"/>
    <n v="35000"/>
    <s v="DISC10"/>
    <n v="3500"/>
    <n v="30000"/>
    <n v="61500"/>
    <s v="Bank Transfer"/>
    <s v="UNKNOWN"/>
    <x v="2"/>
    <x v="0"/>
    <s v="No"/>
    <n v="31500"/>
    <x v="29"/>
    <x v="1"/>
    <x v="1"/>
    <x v="36"/>
    <x v="0"/>
    <x v="8"/>
    <x v="0"/>
    <n v="0"/>
  </r>
  <r>
    <x v="48"/>
    <d v="2025-06-25T00:00:00"/>
    <s v="CUST0238"/>
    <s v="P014"/>
    <n v="1"/>
    <n v="75000"/>
    <n v="75000"/>
    <s v="NONE"/>
    <n v="0"/>
    <n v="25000"/>
    <n v="100000"/>
    <s v="Bank Transfer"/>
    <s v="J&amp;T"/>
    <x v="2"/>
    <x v="0"/>
    <s v="No"/>
    <n v="75000"/>
    <x v="30"/>
    <x v="1"/>
    <x v="1"/>
    <x v="43"/>
    <x v="1"/>
    <x v="9"/>
    <x v="0"/>
    <n v="0"/>
  </r>
  <r>
    <x v="49"/>
    <d v="2025-06-25T00:00:00"/>
    <s v="CUST0306"/>
    <s v="P028"/>
    <n v="1"/>
    <n v="50000"/>
    <n v="50000"/>
    <s v="DISC10"/>
    <n v="5000"/>
    <n v="10000"/>
    <n v="55000"/>
    <s v="Bank Transfer"/>
    <s v="JNE"/>
    <x v="0"/>
    <x v="0"/>
    <s v="Yes"/>
    <n v="45000"/>
    <x v="31"/>
    <x v="3"/>
    <x v="3"/>
    <x v="44"/>
    <x v="1"/>
    <x v="7"/>
    <x v="0"/>
    <n v="45000"/>
  </r>
  <r>
    <x v="50"/>
    <d v="2025-06-24T00:00:00"/>
    <s v="CUST0023"/>
    <s v="P021"/>
    <n v="2"/>
    <n v="200000"/>
    <n v="400000"/>
    <s v="DISC15"/>
    <n v="60000"/>
    <n v="10000"/>
    <n v="350000"/>
    <s v="Bank Transfer"/>
    <s v="AnterAja"/>
    <x v="1"/>
    <x v="0"/>
    <s v="No"/>
    <n v="340000"/>
    <x v="32"/>
    <x v="4"/>
    <x v="4"/>
    <x v="45"/>
    <x v="1"/>
    <x v="3"/>
    <x v="2"/>
    <n v="0"/>
  </r>
  <r>
    <x v="51"/>
    <d v="2025-06-24T00:00:00"/>
    <s v="CUST0281"/>
    <s v="P030"/>
    <n v="1"/>
    <n v="100000"/>
    <n v="100000"/>
    <s v="FLASHSALE"/>
    <n v="20000"/>
    <n v="10000"/>
    <n v="90000"/>
    <s v="Credit Card"/>
    <s v="AnterAja"/>
    <x v="0"/>
    <x v="0"/>
    <s v="Yes"/>
    <n v="80000"/>
    <x v="33"/>
    <x v="0"/>
    <x v="0"/>
    <x v="46"/>
    <x v="1"/>
    <x v="5"/>
    <x v="0"/>
    <n v="80000"/>
  </r>
  <r>
    <x v="52"/>
    <d v="2025-06-24T00:00:00"/>
    <s v="CUST0340"/>
    <s v="P018"/>
    <n v="1"/>
    <n v="500000"/>
    <n v="500000"/>
    <s v="DISC15"/>
    <n v="75000"/>
    <n v="30000"/>
    <n v="455000"/>
    <s v="E-Wallet"/>
    <s v="SiCepat"/>
    <x v="0"/>
    <x v="0"/>
    <s v="Yes"/>
    <n v="425000"/>
    <x v="1"/>
    <x v="0"/>
    <x v="0"/>
    <x v="47"/>
    <x v="1"/>
    <x v="7"/>
    <x v="2"/>
    <n v="425000"/>
  </r>
  <r>
    <x v="53"/>
    <d v="2025-06-24T00:00:00"/>
    <s v="CUST0172"/>
    <s v="P016"/>
    <n v="3"/>
    <n v="150000"/>
    <n v="450000"/>
    <s v="NONE"/>
    <n v="0"/>
    <n v="15000"/>
    <n v="465000"/>
    <s v="E-Wallet"/>
    <s v="SiCepat"/>
    <x v="0"/>
    <x v="0"/>
    <s v="Yes"/>
    <n v="450000"/>
    <x v="8"/>
    <x v="3"/>
    <x v="3"/>
    <x v="9"/>
    <x v="0"/>
    <x v="0"/>
    <x v="1"/>
    <n v="450000"/>
  </r>
  <r>
    <x v="54"/>
    <d v="2025-06-24T00:00:00"/>
    <s v="CUST0294"/>
    <s v="P039"/>
    <n v="1"/>
    <n v="35000"/>
    <n v="35000"/>
    <s v="FLASHSALE"/>
    <n v="7000"/>
    <n v="15000"/>
    <n v="43000"/>
    <s v="E-Wallet"/>
    <s v="J&amp;T"/>
    <x v="3"/>
    <x v="0"/>
    <s v="No"/>
    <n v="28000"/>
    <x v="11"/>
    <x v="4"/>
    <x v="4"/>
    <x v="22"/>
    <x v="0"/>
    <x v="1"/>
    <x v="0"/>
    <n v="0"/>
  </r>
  <r>
    <x v="55"/>
    <d v="2025-06-24T00:00:00"/>
    <s v="CUST0347"/>
    <s v="P050"/>
    <n v="2"/>
    <n v="200000"/>
    <n v="400000"/>
    <s v="NONE"/>
    <n v="0"/>
    <n v="15000"/>
    <n v="415000"/>
    <s v="E-Wallet"/>
    <s v="JNE"/>
    <x v="0"/>
    <x v="0"/>
    <s v="Yes"/>
    <n v="400000"/>
    <x v="34"/>
    <x v="1"/>
    <x v="1"/>
    <x v="48"/>
    <x v="0"/>
    <x v="0"/>
    <x v="1"/>
    <n v="400000"/>
  </r>
  <r>
    <x v="56"/>
    <d v="2025-06-23T00:00:00"/>
    <s v="CUST0226"/>
    <s v="P029"/>
    <n v="2"/>
    <n v="500000"/>
    <n v="1000000"/>
    <s v="DISC10"/>
    <n v="100000"/>
    <n v="30000"/>
    <n v="930000"/>
    <s v="E-Wallet"/>
    <s v="SiCepat"/>
    <x v="0"/>
    <x v="0"/>
    <s v="Yes"/>
    <n v="900000"/>
    <x v="35"/>
    <x v="5"/>
    <x v="5"/>
    <x v="20"/>
    <x v="1"/>
    <x v="7"/>
    <x v="0"/>
    <n v="900000"/>
  </r>
  <r>
    <x v="57"/>
    <d v="2025-06-23T00:00:00"/>
    <s v="CUST0242"/>
    <s v="P026"/>
    <n v="1"/>
    <n v="200000"/>
    <n v="200000"/>
    <s v="NONE"/>
    <n v="0"/>
    <n v="10000"/>
    <n v="210000"/>
    <s v="E-Wallet"/>
    <s v="JNE"/>
    <x v="4"/>
    <x v="0"/>
    <s v="No"/>
    <n v="200000"/>
    <x v="3"/>
    <x v="1"/>
    <x v="1"/>
    <x v="49"/>
    <x v="1"/>
    <x v="4"/>
    <x v="0"/>
    <n v="0"/>
  </r>
  <r>
    <x v="58"/>
    <d v="2025-06-23T00:00:00"/>
    <s v="CUST0321"/>
    <s v="P055"/>
    <n v="1"/>
    <n v="300000"/>
    <n v="300000"/>
    <s v="NONE"/>
    <n v="0"/>
    <n v="30000"/>
    <n v="330000"/>
    <s v="Bank Transfer"/>
    <s v="J&amp;T"/>
    <x v="0"/>
    <x v="0"/>
    <s v="Yes"/>
    <n v="300000"/>
    <x v="9"/>
    <x v="2"/>
    <x v="2"/>
    <x v="50"/>
    <x v="0"/>
    <x v="4"/>
    <x v="2"/>
    <n v="300000"/>
  </r>
  <r>
    <x v="59"/>
    <d v="2025-06-23T00:00:00"/>
    <s v="CUST0170"/>
    <s v="P054"/>
    <n v="4"/>
    <n v="100000"/>
    <n v="400000"/>
    <s v="NONE"/>
    <n v="0"/>
    <n v="10000"/>
    <n v="410000"/>
    <s v="E-Wallet"/>
    <s v="SiCepat"/>
    <x v="0"/>
    <x v="0"/>
    <s v="Yes"/>
    <n v="400000"/>
    <x v="5"/>
    <x v="0"/>
    <x v="0"/>
    <x v="2"/>
    <x v="1"/>
    <x v="2"/>
    <x v="1"/>
    <n v="400000"/>
  </r>
  <r>
    <x v="60"/>
    <d v="2025-06-23T00:00:00"/>
    <s v="CUST0345"/>
    <s v="P018"/>
    <n v="3"/>
    <n v="500000"/>
    <n v="1500000"/>
    <s v="NONE"/>
    <n v="0"/>
    <n v="20000"/>
    <n v="1520000"/>
    <s v="Bank Transfer"/>
    <s v="AnterAja"/>
    <x v="0"/>
    <x v="0"/>
    <s v="Yes"/>
    <n v="1500000"/>
    <x v="1"/>
    <x v="0"/>
    <x v="0"/>
    <x v="51"/>
    <x v="0"/>
    <x v="8"/>
    <x v="1"/>
    <n v="1500000"/>
  </r>
  <r>
    <x v="61"/>
    <d v="2025-06-23T00:00:00"/>
    <s v="CUST0162"/>
    <s v="P037"/>
    <n v="2"/>
    <n v="100000"/>
    <n v="200000"/>
    <s v="NONE"/>
    <n v="0"/>
    <n v="25000"/>
    <n v="225000"/>
    <s v="E-Wallet"/>
    <s v="J&amp;T"/>
    <x v="0"/>
    <x v="0"/>
    <s v="Yes"/>
    <n v="200000"/>
    <x v="4"/>
    <x v="2"/>
    <x v="2"/>
    <x v="52"/>
    <x v="1"/>
    <x v="2"/>
    <x v="0"/>
    <n v="200000"/>
  </r>
  <r>
    <x v="62"/>
    <d v="2025-06-23T00:00:00"/>
    <s v="CUST0232"/>
    <s v="P014"/>
    <n v="2"/>
    <n v="75000"/>
    <n v="150000"/>
    <s v="NONE"/>
    <n v="0"/>
    <n v="30000"/>
    <n v="180000"/>
    <s v="COD"/>
    <s v="AnterAja"/>
    <x v="0"/>
    <x v="0"/>
    <s v="Yes"/>
    <n v="150000"/>
    <x v="30"/>
    <x v="1"/>
    <x v="1"/>
    <x v="53"/>
    <x v="1"/>
    <x v="8"/>
    <x v="2"/>
    <n v="150000"/>
  </r>
  <r>
    <x v="63"/>
    <d v="2025-06-22T00:00:00"/>
    <s v="CUST0022"/>
    <s v="P014"/>
    <n v="4"/>
    <n v="75000"/>
    <n v="300000"/>
    <s v="NONE"/>
    <n v="0"/>
    <n v="30000"/>
    <n v="330000"/>
    <s v="COD"/>
    <s v="JNE"/>
    <x v="2"/>
    <x v="0"/>
    <s v="No"/>
    <n v="300000"/>
    <x v="30"/>
    <x v="1"/>
    <x v="1"/>
    <x v="54"/>
    <x v="0"/>
    <x v="8"/>
    <x v="0"/>
    <n v="0"/>
  </r>
  <r>
    <x v="64"/>
    <d v="2025-06-22T00:00:00"/>
    <s v="CUST0046"/>
    <s v="P008"/>
    <n v="2"/>
    <n v="150000"/>
    <n v="300000"/>
    <s v="FLASHSALE"/>
    <n v="60000"/>
    <n v="10000"/>
    <n v="250000"/>
    <s v="E-Wallet"/>
    <s v="J&amp;T"/>
    <x v="2"/>
    <x v="0"/>
    <s v="No"/>
    <n v="240000"/>
    <x v="18"/>
    <x v="1"/>
    <x v="1"/>
    <x v="55"/>
    <x v="0"/>
    <x v="1"/>
    <x v="2"/>
    <n v="0"/>
  </r>
  <r>
    <x v="65"/>
    <d v="2025-06-22T00:00:00"/>
    <s v="CUST0141"/>
    <s v="P010"/>
    <n v="1"/>
    <n v="50000"/>
    <n v="50000"/>
    <s v="NONE"/>
    <n v="0"/>
    <n v="20000"/>
    <n v="70000"/>
    <s v="E-Wallet"/>
    <s v="AnterAja"/>
    <x v="0"/>
    <x v="0"/>
    <s v="Yes"/>
    <n v="50000"/>
    <x v="13"/>
    <x v="3"/>
    <x v="3"/>
    <x v="56"/>
    <x v="1"/>
    <x v="8"/>
    <x v="1"/>
    <n v="50000"/>
  </r>
  <r>
    <x v="66"/>
    <d v="2025-06-22T00:00:00"/>
    <s v="CUST0219"/>
    <s v="P016"/>
    <n v="4"/>
    <n v="150000"/>
    <n v="600000"/>
    <s v="NEWUSER"/>
    <n v="60000"/>
    <n v="25000"/>
    <n v="565000"/>
    <s v="COD"/>
    <s v="AnterAja"/>
    <x v="0"/>
    <x v="0"/>
    <s v="Yes"/>
    <n v="540000"/>
    <x v="8"/>
    <x v="3"/>
    <x v="3"/>
    <x v="1"/>
    <x v="1"/>
    <x v="1"/>
    <x v="1"/>
    <n v="540000"/>
  </r>
  <r>
    <x v="67"/>
    <d v="2025-06-21T00:00:00"/>
    <s v="CUST0173"/>
    <s v="P042"/>
    <n v="4"/>
    <n v="300000"/>
    <n v="1200000"/>
    <s v="DISC10"/>
    <n v="120000"/>
    <n v="25000"/>
    <n v="1105000"/>
    <s v="Credit Card"/>
    <s v="J&amp;T"/>
    <x v="3"/>
    <x v="0"/>
    <s v="No"/>
    <n v="1080000"/>
    <x v="36"/>
    <x v="0"/>
    <x v="0"/>
    <x v="38"/>
    <x v="0"/>
    <x v="1"/>
    <x v="0"/>
    <n v="0"/>
  </r>
  <r>
    <x v="68"/>
    <d v="2025-06-21T00:00:00"/>
    <s v="CUST0100"/>
    <s v="P018"/>
    <n v="4"/>
    <n v="500000"/>
    <n v="2000000"/>
    <s v="NONE"/>
    <n v="0"/>
    <n v="25000"/>
    <n v="2025000"/>
    <s v="E-Wallet"/>
    <s v="J&amp;T"/>
    <x v="4"/>
    <x v="0"/>
    <s v="No"/>
    <n v="2000000"/>
    <x v="1"/>
    <x v="0"/>
    <x v="0"/>
    <x v="34"/>
    <x v="0"/>
    <x v="2"/>
    <x v="1"/>
    <n v="0"/>
  </r>
  <r>
    <x v="69"/>
    <d v="2025-06-21T00:00:00"/>
    <s v="CUST0320"/>
    <s v="P029"/>
    <n v="2"/>
    <n v="500000"/>
    <n v="1000000"/>
    <s v="DISC10"/>
    <n v="100000"/>
    <n v="15000"/>
    <n v="915000"/>
    <s v="E-Wallet"/>
    <s v="SiCepat"/>
    <x v="0"/>
    <x v="0"/>
    <s v="Yes"/>
    <n v="900000"/>
    <x v="35"/>
    <x v="5"/>
    <x v="5"/>
    <x v="57"/>
    <x v="1"/>
    <x v="6"/>
    <x v="0"/>
    <n v="900000"/>
  </r>
  <r>
    <x v="70"/>
    <d v="2025-06-21T00:00:00"/>
    <s v="CUST0112"/>
    <s v="P060"/>
    <n v="3"/>
    <n v="150000"/>
    <n v="450000"/>
    <s v="NONE"/>
    <n v="0"/>
    <n v="10000"/>
    <n v="460000"/>
    <s v="E-Wallet"/>
    <s v="SiCepat"/>
    <x v="1"/>
    <x v="0"/>
    <s v="No"/>
    <n v="450000"/>
    <x v="0"/>
    <x v="0"/>
    <x v="0"/>
    <x v="58"/>
    <x v="1"/>
    <x v="9"/>
    <x v="1"/>
    <n v="0"/>
  </r>
  <r>
    <x v="71"/>
    <d v="2025-06-21T00:00:00"/>
    <s v="CUST0274"/>
    <s v="P003"/>
    <n v="4"/>
    <n v="150000"/>
    <n v="600000"/>
    <s v="FLASHSALE"/>
    <n v="120000"/>
    <n v="25000"/>
    <n v="505000"/>
    <s v="E-Wallet"/>
    <s v="JNE"/>
    <x v="4"/>
    <x v="0"/>
    <s v="No"/>
    <n v="480000"/>
    <x v="37"/>
    <x v="4"/>
    <x v="4"/>
    <x v="59"/>
    <x v="1"/>
    <x v="2"/>
    <x v="0"/>
    <n v="0"/>
  </r>
  <r>
    <x v="72"/>
    <d v="2025-06-21T00:00:00"/>
    <s v="CUST0134"/>
    <s v="P042"/>
    <n v="1"/>
    <n v="300000"/>
    <n v="300000"/>
    <s v="FLASHSALE"/>
    <n v="60000"/>
    <n v="25000"/>
    <n v="265000"/>
    <s v="Bank Transfer"/>
    <s v="SiCepat"/>
    <x v="0"/>
    <x v="0"/>
    <s v="Yes"/>
    <n v="240000"/>
    <x v="36"/>
    <x v="0"/>
    <x v="0"/>
    <x v="60"/>
    <x v="1"/>
    <x v="1"/>
    <x v="0"/>
    <n v="240000"/>
  </r>
  <r>
    <x v="73"/>
    <d v="2025-06-21T00:00:00"/>
    <s v="CUST0064"/>
    <s v="P031"/>
    <n v="2"/>
    <n v="150000"/>
    <n v="300000"/>
    <s v="NEWUSER"/>
    <n v="30000"/>
    <n v="15000"/>
    <n v="285000"/>
    <s v="Bank Transfer"/>
    <s v="JNE"/>
    <x v="2"/>
    <x v="0"/>
    <s v="No"/>
    <n v="270000"/>
    <x v="20"/>
    <x v="2"/>
    <x v="2"/>
    <x v="61"/>
    <x v="1"/>
    <x v="9"/>
    <x v="0"/>
    <n v="0"/>
  </r>
  <r>
    <x v="74"/>
    <d v="2025-06-20T00:00:00"/>
    <s v="CUST0104"/>
    <s v="P042"/>
    <n v="1"/>
    <n v="300000"/>
    <n v="300000"/>
    <s v="NONE"/>
    <n v="0"/>
    <n v="20000"/>
    <n v="320000"/>
    <s v="COD"/>
    <s v="JNE"/>
    <x v="0"/>
    <x v="0"/>
    <s v="Yes"/>
    <n v="300000"/>
    <x v="36"/>
    <x v="0"/>
    <x v="0"/>
    <x v="62"/>
    <x v="0"/>
    <x v="0"/>
    <x v="1"/>
    <n v="300000"/>
  </r>
  <r>
    <x v="75"/>
    <d v="2025-06-20T00:00:00"/>
    <s v="CUST0228"/>
    <s v="P058"/>
    <n v="2"/>
    <n v="35000"/>
    <n v="70000"/>
    <s v="DISC15"/>
    <n v="10500"/>
    <n v="10000"/>
    <n v="69500"/>
    <s v="Credit Card"/>
    <s v="SiCepat"/>
    <x v="0"/>
    <x v="0"/>
    <s v="Yes"/>
    <n v="59500"/>
    <x v="24"/>
    <x v="3"/>
    <x v="3"/>
    <x v="26"/>
    <x v="1"/>
    <x v="1"/>
    <x v="1"/>
    <n v="59500"/>
  </r>
  <r>
    <x v="76"/>
    <d v="2025-06-20T00:00:00"/>
    <s v="CUST0059"/>
    <s v="P032"/>
    <n v="1"/>
    <n v="35000"/>
    <n v="35000"/>
    <s v="FLASHSALE"/>
    <n v="7000"/>
    <n v="15000"/>
    <n v="43000"/>
    <s v="Bank Transfer"/>
    <s v="AnterAja"/>
    <x v="2"/>
    <x v="0"/>
    <s v="No"/>
    <n v="28000"/>
    <x v="29"/>
    <x v="1"/>
    <x v="1"/>
    <x v="63"/>
    <x v="0"/>
    <x v="2"/>
    <x v="0"/>
    <n v="0"/>
  </r>
  <r>
    <x v="77"/>
    <d v="2025-06-20T00:00:00"/>
    <s v="CUST0296"/>
    <s v="P049"/>
    <n v="2"/>
    <n v="200000"/>
    <n v="400000"/>
    <s v="DISC10"/>
    <n v="40000"/>
    <n v="15000"/>
    <n v="375000"/>
    <s v="E-Wallet"/>
    <s v="SiCepat"/>
    <x v="0"/>
    <x v="0"/>
    <s v="Yes"/>
    <n v="360000"/>
    <x v="17"/>
    <x v="2"/>
    <x v="2"/>
    <x v="64"/>
    <x v="1"/>
    <x v="0"/>
    <x v="1"/>
    <n v="360000"/>
  </r>
  <r>
    <x v="78"/>
    <d v="2025-06-20T00:00:00"/>
    <s v="CUST0138"/>
    <s v="P059"/>
    <n v="1"/>
    <n v="75000"/>
    <n v="75000"/>
    <s v="NONE"/>
    <n v="0"/>
    <n v="15000"/>
    <n v="90000"/>
    <s v="Credit Card"/>
    <s v="J&amp;T"/>
    <x v="0"/>
    <x v="0"/>
    <s v="Yes"/>
    <n v="75000"/>
    <x v="16"/>
    <x v="5"/>
    <x v="5"/>
    <x v="65"/>
    <x v="0"/>
    <x v="8"/>
    <x v="1"/>
    <n v="75000"/>
  </r>
  <r>
    <x v="79"/>
    <d v="2025-06-19T00:00:00"/>
    <s v="CUST0108"/>
    <s v="P002"/>
    <n v="4"/>
    <n v="100000"/>
    <n v="400000"/>
    <s v="NEWUSER"/>
    <n v="40000"/>
    <n v="30000"/>
    <n v="390000"/>
    <s v="COD"/>
    <s v="SiCepat"/>
    <x v="0"/>
    <x v="0"/>
    <s v="Yes"/>
    <n v="360000"/>
    <x v="38"/>
    <x v="1"/>
    <x v="1"/>
    <x v="66"/>
    <x v="1"/>
    <x v="0"/>
    <x v="1"/>
    <n v="360000"/>
  </r>
  <r>
    <x v="80"/>
    <d v="2025-06-19T00:00:00"/>
    <s v="CUST0124"/>
    <s v="P037"/>
    <n v="1"/>
    <n v="100000"/>
    <n v="100000"/>
    <s v="DISC10"/>
    <n v="10000"/>
    <n v="30000"/>
    <n v="120000"/>
    <s v="Credit Card"/>
    <s v="AnterAja"/>
    <x v="4"/>
    <x v="0"/>
    <s v="No"/>
    <n v="90000"/>
    <x v="4"/>
    <x v="2"/>
    <x v="2"/>
    <x v="67"/>
    <x v="1"/>
    <x v="2"/>
    <x v="0"/>
    <n v="0"/>
  </r>
  <r>
    <x v="81"/>
    <d v="2025-06-19T00:00:00"/>
    <s v="CUST0335"/>
    <s v="P017"/>
    <n v="3"/>
    <n v="100000"/>
    <n v="300000"/>
    <s v="NONE"/>
    <n v="0"/>
    <n v="10000"/>
    <n v="310000"/>
    <s v="E-Wallet"/>
    <s v="AnterAja"/>
    <x v="0"/>
    <x v="0"/>
    <s v="Yes"/>
    <n v="300000"/>
    <x v="39"/>
    <x v="5"/>
    <x v="5"/>
    <x v="68"/>
    <x v="1"/>
    <x v="1"/>
    <x v="0"/>
    <n v="300000"/>
  </r>
  <r>
    <x v="82"/>
    <d v="2025-06-19T00:00:00"/>
    <s v="CUST0033"/>
    <s v="P010"/>
    <n v="2"/>
    <n v="50000"/>
    <n v="100000"/>
    <s v="FLASHSALE"/>
    <n v="20000"/>
    <n v="30000"/>
    <n v="110000"/>
    <s v="Credit Card"/>
    <s v="SiCepat"/>
    <x v="2"/>
    <x v="0"/>
    <s v="No"/>
    <n v="80000"/>
    <x v="13"/>
    <x v="3"/>
    <x v="3"/>
    <x v="69"/>
    <x v="0"/>
    <x v="1"/>
    <x v="2"/>
    <n v="0"/>
  </r>
  <r>
    <x v="83"/>
    <d v="2025-06-19T00:00:00"/>
    <s v="CUST0079"/>
    <s v="P018"/>
    <n v="4"/>
    <n v="500000"/>
    <n v="2000000"/>
    <s v="DISC10"/>
    <n v="200000"/>
    <n v="20000"/>
    <n v="1820000"/>
    <s v="Bank Transfer"/>
    <s v="J&amp;T"/>
    <x v="0"/>
    <x v="0"/>
    <s v="Yes"/>
    <n v="1800000"/>
    <x v="1"/>
    <x v="0"/>
    <x v="0"/>
    <x v="70"/>
    <x v="1"/>
    <x v="4"/>
    <x v="1"/>
    <n v="1800000"/>
  </r>
  <r>
    <x v="84"/>
    <d v="2025-06-19T00:00:00"/>
    <s v="CUST0307"/>
    <s v="P012"/>
    <n v="1"/>
    <n v="300000"/>
    <n v="300000"/>
    <s v="NONE"/>
    <n v="0"/>
    <n v="20000"/>
    <n v="320000"/>
    <s v="Credit Card"/>
    <s v="AnterAja"/>
    <x v="0"/>
    <x v="0"/>
    <s v="Yes"/>
    <n v="300000"/>
    <x v="40"/>
    <x v="0"/>
    <x v="0"/>
    <x v="71"/>
    <x v="0"/>
    <x v="0"/>
    <x v="1"/>
    <n v="300000"/>
  </r>
  <r>
    <x v="85"/>
    <d v="2025-06-18T00:00:00"/>
    <s v="CUST0219"/>
    <s v="P049"/>
    <n v="2"/>
    <n v="200000"/>
    <n v="400000"/>
    <s v="DISC10"/>
    <n v="40000"/>
    <n v="15000"/>
    <n v="375000"/>
    <s v="Credit Card"/>
    <s v="J&amp;T"/>
    <x v="0"/>
    <x v="0"/>
    <s v="Yes"/>
    <n v="360000"/>
    <x v="17"/>
    <x v="2"/>
    <x v="2"/>
    <x v="1"/>
    <x v="1"/>
    <x v="1"/>
    <x v="1"/>
    <n v="360000"/>
  </r>
  <r>
    <x v="86"/>
    <d v="2025-06-18T00:00:00"/>
    <s v="CUST0086"/>
    <s v="P049"/>
    <n v="1"/>
    <n v="200000"/>
    <n v="200000"/>
    <s v="DISC10"/>
    <n v="20000"/>
    <n v="30000"/>
    <n v="210000"/>
    <s v="Bank Transfer"/>
    <s v="J&amp;T"/>
    <x v="0"/>
    <x v="0"/>
    <s v="Yes"/>
    <n v="180000"/>
    <x v="17"/>
    <x v="2"/>
    <x v="2"/>
    <x v="19"/>
    <x v="1"/>
    <x v="4"/>
    <x v="0"/>
    <n v="180000"/>
  </r>
  <r>
    <x v="87"/>
    <d v="2025-06-18T00:00:00"/>
    <s v="CUST0152"/>
    <s v="P035"/>
    <n v="3"/>
    <n v="200000"/>
    <n v="600000"/>
    <s v="NONE"/>
    <n v="0"/>
    <n v="15000"/>
    <n v="615000"/>
    <s v="Bank Transfer"/>
    <s v="SiCepat"/>
    <x v="3"/>
    <x v="0"/>
    <s v="No"/>
    <n v="600000"/>
    <x v="41"/>
    <x v="5"/>
    <x v="5"/>
    <x v="72"/>
    <x v="1"/>
    <x v="3"/>
    <x v="1"/>
    <n v="0"/>
  </r>
  <r>
    <x v="88"/>
    <d v="2025-06-18T00:00:00"/>
    <s v="CUST0042"/>
    <s v="P034"/>
    <n v="1"/>
    <n v="50000"/>
    <n v="50000"/>
    <s v="FLASHSALE"/>
    <n v="10000"/>
    <n v="10000"/>
    <n v="50000"/>
    <s v="Bank Transfer"/>
    <s v="SiCepat"/>
    <x v="3"/>
    <x v="0"/>
    <s v="No"/>
    <n v="40000"/>
    <x v="42"/>
    <x v="3"/>
    <x v="3"/>
    <x v="73"/>
    <x v="0"/>
    <x v="1"/>
    <x v="1"/>
    <n v="0"/>
  </r>
  <r>
    <x v="89"/>
    <d v="2025-06-18T00:00:00"/>
    <s v="CUST0330"/>
    <s v="P024"/>
    <n v="1"/>
    <n v="500000"/>
    <n v="500000"/>
    <s v="NONE"/>
    <n v="0"/>
    <n v="20000"/>
    <n v="520000"/>
    <s v="COD"/>
    <s v="J&amp;T"/>
    <x v="0"/>
    <x v="0"/>
    <s v="Yes"/>
    <n v="500000"/>
    <x v="43"/>
    <x v="0"/>
    <x v="0"/>
    <x v="74"/>
    <x v="1"/>
    <x v="1"/>
    <x v="1"/>
    <n v="500000"/>
  </r>
  <r>
    <x v="90"/>
    <d v="2025-06-18T00:00:00"/>
    <s v="CUST0293"/>
    <s v="P057"/>
    <n v="1"/>
    <n v="500000"/>
    <n v="500000"/>
    <s v="FLASHSALE"/>
    <n v="100000"/>
    <n v="15000"/>
    <n v="415000"/>
    <s v="Bank Transfer"/>
    <s v="AnterAja"/>
    <x v="0"/>
    <x v="0"/>
    <s v="Yes"/>
    <n v="400000"/>
    <x v="44"/>
    <x v="4"/>
    <x v="4"/>
    <x v="75"/>
    <x v="1"/>
    <x v="5"/>
    <x v="0"/>
    <n v="400000"/>
  </r>
  <r>
    <x v="91"/>
    <d v="2025-06-17T00:00:00"/>
    <s v="CUST0286"/>
    <s v="P009"/>
    <n v="1"/>
    <n v="300000"/>
    <n v="300000"/>
    <s v="NONE"/>
    <n v="0"/>
    <n v="10000"/>
    <n v="310000"/>
    <s v="E-Wallet"/>
    <s v="SiCepat"/>
    <x v="0"/>
    <x v="0"/>
    <s v="Yes"/>
    <n v="300000"/>
    <x v="45"/>
    <x v="4"/>
    <x v="4"/>
    <x v="76"/>
    <x v="1"/>
    <x v="0"/>
    <x v="0"/>
    <n v="300000"/>
  </r>
  <r>
    <x v="92"/>
    <d v="2025-06-17T00:00:00"/>
    <s v="CUST0106"/>
    <s v="P015"/>
    <n v="4"/>
    <n v="500000"/>
    <n v="2000000"/>
    <s v="DISC15"/>
    <n v="300000"/>
    <n v="25000"/>
    <n v="1725000"/>
    <s v="COD"/>
    <s v="JNE"/>
    <x v="0"/>
    <x v="0"/>
    <s v="Yes"/>
    <n v="1700000"/>
    <x v="19"/>
    <x v="4"/>
    <x v="4"/>
    <x v="15"/>
    <x v="1"/>
    <x v="7"/>
    <x v="0"/>
    <n v="1700000"/>
  </r>
  <r>
    <x v="93"/>
    <d v="2025-06-17T00:00:00"/>
    <s v="CUST0080"/>
    <s v="P038"/>
    <n v="2"/>
    <n v="35000"/>
    <n v="70000"/>
    <s v="NONE"/>
    <n v="0"/>
    <n v="20000"/>
    <n v="90000"/>
    <s v="E-Wallet"/>
    <s v="J&amp;T"/>
    <x v="0"/>
    <x v="0"/>
    <s v="Yes"/>
    <n v="70000"/>
    <x v="46"/>
    <x v="1"/>
    <x v="1"/>
    <x v="77"/>
    <x v="1"/>
    <x v="2"/>
    <x v="0"/>
    <n v="70000"/>
  </r>
  <r>
    <x v="94"/>
    <d v="2025-06-17T00:00:00"/>
    <s v="CUST0045"/>
    <s v="P004"/>
    <n v="1"/>
    <n v="300000"/>
    <n v="300000"/>
    <s v="NONE"/>
    <n v="0"/>
    <n v="10000"/>
    <n v="310000"/>
    <s v="Credit Card"/>
    <s v="AnterAja"/>
    <x v="0"/>
    <x v="0"/>
    <s v="Yes"/>
    <n v="300000"/>
    <x v="22"/>
    <x v="3"/>
    <x v="3"/>
    <x v="78"/>
    <x v="0"/>
    <x v="6"/>
    <x v="0"/>
    <n v="300000"/>
  </r>
  <r>
    <x v="95"/>
    <d v="2025-06-17T00:00:00"/>
    <s v="CUST0338"/>
    <s v="P050"/>
    <n v="2"/>
    <n v="200000"/>
    <n v="400000"/>
    <s v="DISC15"/>
    <n v="60000"/>
    <n v="10000"/>
    <n v="350000"/>
    <s v="COD"/>
    <s v="JNE"/>
    <x v="0"/>
    <x v="0"/>
    <s v="Yes"/>
    <n v="340000"/>
    <x v="34"/>
    <x v="1"/>
    <x v="1"/>
    <x v="37"/>
    <x v="0"/>
    <x v="3"/>
    <x v="1"/>
    <n v="340000"/>
  </r>
  <r>
    <x v="96"/>
    <d v="2025-06-17T00:00:00"/>
    <s v="CUST0180"/>
    <s v="P058"/>
    <n v="2"/>
    <n v="35000"/>
    <n v="70000"/>
    <s v="NONE"/>
    <n v="0"/>
    <n v="15000"/>
    <n v="85000"/>
    <s v="E-Wallet"/>
    <s v="JNE"/>
    <x v="0"/>
    <x v="0"/>
    <s v="Yes"/>
    <n v="70000"/>
    <x v="24"/>
    <x v="3"/>
    <x v="3"/>
    <x v="79"/>
    <x v="0"/>
    <x v="2"/>
    <x v="1"/>
    <n v="70000"/>
  </r>
  <r>
    <x v="97"/>
    <d v="2025-06-16T00:00:00"/>
    <s v="CUST0060"/>
    <s v="P034"/>
    <n v="1"/>
    <n v="50000"/>
    <n v="50000"/>
    <s v="DISC10"/>
    <n v="5000"/>
    <n v="15000"/>
    <n v="60000"/>
    <s v="Credit Card"/>
    <s v="J&amp;T"/>
    <x v="4"/>
    <x v="0"/>
    <s v="No"/>
    <n v="45000"/>
    <x v="42"/>
    <x v="3"/>
    <x v="3"/>
    <x v="80"/>
    <x v="1"/>
    <x v="0"/>
    <x v="1"/>
    <n v="0"/>
  </r>
  <r>
    <x v="98"/>
    <d v="2025-06-16T00:00:00"/>
    <s v="CUST0082"/>
    <s v="P044"/>
    <n v="3"/>
    <n v="500000"/>
    <n v="1500000"/>
    <s v="NONE"/>
    <n v="0"/>
    <n v="20000"/>
    <n v="1520000"/>
    <s v="Credit Card"/>
    <s v="AnterAja"/>
    <x v="4"/>
    <x v="0"/>
    <s v="No"/>
    <n v="1500000"/>
    <x v="47"/>
    <x v="1"/>
    <x v="1"/>
    <x v="81"/>
    <x v="1"/>
    <x v="5"/>
    <x v="1"/>
    <n v="0"/>
  </r>
  <r>
    <x v="99"/>
    <d v="2025-06-16T00:00:00"/>
    <s v="CUST0204"/>
    <s v="P002"/>
    <n v="1"/>
    <n v="100000"/>
    <n v="100000"/>
    <s v="DISC15"/>
    <n v="15000"/>
    <n v="25000"/>
    <n v="110000"/>
    <s v="E-Wallet"/>
    <s v="AnterAja"/>
    <x v="0"/>
    <x v="0"/>
    <s v="Yes"/>
    <n v="85000"/>
    <x v="38"/>
    <x v="1"/>
    <x v="1"/>
    <x v="82"/>
    <x v="1"/>
    <x v="5"/>
    <x v="1"/>
    <n v="85000"/>
  </r>
  <r>
    <x v="100"/>
    <d v="2025-06-16T00:00:00"/>
    <s v="CUST0140"/>
    <s v="P035"/>
    <n v="3"/>
    <n v="200000"/>
    <n v="600000"/>
    <s v="NONE"/>
    <n v="0"/>
    <n v="10000"/>
    <n v="610000"/>
    <s v="Bank Transfer"/>
    <s v="SiCepat"/>
    <x v="0"/>
    <x v="0"/>
    <s v="Yes"/>
    <n v="600000"/>
    <x v="41"/>
    <x v="5"/>
    <x v="5"/>
    <x v="83"/>
    <x v="1"/>
    <x v="2"/>
    <x v="1"/>
    <n v="600000"/>
  </r>
  <r>
    <x v="101"/>
    <d v="2025-06-16T00:00:00"/>
    <s v="CUST0190"/>
    <s v="P039"/>
    <n v="2"/>
    <n v="35000"/>
    <n v="70000"/>
    <s v="FLASHSALE"/>
    <n v="14000"/>
    <n v="15000"/>
    <n v="71000"/>
    <s v="Bank Transfer"/>
    <s v="J&amp;T"/>
    <x v="0"/>
    <x v="0"/>
    <s v="Yes"/>
    <n v="56000"/>
    <x v="11"/>
    <x v="4"/>
    <x v="4"/>
    <x v="84"/>
    <x v="1"/>
    <x v="9"/>
    <x v="2"/>
    <n v="56000"/>
  </r>
  <r>
    <x v="102"/>
    <d v="2025-06-16T00:00:00"/>
    <s v="CUST0176"/>
    <s v="P012"/>
    <n v="1"/>
    <n v="300000"/>
    <n v="300000"/>
    <s v="FLASHSALE"/>
    <n v="60000"/>
    <n v="20000"/>
    <n v="260000"/>
    <s v="Credit Card"/>
    <s v="J&amp;T"/>
    <x v="2"/>
    <x v="0"/>
    <s v="No"/>
    <n v="240000"/>
    <x v="40"/>
    <x v="0"/>
    <x v="0"/>
    <x v="85"/>
    <x v="0"/>
    <x v="7"/>
    <x v="2"/>
    <n v="0"/>
  </r>
  <r>
    <x v="103"/>
    <d v="2025-06-16T00:00:00"/>
    <s v="CUST0072"/>
    <s v="P042"/>
    <n v="2"/>
    <n v="300000"/>
    <n v="600000"/>
    <s v="DISC15"/>
    <n v="90000"/>
    <n v="25000"/>
    <n v="535000"/>
    <s v="Bank Transfer"/>
    <s v="J&amp;T"/>
    <x v="0"/>
    <x v="0"/>
    <s v="Yes"/>
    <n v="510000"/>
    <x v="36"/>
    <x v="0"/>
    <x v="0"/>
    <x v="86"/>
    <x v="1"/>
    <x v="8"/>
    <x v="1"/>
    <n v="510000"/>
  </r>
  <r>
    <x v="104"/>
    <d v="2025-06-15T00:00:00"/>
    <s v="CUST0242"/>
    <s v="P057"/>
    <n v="1"/>
    <n v="500000"/>
    <n v="500000"/>
    <s v="NONE"/>
    <n v="0"/>
    <n v="15000"/>
    <n v="515000"/>
    <s v="Bank Transfer"/>
    <s v="JNE"/>
    <x v="4"/>
    <x v="0"/>
    <s v="No"/>
    <n v="500000"/>
    <x v="44"/>
    <x v="4"/>
    <x v="4"/>
    <x v="49"/>
    <x v="1"/>
    <x v="4"/>
    <x v="0"/>
    <n v="0"/>
  </r>
  <r>
    <x v="105"/>
    <d v="2025-06-15T00:00:00"/>
    <s v="CUST0222"/>
    <s v="P001"/>
    <n v="3"/>
    <n v="300000"/>
    <n v="900000"/>
    <s v="NONE"/>
    <n v="0"/>
    <n v="20000"/>
    <n v="920000"/>
    <s v="Bank Transfer"/>
    <s v="J&amp;T"/>
    <x v="0"/>
    <x v="0"/>
    <s v="Yes"/>
    <n v="900000"/>
    <x v="26"/>
    <x v="2"/>
    <x v="2"/>
    <x v="87"/>
    <x v="0"/>
    <x v="7"/>
    <x v="0"/>
    <n v="900000"/>
  </r>
  <r>
    <x v="106"/>
    <d v="2025-06-15T00:00:00"/>
    <s v="CUST0090"/>
    <s v="P058"/>
    <n v="3"/>
    <n v="35000"/>
    <n v="105000"/>
    <s v="NONE"/>
    <n v="0"/>
    <n v="10000"/>
    <n v="115000"/>
    <s v="COD"/>
    <s v="SiCepat"/>
    <x v="0"/>
    <x v="0"/>
    <s v="Yes"/>
    <n v="105000"/>
    <x v="24"/>
    <x v="3"/>
    <x v="3"/>
    <x v="88"/>
    <x v="0"/>
    <x v="8"/>
    <x v="2"/>
    <n v="105000"/>
  </r>
  <r>
    <x v="107"/>
    <d v="2025-06-15T00:00:00"/>
    <s v="CUST0031"/>
    <s v="P051"/>
    <n v="1"/>
    <n v="300000"/>
    <n v="300000"/>
    <s v="DISC10"/>
    <n v="30000"/>
    <n v="10000"/>
    <n v="280000"/>
    <s v="Credit Card"/>
    <s v="AnterAja"/>
    <x v="3"/>
    <x v="0"/>
    <s v="No"/>
    <n v="270000"/>
    <x v="48"/>
    <x v="4"/>
    <x v="4"/>
    <x v="89"/>
    <x v="0"/>
    <x v="9"/>
    <x v="1"/>
    <n v="0"/>
  </r>
  <r>
    <x v="108"/>
    <d v="2025-06-15T00:00:00"/>
    <s v="CUST0128"/>
    <s v="P045"/>
    <n v="3"/>
    <n v="100000"/>
    <n v="300000"/>
    <s v="DISC10"/>
    <n v="30000"/>
    <n v="20000"/>
    <n v="290000"/>
    <s v="E-Wallet"/>
    <s v="SiCepat"/>
    <x v="1"/>
    <x v="0"/>
    <s v="No"/>
    <n v="270000"/>
    <x v="10"/>
    <x v="4"/>
    <x v="4"/>
    <x v="90"/>
    <x v="1"/>
    <x v="3"/>
    <x v="1"/>
    <n v="0"/>
  </r>
  <r>
    <x v="109"/>
    <d v="2025-06-14T00:00:00"/>
    <s v="CUST0195"/>
    <s v="P047"/>
    <n v="1"/>
    <n v="500000"/>
    <n v="500000"/>
    <s v="DISC15"/>
    <n v="75000"/>
    <n v="15000"/>
    <n v="440000"/>
    <s v="E-Wallet"/>
    <s v="J&amp;T"/>
    <x v="1"/>
    <x v="0"/>
    <s v="No"/>
    <n v="425000"/>
    <x v="49"/>
    <x v="5"/>
    <x v="5"/>
    <x v="91"/>
    <x v="1"/>
    <x v="3"/>
    <x v="0"/>
    <n v="0"/>
  </r>
  <r>
    <x v="110"/>
    <d v="2025-06-14T00:00:00"/>
    <s v="CUST0314"/>
    <s v="P021"/>
    <n v="1"/>
    <n v="200000"/>
    <n v="200000"/>
    <s v="DISC10"/>
    <n v="20000"/>
    <n v="20000"/>
    <n v="200000"/>
    <s v="Credit Card"/>
    <s v="JNE"/>
    <x v="0"/>
    <x v="0"/>
    <s v="Yes"/>
    <n v="180000"/>
    <x v="32"/>
    <x v="4"/>
    <x v="4"/>
    <x v="32"/>
    <x v="0"/>
    <x v="4"/>
    <x v="2"/>
    <n v="180000"/>
  </r>
  <r>
    <x v="111"/>
    <d v="2025-06-14T00:00:00"/>
    <s v="CUST0305"/>
    <s v="P013"/>
    <n v="1"/>
    <n v="75000"/>
    <n v="75000"/>
    <s v="NONE"/>
    <n v="0"/>
    <n v="15000"/>
    <n v="90000"/>
    <s v="Bank Transfer"/>
    <s v="SiCepat"/>
    <x v="0"/>
    <x v="0"/>
    <s v="Yes"/>
    <n v="75000"/>
    <x v="50"/>
    <x v="2"/>
    <x v="2"/>
    <x v="92"/>
    <x v="1"/>
    <x v="7"/>
    <x v="1"/>
    <n v="75000"/>
  </r>
  <r>
    <x v="112"/>
    <d v="2025-06-14T00:00:00"/>
    <s v="CUST0046"/>
    <s v="P053"/>
    <n v="1"/>
    <n v="75000"/>
    <n v="75000"/>
    <s v="NONE"/>
    <n v="0"/>
    <n v="25000"/>
    <n v="100000"/>
    <s v="COD"/>
    <s v="J&amp;T"/>
    <x v="3"/>
    <x v="0"/>
    <s v="No"/>
    <n v="75000"/>
    <x v="27"/>
    <x v="5"/>
    <x v="5"/>
    <x v="55"/>
    <x v="0"/>
    <x v="1"/>
    <x v="2"/>
    <n v="0"/>
  </r>
  <r>
    <x v="113"/>
    <d v="2025-06-14T00:00:00"/>
    <s v="CUST0151"/>
    <s v="P029"/>
    <n v="2"/>
    <n v="500000"/>
    <n v="1000000"/>
    <s v="NEWUSER"/>
    <n v="100000"/>
    <n v="30000"/>
    <n v="930000"/>
    <s v="Bank Transfer"/>
    <s v="SiCepat"/>
    <x v="0"/>
    <x v="0"/>
    <s v="Yes"/>
    <n v="900000"/>
    <x v="35"/>
    <x v="5"/>
    <x v="5"/>
    <x v="93"/>
    <x v="1"/>
    <x v="4"/>
    <x v="1"/>
    <n v="900000"/>
  </r>
  <r>
    <x v="114"/>
    <d v="2025-06-14T00:00:00"/>
    <s v="CUST0125"/>
    <s v="P017"/>
    <n v="1"/>
    <n v="100000"/>
    <n v="100000"/>
    <s v="FLASHSALE"/>
    <n v="20000"/>
    <n v="25000"/>
    <n v="105000"/>
    <s v="Bank Transfer"/>
    <s v="JNE"/>
    <x v="2"/>
    <x v="0"/>
    <s v="No"/>
    <n v="80000"/>
    <x v="39"/>
    <x v="5"/>
    <x v="5"/>
    <x v="94"/>
    <x v="1"/>
    <x v="3"/>
    <x v="1"/>
    <n v="0"/>
  </r>
  <r>
    <x v="115"/>
    <d v="2025-06-13T00:00:00"/>
    <s v="CUST0113"/>
    <s v="P059"/>
    <n v="4"/>
    <n v="75000"/>
    <n v="300000"/>
    <s v="DISC15"/>
    <n v="45000"/>
    <n v="30000"/>
    <n v="285000"/>
    <s v="COD"/>
    <s v="SiCepat"/>
    <x v="0"/>
    <x v="0"/>
    <s v="Yes"/>
    <n v="255000"/>
    <x v="16"/>
    <x v="5"/>
    <x v="5"/>
    <x v="95"/>
    <x v="1"/>
    <x v="1"/>
    <x v="1"/>
    <n v="255000"/>
  </r>
  <r>
    <x v="116"/>
    <d v="2025-06-13T00:00:00"/>
    <s v="CUST0301"/>
    <s v="P023"/>
    <n v="4"/>
    <n v="50000"/>
    <n v="200000"/>
    <s v="NONE"/>
    <n v="0"/>
    <n v="15000"/>
    <n v="215000"/>
    <s v="COD"/>
    <s v="J&amp;T"/>
    <x v="0"/>
    <x v="0"/>
    <s v="Yes"/>
    <n v="200000"/>
    <x v="14"/>
    <x v="5"/>
    <x v="5"/>
    <x v="96"/>
    <x v="0"/>
    <x v="7"/>
    <x v="0"/>
    <n v="200000"/>
  </r>
  <r>
    <x v="117"/>
    <d v="2025-06-13T00:00:00"/>
    <s v="CUST0136"/>
    <s v="P009"/>
    <n v="1"/>
    <n v="300000"/>
    <n v="300000"/>
    <s v="NEWUSER"/>
    <n v="30000"/>
    <n v="15000"/>
    <n v="285000"/>
    <s v="E-Wallet"/>
    <s v="J&amp;T"/>
    <x v="0"/>
    <x v="0"/>
    <s v="Yes"/>
    <n v="270000"/>
    <x v="45"/>
    <x v="4"/>
    <x v="4"/>
    <x v="97"/>
    <x v="0"/>
    <x v="6"/>
    <x v="1"/>
    <n v="270000"/>
  </r>
  <r>
    <x v="118"/>
    <d v="2025-06-13T00:00:00"/>
    <s v="CUST0148"/>
    <s v="P018"/>
    <n v="3"/>
    <n v="500000"/>
    <n v="1500000"/>
    <s v="NONE"/>
    <n v="0"/>
    <n v="30000"/>
    <n v="1530000"/>
    <s v="Bank Transfer"/>
    <s v="SiCepat"/>
    <x v="0"/>
    <x v="0"/>
    <s v="Yes"/>
    <n v="1500000"/>
    <x v="1"/>
    <x v="0"/>
    <x v="0"/>
    <x v="98"/>
    <x v="0"/>
    <x v="4"/>
    <x v="1"/>
    <n v="1500000"/>
  </r>
  <r>
    <x v="119"/>
    <d v="2025-06-13T00:00:00"/>
    <s v="CUST0161"/>
    <s v="P047"/>
    <n v="2"/>
    <n v="500000"/>
    <n v="1000000"/>
    <s v="DISC15"/>
    <n v="150000"/>
    <n v="20000"/>
    <n v="870000"/>
    <s v="E-Wallet"/>
    <s v="SiCepat"/>
    <x v="2"/>
    <x v="0"/>
    <s v="No"/>
    <n v="850000"/>
    <x v="49"/>
    <x v="5"/>
    <x v="5"/>
    <x v="99"/>
    <x v="1"/>
    <x v="1"/>
    <x v="0"/>
    <n v="0"/>
  </r>
  <r>
    <x v="120"/>
    <d v="2025-06-13T00:00:00"/>
    <s v="CUST0309"/>
    <s v="P017"/>
    <n v="3"/>
    <n v="100000"/>
    <n v="300000"/>
    <s v="NONE"/>
    <n v="0"/>
    <n v="25000"/>
    <n v="325000"/>
    <s v="E-Wallet"/>
    <s v="J&amp;T"/>
    <x v="0"/>
    <x v="0"/>
    <s v="Yes"/>
    <n v="300000"/>
    <x v="39"/>
    <x v="5"/>
    <x v="5"/>
    <x v="100"/>
    <x v="1"/>
    <x v="0"/>
    <x v="1"/>
    <n v="300000"/>
  </r>
  <r>
    <x v="121"/>
    <d v="2025-06-13T00:00:00"/>
    <s v="CUST0249"/>
    <s v="P012"/>
    <n v="1"/>
    <n v="300000"/>
    <n v="300000"/>
    <s v="NONE"/>
    <n v="0"/>
    <n v="30000"/>
    <n v="330000"/>
    <s v="COD"/>
    <s v="J&amp;T"/>
    <x v="1"/>
    <x v="0"/>
    <s v="No"/>
    <n v="300000"/>
    <x v="40"/>
    <x v="0"/>
    <x v="0"/>
    <x v="101"/>
    <x v="0"/>
    <x v="7"/>
    <x v="1"/>
    <n v="0"/>
  </r>
  <r>
    <x v="122"/>
    <d v="2025-06-12T00:00:00"/>
    <s v="CUST0289"/>
    <s v="P020"/>
    <n v="2"/>
    <n v="75000"/>
    <n v="150000"/>
    <s v="NONE"/>
    <n v="0"/>
    <n v="10000"/>
    <n v="160000"/>
    <s v="E-Wallet"/>
    <s v="AnterAja"/>
    <x v="0"/>
    <x v="0"/>
    <s v="Yes"/>
    <n v="150000"/>
    <x v="6"/>
    <x v="1"/>
    <x v="1"/>
    <x v="102"/>
    <x v="0"/>
    <x v="2"/>
    <x v="0"/>
    <n v="150000"/>
  </r>
  <r>
    <x v="123"/>
    <d v="2025-06-12T00:00:00"/>
    <s v="CUST0178"/>
    <s v="P018"/>
    <n v="3"/>
    <n v="500000"/>
    <n v="1500000"/>
    <s v="NONE"/>
    <n v="0"/>
    <n v="30000"/>
    <n v="1530000"/>
    <s v="COD"/>
    <s v="SiCepat"/>
    <x v="3"/>
    <x v="0"/>
    <s v="No"/>
    <n v="1500000"/>
    <x v="1"/>
    <x v="0"/>
    <x v="0"/>
    <x v="103"/>
    <x v="0"/>
    <x v="2"/>
    <x v="1"/>
    <n v="0"/>
  </r>
  <r>
    <x v="124"/>
    <d v="2025-06-12T00:00:00"/>
    <s v="CUST0244"/>
    <s v="P059"/>
    <n v="2"/>
    <n v="75000"/>
    <n v="150000"/>
    <s v="NEWUSER"/>
    <n v="15000"/>
    <n v="20000"/>
    <n v="155000"/>
    <s v="E-Wallet"/>
    <s v="SiCepat"/>
    <x v="4"/>
    <x v="0"/>
    <s v="No"/>
    <n v="135000"/>
    <x v="16"/>
    <x v="5"/>
    <x v="5"/>
    <x v="104"/>
    <x v="0"/>
    <x v="6"/>
    <x v="1"/>
    <n v="0"/>
  </r>
  <r>
    <x v="125"/>
    <d v="2025-06-12T00:00:00"/>
    <s v="CUST0179"/>
    <s v="P020"/>
    <n v="2"/>
    <n v="75000"/>
    <n v="150000"/>
    <s v="DISC10"/>
    <n v="15000"/>
    <n v="30000"/>
    <n v="165000"/>
    <s v="Credit Card"/>
    <s v="SiCepat"/>
    <x v="4"/>
    <x v="0"/>
    <s v="No"/>
    <n v="135000"/>
    <x v="6"/>
    <x v="1"/>
    <x v="1"/>
    <x v="105"/>
    <x v="1"/>
    <x v="3"/>
    <x v="1"/>
    <n v="0"/>
  </r>
  <r>
    <x v="126"/>
    <d v="2025-06-12T00:00:00"/>
    <s v="CUST0197"/>
    <s v="P027"/>
    <n v="2"/>
    <n v="200000"/>
    <n v="400000"/>
    <s v="NEWUSER"/>
    <n v="40000"/>
    <n v="20000"/>
    <n v="380000"/>
    <s v="Credit Card"/>
    <s v="JNE"/>
    <x v="2"/>
    <x v="0"/>
    <s v="No"/>
    <n v="360000"/>
    <x v="51"/>
    <x v="4"/>
    <x v="4"/>
    <x v="106"/>
    <x v="1"/>
    <x v="3"/>
    <x v="1"/>
    <n v="0"/>
  </r>
  <r>
    <x v="127"/>
    <d v="2025-06-12T00:00:00"/>
    <s v="CUST0173"/>
    <s v="P054"/>
    <n v="1"/>
    <n v="100000"/>
    <n v="100000"/>
    <s v="NONE"/>
    <n v="0"/>
    <n v="30000"/>
    <n v="130000"/>
    <s v="Credit Card"/>
    <s v="JNE"/>
    <x v="1"/>
    <x v="0"/>
    <s v="No"/>
    <n v="100000"/>
    <x v="5"/>
    <x v="0"/>
    <x v="0"/>
    <x v="38"/>
    <x v="0"/>
    <x v="1"/>
    <x v="0"/>
    <n v="0"/>
  </r>
  <r>
    <x v="128"/>
    <d v="2025-06-12T00:00:00"/>
    <s v="CUST0179"/>
    <s v="P004"/>
    <n v="4"/>
    <n v="300000"/>
    <n v="1200000"/>
    <s v="NONE"/>
    <n v="0"/>
    <n v="10000"/>
    <n v="1210000"/>
    <s v="Bank Transfer"/>
    <s v="JNE"/>
    <x v="0"/>
    <x v="0"/>
    <s v="Yes"/>
    <n v="1200000"/>
    <x v="22"/>
    <x v="3"/>
    <x v="3"/>
    <x v="105"/>
    <x v="1"/>
    <x v="3"/>
    <x v="1"/>
    <n v="1200000"/>
  </r>
  <r>
    <x v="129"/>
    <d v="2025-06-11T00:00:00"/>
    <s v="CUST0134"/>
    <s v="P007"/>
    <n v="2"/>
    <n v="150000"/>
    <n v="300000"/>
    <s v="NONE"/>
    <n v="0"/>
    <n v="25000"/>
    <n v="325000"/>
    <s v="Credit Card"/>
    <s v="SiCepat"/>
    <x v="0"/>
    <x v="0"/>
    <s v="Yes"/>
    <n v="300000"/>
    <x v="52"/>
    <x v="2"/>
    <x v="2"/>
    <x v="60"/>
    <x v="1"/>
    <x v="1"/>
    <x v="0"/>
    <n v="300000"/>
  </r>
  <r>
    <x v="130"/>
    <d v="2025-06-11T00:00:00"/>
    <s v="CUST0201"/>
    <s v="P042"/>
    <n v="2"/>
    <n v="300000"/>
    <n v="600000"/>
    <s v="NONE"/>
    <n v="0"/>
    <n v="20000"/>
    <n v="620000"/>
    <s v="Bank Transfer"/>
    <s v="SiCepat"/>
    <x v="0"/>
    <x v="0"/>
    <s v="Yes"/>
    <n v="600000"/>
    <x v="36"/>
    <x v="0"/>
    <x v="0"/>
    <x v="107"/>
    <x v="1"/>
    <x v="2"/>
    <x v="0"/>
    <n v="600000"/>
  </r>
  <r>
    <x v="131"/>
    <d v="2025-06-10T00:00:00"/>
    <s v="CUST0119"/>
    <s v="P021"/>
    <n v="1"/>
    <n v="200000"/>
    <n v="200000"/>
    <s v="DISC10"/>
    <n v="20000"/>
    <n v="20000"/>
    <n v="200000"/>
    <s v="E-Wallet"/>
    <s v="SiCepat"/>
    <x v="0"/>
    <x v="0"/>
    <s v="Yes"/>
    <n v="180000"/>
    <x v="32"/>
    <x v="4"/>
    <x v="4"/>
    <x v="16"/>
    <x v="1"/>
    <x v="3"/>
    <x v="1"/>
    <n v="180000"/>
  </r>
  <r>
    <x v="132"/>
    <d v="2025-06-10T00:00:00"/>
    <s v="CUST0169"/>
    <s v="P025"/>
    <n v="2"/>
    <n v="100000"/>
    <n v="200000"/>
    <s v="NONE"/>
    <n v="0"/>
    <n v="15000"/>
    <n v="215000"/>
    <s v="E-Wallet"/>
    <s v="JNE"/>
    <x v="2"/>
    <x v="0"/>
    <s v="No"/>
    <n v="200000"/>
    <x v="53"/>
    <x v="2"/>
    <x v="2"/>
    <x v="108"/>
    <x v="1"/>
    <x v="4"/>
    <x v="1"/>
    <n v="0"/>
  </r>
  <r>
    <x v="133"/>
    <d v="2025-06-10T00:00:00"/>
    <s v="CUST0216"/>
    <s v="P023"/>
    <n v="4"/>
    <n v="50000"/>
    <n v="200000"/>
    <s v="DISC10"/>
    <n v="20000"/>
    <n v="20000"/>
    <n v="200000"/>
    <s v="COD"/>
    <s v="SiCepat"/>
    <x v="0"/>
    <x v="0"/>
    <s v="Yes"/>
    <n v="180000"/>
    <x v="14"/>
    <x v="5"/>
    <x v="5"/>
    <x v="109"/>
    <x v="0"/>
    <x v="4"/>
    <x v="1"/>
    <n v="180000"/>
  </r>
  <r>
    <x v="134"/>
    <d v="2025-06-10T00:00:00"/>
    <s v="CUST0152"/>
    <s v="P036"/>
    <n v="1"/>
    <n v="150000"/>
    <n v="150000"/>
    <s v="DISC10"/>
    <n v="15000"/>
    <n v="30000"/>
    <n v="165000"/>
    <s v="E-Wallet"/>
    <s v="AnterAja"/>
    <x v="0"/>
    <x v="0"/>
    <s v="Yes"/>
    <n v="135000"/>
    <x v="2"/>
    <x v="0"/>
    <x v="0"/>
    <x v="72"/>
    <x v="1"/>
    <x v="3"/>
    <x v="1"/>
    <n v="135000"/>
  </r>
  <r>
    <x v="135"/>
    <d v="2025-06-10T00:00:00"/>
    <s v="CUST0176"/>
    <s v="P003"/>
    <n v="4"/>
    <n v="150000"/>
    <n v="600000"/>
    <s v="NEWUSER"/>
    <n v="60000"/>
    <n v="30000"/>
    <n v="570000"/>
    <s v="E-Wallet"/>
    <s v="JNE"/>
    <x v="0"/>
    <x v="0"/>
    <s v="Yes"/>
    <n v="540000"/>
    <x v="37"/>
    <x v="4"/>
    <x v="4"/>
    <x v="85"/>
    <x v="0"/>
    <x v="7"/>
    <x v="2"/>
    <n v="540000"/>
  </r>
  <r>
    <x v="136"/>
    <d v="2025-06-10T00:00:00"/>
    <s v="CUST0289"/>
    <s v="P008"/>
    <n v="2"/>
    <n v="150000"/>
    <n v="300000"/>
    <s v="NONE"/>
    <n v="0"/>
    <n v="15000"/>
    <n v="315000"/>
    <s v="E-Wallet"/>
    <s v="AnterAja"/>
    <x v="0"/>
    <x v="0"/>
    <s v="Yes"/>
    <n v="300000"/>
    <x v="18"/>
    <x v="1"/>
    <x v="1"/>
    <x v="102"/>
    <x v="0"/>
    <x v="2"/>
    <x v="0"/>
    <n v="300000"/>
  </r>
  <r>
    <x v="137"/>
    <d v="2025-06-10T00:00:00"/>
    <s v="CUST0154"/>
    <s v="P048"/>
    <n v="1"/>
    <n v="300000"/>
    <n v="300000"/>
    <s v="NONE"/>
    <n v="0"/>
    <n v="20000"/>
    <n v="320000"/>
    <s v="Credit Card"/>
    <s v="AnterAja"/>
    <x v="3"/>
    <x v="0"/>
    <s v="No"/>
    <n v="300000"/>
    <x v="21"/>
    <x v="0"/>
    <x v="0"/>
    <x v="110"/>
    <x v="1"/>
    <x v="3"/>
    <x v="1"/>
    <n v="0"/>
  </r>
  <r>
    <x v="138"/>
    <d v="2025-06-09T00:00:00"/>
    <s v="CUST0087"/>
    <s v="P037"/>
    <n v="2"/>
    <n v="100000"/>
    <n v="200000"/>
    <s v="NONE"/>
    <n v="0"/>
    <n v="20000"/>
    <n v="220000"/>
    <s v="Credit Card"/>
    <s v="JNE"/>
    <x v="0"/>
    <x v="0"/>
    <s v="Yes"/>
    <n v="200000"/>
    <x v="4"/>
    <x v="2"/>
    <x v="2"/>
    <x v="111"/>
    <x v="1"/>
    <x v="6"/>
    <x v="1"/>
    <n v="200000"/>
  </r>
  <r>
    <x v="139"/>
    <d v="2025-06-09T00:00:00"/>
    <s v="CUST0183"/>
    <s v="P015"/>
    <n v="1"/>
    <n v="500000"/>
    <n v="500000"/>
    <s v="NEWUSER"/>
    <n v="50000"/>
    <n v="15000"/>
    <n v="465000"/>
    <s v="COD"/>
    <s v="JNE"/>
    <x v="0"/>
    <x v="0"/>
    <s v="Yes"/>
    <n v="450000"/>
    <x v="19"/>
    <x v="4"/>
    <x v="4"/>
    <x v="112"/>
    <x v="0"/>
    <x v="1"/>
    <x v="1"/>
    <n v="450000"/>
  </r>
  <r>
    <x v="140"/>
    <d v="2025-06-09T00:00:00"/>
    <s v="CUST0052"/>
    <s v="P015"/>
    <n v="2"/>
    <n v="500000"/>
    <n v="1000000"/>
    <s v="FLASHSALE"/>
    <n v="200000"/>
    <n v="25000"/>
    <n v="825000"/>
    <s v="COD"/>
    <s v="JNE"/>
    <x v="0"/>
    <x v="0"/>
    <s v="Yes"/>
    <n v="800000"/>
    <x v="19"/>
    <x v="4"/>
    <x v="4"/>
    <x v="113"/>
    <x v="1"/>
    <x v="7"/>
    <x v="1"/>
    <n v="800000"/>
  </r>
  <r>
    <x v="141"/>
    <d v="2025-06-09T00:00:00"/>
    <s v="CUST0255"/>
    <s v="P015"/>
    <n v="2"/>
    <n v="500000"/>
    <n v="1000000"/>
    <s v="DISC15"/>
    <n v="150000"/>
    <n v="30000"/>
    <n v="880000"/>
    <s v="E-Wallet"/>
    <s v="SiCepat"/>
    <x v="2"/>
    <x v="0"/>
    <s v="No"/>
    <n v="850000"/>
    <x v="19"/>
    <x v="4"/>
    <x v="4"/>
    <x v="114"/>
    <x v="1"/>
    <x v="6"/>
    <x v="1"/>
    <n v="0"/>
  </r>
  <r>
    <x v="142"/>
    <d v="2025-06-09T00:00:00"/>
    <s v="CUST0026"/>
    <s v="P051"/>
    <n v="1"/>
    <n v="300000"/>
    <n v="300000"/>
    <s v="NONE"/>
    <n v="0"/>
    <n v="25000"/>
    <n v="325000"/>
    <s v="COD"/>
    <s v="J&amp;T"/>
    <x v="0"/>
    <x v="0"/>
    <s v="Yes"/>
    <n v="300000"/>
    <x v="48"/>
    <x v="4"/>
    <x v="4"/>
    <x v="115"/>
    <x v="1"/>
    <x v="0"/>
    <x v="1"/>
    <n v="300000"/>
  </r>
  <r>
    <x v="143"/>
    <d v="2025-06-09T00:00:00"/>
    <s v="CUST0266"/>
    <s v="P040"/>
    <n v="4"/>
    <n v="75000"/>
    <n v="300000"/>
    <s v="NONE"/>
    <n v="0"/>
    <n v="30000"/>
    <n v="330000"/>
    <s v="E-Wallet"/>
    <s v="JNE"/>
    <x v="2"/>
    <x v="0"/>
    <s v="No"/>
    <n v="300000"/>
    <x v="28"/>
    <x v="3"/>
    <x v="3"/>
    <x v="116"/>
    <x v="0"/>
    <x v="7"/>
    <x v="2"/>
    <n v="0"/>
  </r>
  <r>
    <x v="144"/>
    <d v="2025-06-08T00:00:00"/>
    <s v="CUST0071"/>
    <s v="P056"/>
    <n v="1"/>
    <n v="100000"/>
    <n v="100000"/>
    <s v="NONE"/>
    <n v="0"/>
    <n v="10000"/>
    <n v="110000"/>
    <s v="E-Wallet"/>
    <s v="AnterAja"/>
    <x v="0"/>
    <x v="0"/>
    <s v="Yes"/>
    <n v="100000"/>
    <x v="54"/>
    <x v="1"/>
    <x v="1"/>
    <x v="117"/>
    <x v="0"/>
    <x v="2"/>
    <x v="1"/>
    <n v="100000"/>
  </r>
  <r>
    <x v="145"/>
    <d v="2025-06-08T00:00:00"/>
    <s v="CUST0201"/>
    <s v="P039"/>
    <n v="2"/>
    <n v="35000"/>
    <n v="70000"/>
    <s v="FLASHSALE"/>
    <n v="14000"/>
    <n v="15000"/>
    <n v="71000"/>
    <s v="Bank Transfer"/>
    <s v="AnterAja"/>
    <x v="1"/>
    <x v="0"/>
    <s v="No"/>
    <n v="56000"/>
    <x v="11"/>
    <x v="4"/>
    <x v="4"/>
    <x v="107"/>
    <x v="1"/>
    <x v="2"/>
    <x v="0"/>
    <n v="0"/>
  </r>
  <r>
    <x v="146"/>
    <d v="2025-06-08T00:00:00"/>
    <s v="CUST0069"/>
    <s v="P024"/>
    <n v="3"/>
    <n v="500000"/>
    <n v="1500000"/>
    <s v="DISC10"/>
    <n v="150000"/>
    <n v="15000"/>
    <n v="1365000"/>
    <s v="E-Wallet"/>
    <s v="AnterAja"/>
    <x v="1"/>
    <x v="0"/>
    <s v="No"/>
    <n v="1350000"/>
    <x v="43"/>
    <x v="0"/>
    <x v="0"/>
    <x v="118"/>
    <x v="0"/>
    <x v="2"/>
    <x v="2"/>
    <n v="0"/>
  </r>
  <r>
    <x v="147"/>
    <d v="2025-06-08T00:00:00"/>
    <s v="CUST0128"/>
    <s v="P013"/>
    <n v="4"/>
    <n v="75000"/>
    <n v="300000"/>
    <s v="DISC15"/>
    <n v="45000"/>
    <n v="25000"/>
    <n v="280000"/>
    <s v="COD"/>
    <s v="SiCepat"/>
    <x v="2"/>
    <x v="0"/>
    <s v="No"/>
    <n v="255000"/>
    <x v="50"/>
    <x v="2"/>
    <x v="2"/>
    <x v="90"/>
    <x v="1"/>
    <x v="3"/>
    <x v="1"/>
    <n v="0"/>
  </r>
  <r>
    <x v="148"/>
    <d v="2025-06-08T00:00:00"/>
    <s v="CUST0198"/>
    <s v="P003"/>
    <n v="4"/>
    <n v="150000"/>
    <n v="600000"/>
    <s v="NEWUSER"/>
    <n v="60000"/>
    <n v="10000"/>
    <n v="550000"/>
    <s v="E-Wallet"/>
    <s v="AnterAja"/>
    <x v="0"/>
    <x v="0"/>
    <s v="Yes"/>
    <n v="540000"/>
    <x v="37"/>
    <x v="4"/>
    <x v="4"/>
    <x v="119"/>
    <x v="0"/>
    <x v="8"/>
    <x v="0"/>
    <n v="540000"/>
  </r>
  <r>
    <x v="149"/>
    <d v="2025-06-08T00:00:00"/>
    <s v="CUST0203"/>
    <s v="P048"/>
    <n v="2"/>
    <n v="300000"/>
    <n v="600000"/>
    <s v="NONE"/>
    <n v="0"/>
    <n v="20000"/>
    <n v="620000"/>
    <s v="Credit Card"/>
    <s v="SiCepat"/>
    <x v="0"/>
    <x v="0"/>
    <s v="Yes"/>
    <n v="600000"/>
    <x v="21"/>
    <x v="0"/>
    <x v="0"/>
    <x v="120"/>
    <x v="1"/>
    <x v="3"/>
    <x v="0"/>
    <n v="600000"/>
  </r>
  <r>
    <x v="150"/>
    <d v="2025-06-07T00:00:00"/>
    <s v="CUST0313"/>
    <s v="P022"/>
    <n v="1"/>
    <n v="150000"/>
    <n v="150000"/>
    <s v="DISC15"/>
    <n v="22500"/>
    <n v="25000"/>
    <n v="152500"/>
    <s v="Credit Card"/>
    <s v="JNE"/>
    <x v="0"/>
    <x v="0"/>
    <s v="Yes"/>
    <n v="127500"/>
    <x v="55"/>
    <x v="3"/>
    <x v="3"/>
    <x v="121"/>
    <x v="0"/>
    <x v="3"/>
    <x v="0"/>
    <n v="127500"/>
  </r>
  <r>
    <x v="151"/>
    <d v="2025-06-07T00:00:00"/>
    <s v="CUST0209"/>
    <s v="P043"/>
    <n v="1"/>
    <n v="50000"/>
    <n v="50000"/>
    <s v="NONE"/>
    <n v="0"/>
    <n v="25000"/>
    <n v="75000"/>
    <s v="Bank Transfer"/>
    <s v="SiCepat"/>
    <x v="4"/>
    <x v="0"/>
    <s v="No"/>
    <n v="50000"/>
    <x v="25"/>
    <x v="2"/>
    <x v="2"/>
    <x v="122"/>
    <x v="1"/>
    <x v="9"/>
    <x v="1"/>
    <n v="0"/>
  </r>
  <r>
    <x v="152"/>
    <d v="2025-06-07T00:00:00"/>
    <s v="CUST0195"/>
    <s v="P022"/>
    <n v="1"/>
    <n v="150000"/>
    <n v="150000"/>
    <s v="NONE"/>
    <n v="0"/>
    <n v="25000"/>
    <n v="175000"/>
    <s v="COD"/>
    <s v="SiCepat"/>
    <x v="0"/>
    <x v="0"/>
    <s v="Yes"/>
    <n v="150000"/>
    <x v="55"/>
    <x v="3"/>
    <x v="3"/>
    <x v="91"/>
    <x v="1"/>
    <x v="3"/>
    <x v="0"/>
    <n v="150000"/>
  </r>
  <r>
    <x v="153"/>
    <d v="2025-06-07T00:00:00"/>
    <s v="CUST0020"/>
    <s v="P037"/>
    <n v="1"/>
    <n v="100000"/>
    <n v="100000"/>
    <s v="NONE"/>
    <n v="0"/>
    <n v="20000"/>
    <n v="120000"/>
    <s v="Bank Transfer"/>
    <s v="J&amp;T"/>
    <x v="0"/>
    <x v="0"/>
    <s v="Yes"/>
    <n v="100000"/>
    <x v="4"/>
    <x v="2"/>
    <x v="2"/>
    <x v="123"/>
    <x v="0"/>
    <x v="3"/>
    <x v="1"/>
    <n v="100000"/>
  </r>
  <r>
    <x v="154"/>
    <d v="2025-06-07T00:00:00"/>
    <s v="CUST0037"/>
    <s v="P055"/>
    <n v="1"/>
    <n v="300000"/>
    <n v="300000"/>
    <s v="DISC15"/>
    <n v="45000"/>
    <n v="25000"/>
    <n v="280000"/>
    <s v="Bank Transfer"/>
    <s v="AnterAja"/>
    <x v="0"/>
    <x v="0"/>
    <s v="Yes"/>
    <n v="255000"/>
    <x v="9"/>
    <x v="2"/>
    <x v="2"/>
    <x v="124"/>
    <x v="0"/>
    <x v="3"/>
    <x v="2"/>
    <n v="255000"/>
  </r>
  <r>
    <x v="155"/>
    <d v="2025-06-07T00:00:00"/>
    <s v="CUST0227"/>
    <s v="P041"/>
    <n v="3"/>
    <n v="75000"/>
    <n v="225000"/>
    <s v="DISC10"/>
    <n v="22500"/>
    <n v="10000"/>
    <n v="212500"/>
    <s v="Credit Card"/>
    <s v="SiCepat"/>
    <x v="0"/>
    <x v="0"/>
    <s v="Yes"/>
    <n v="202500"/>
    <x v="15"/>
    <x v="5"/>
    <x v="5"/>
    <x v="125"/>
    <x v="1"/>
    <x v="2"/>
    <x v="1"/>
    <n v="202500"/>
  </r>
  <r>
    <x v="156"/>
    <d v="2025-06-06T00:00:00"/>
    <s v="CUST0075"/>
    <s v="P052"/>
    <n v="1"/>
    <n v="200000"/>
    <n v="200000"/>
    <s v="NONE"/>
    <n v="0"/>
    <n v="10000"/>
    <n v="210000"/>
    <s v="Bank Transfer"/>
    <s v="SiCepat"/>
    <x v="2"/>
    <x v="0"/>
    <s v="No"/>
    <n v="200000"/>
    <x v="56"/>
    <x v="3"/>
    <x v="3"/>
    <x v="126"/>
    <x v="1"/>
    <x v="6"/>
    <x v="0"/>
    <n v="0"/>
  </r>
  <r>
    <x v="157"/>
    <d v="2025-06-06T00:00:00"/>
    <s v="CUST0239"/>
    <s v="P028"/>
    <n v="1"/>
    <n v="50000"/>
    <n v="50000"/>
    <s v="DISC15"/>
    <n v="7500"/>
    <n v="10000"/>
    <n v="52500"/>
    <s v="Bank Transfer"/>
    <s v="J&amp;T"/>
    <x v="0"/>
    <x v="0"/>
    <s v="Yes"/>
    <n v="42500"/>
    <x v="31"/>
    <x v="3"/>
    <x v="3"/>
    <x v="127"/>
    <x v="1"/>
    <x v="4"/>
    <x v="0"/>
    <n v="42500"/>
  </r>
  <r>
    <x v="158"/>
    <d v="2025-06-06T00:00:00"/>
    <s v="CUST0157"/>
    <s v="P034"/>
    <n v="1"/>
    <n v="50000"/>
    <n v="50000"/>
    <s v="DISC15"/>
    <n v="7500"/>
    <n v="25000"/>
    <n v="67500"/>
    <s v="Credit Card"/>
    <s v="SiCepat"/>
    <x v="0"/>
    <x v="0"/>
    <s v="Yes"/>
    <n v="42500"/>
    <x v="42"/>
    <x v="3"/>
    <x v="3"/>
    <x v="128"/>
    <x v="0"/>
    <x v="6"/>
    <x v="1"/>
    <n v="42500"/>
  </r>
  <r>
    <x v="159"/>
    <d v="2025-06-06T00:00:00"/>
    <s v="CUST0054"/>
    <s v="P026"/>
    <n v="1"/>
    <n v="200000"/>
    <n v="200000"/>
    <s v="NONE"/>
    <n v="0"/>
    <n v="10000"/>
    <n v="210000"/>
    <s v="E-Wallet"/>
    <s v="SiCepat"/>
    <x v="4"/>
    <x v="0"/>
    <s v="No"/>
    <n v="200000"/>
    <x v="3"/>
    <x v="1"/>
    <x v="1"/>
    <x v="129"/>
    <x v="0"/>
    <x v="4"/>
    <x v="1"/>
    <n v="0"/>
  </r>
  <r>
    <x v="160"/>
    <d v="2025-06-06T00:00:00"/>
    <s v="CUST0016"/>
    <s v="P035"/>
    <n v="4"/>
    <n v="200000"/>
    <n v="800000"/>
    <s v="NONE"/>
    <n v="0"/>
    <n v="15000"/>
    <n v="815000"/>
    <s v="E-Wallet"/>
    <s v="JNE"/>
    <x v="1"/>
    <x v="0"/>
    <s v="No"/>
    <n v="800000"/>
    <x v="41"/>
    <x v="5"/>
    <x v="5"/>
    <x v="130"/>
    <x v="0"/>
    <x v="7"/>
    <x v="1"/>
    <n v="0"/>
  </r>
  <r>
    <x v="161"/>
    <d v="2025-06-06T00:00:00"/>
    <s v="CUST0152"/>
    <s v="P010"/>
    <n v="2"/>
    <n v="50000"/>
    <n v="100000"/>
    <s v="FLASHSALE"/>
    <n v="20000"/>
    <n v="15000"/>
    <n v="95000"/>
    <s v="Credit Card"/>
    <s v="AnterAja"/>
    <x v="1"/>
    <x v="0"/>
    <s v="No"/>
    <n v="80000"/>
    <x v="13"/>
    <x v="3"/>
    <x v="3"/>
    <x v="72"/>
    <x v="1"/>
    <x v="3"/>
    <x v="1"/>
    <n v="0"/>
  </r>
  <r>
    <x v="162"/>
    <d v="2025-06-06T00:00:00"/>
    <s v="CUST0335"/>
    <s v="P029"/>
    <n v="2"/>
    <n v="500000"/>
    <n v="1000000"/>
    <s v="NEWUSER"/>
    <n v="100000"/>
    <n v="20000"/>
    <n v="920000"/>
    <s v="Bank Transfer"/>
    <s v="AnterAja"/>
    <x v="0"/>
    <x v="0"/>
    <s v="Yes"/>
    <n v="900000"/>
    <x v="35"/>
    <x v="5"/>
    <x v="5"/>
    <x v="68"/>
    <x v="1"/>
    <x v="1"/>
    <x v="0"/>
    <n v="900000"/>
  </r>
  <r>
    <x v="163"/>
    <d v="2025-06-05T00:00:00"/>
    <s v="CUST0007"/>
    <s v="P004"/>
    <n v="2"/>
    <n v="300000"/>
    <n v="600000"/>
    <s v="NONE"/>
    <n v="0"/>
    <n v="15000"/>
    <n v="615000"/>
    <s v="E-Wallet"/>
    <s v="AnterAja"/>
    <x v="4"/>
    <x v="0"/>
    <s v="No"/>
    <n v="600000"/>
    <x v="22"/>
    <x v="3"/>
    <x v="3"/>
    <x v="131"/>
    <x v="0"/>
    <x v="5"/>
    <x v="1"/>
    <n v="0"/>
  </r>
  <r>
    <x v="164"/>
    <d v="2025-06-05T00:00:00"/>
    <s v="CUST0117"/>
    <s v="P029"/>
    <n v="1"/>
    <n v="500000"/>
    <n v="500000"/>
    <s v="DISC10"/>
    <n v="50000"/>
    <n v="25000"/>
    <n v="475000"/>
    <s v="Bank Transfer"/>
    <s v="AnterAja"/>
    <x v="0"/>
    <x v="0"/>
    <s v="Yes"/>
    <n v="450000"/>
    <x v="35"/>
    <x v="5"/>
    <x v="5"/>
    <x v="132"/>
    <x v="1"/>
    <x v="0"/>
    <x v="1"/>
    <n v="450000"/>
  </r>
  <r>
    <x v="165"/>
    <d v="2025-06-05T00:00:00"/>
    <s v="CUST0248"/>
    <s v="P026"/>
    <n v="3"/>
    <n v="200000"/>
    <n v="600000"/>
    <s v="NONE"/>
    <n v="0"/>
    <n v="15000"/>
    <n v="615000"/>
    <s v="E-Wallet"/>
    <s v="J&amp;T"/>
    <x v="2"/>
    <x v="0"/>
    <s v="No"/>
    <n v="600000"/>
    <x v="3"/>
    <x v="1"/>
    <x v="1"/>
    <x v="133"/>
    <x v="0"/>
    <x v="8"/>
    <x v="1"/>
    <n v="0"/>
  </r>
  <r>
    <x v="166"/>
    <d v="2025-06-05T00:00:00"/>
    <s v="CUST0255"/>
    <s v="P043"/>
    <n v="2"/>
    <n v="50000"/>
    <n v="100000"/>
    <s v="DISC10"/>
    <n v="10000"/>
    <n v="20000"/>
    <n v="110000"/>
    <s v="E-Wallet"/>
    <s v="J&amp;T"/>
    <x v="0"/>
    <x v="0"/>
    <s v="Yes"/>
    <n v="90000"/>
    <x v="25"/>
    <x v="2"/>
    <x v="2"/>
    <x v="114"/>
    <x v="1"/>
    <x v="6"/>
    <x v="1"/>
    <n v="90000"/>
  </r>
  <r>
    <x v="167"/>
    <d v="2025-06-05T00:00:00"/>
    <s v="CUST0131"/>
    <s v="P045"/>
    <n v="3"/>
    <n v="100000"/>
    <n v="300000"/>
    <s v="DISC10"/>
    <n v="30000"/>
    <n v="10000"/>
    <n v="280000"/>
    <s v="E-Wallet"/>
    <s v="JNE"/>
    <x v="1"/>
    <x v="0"/>
    <s v="No"/>
    <n v="270000"/>
    <x v="10"/>
    <x v="4"/>
    <x v="4"/>
    <x v="134"/>
    <x v="1"/>
    <x v="2"/>
    <x v="1"/>
    <n v="0"/>
  </r>
  <r>
    <x v="168"/>
    <d v="2025-06-05T00:00:00"/>
    <s v="CUST0161"/>
    <s v="P043"/>
    <n v="4"/>
    <n v="50000"/>
    <n v="200000"/>
    <s v="DISC10"/>
    <n v="20000"/>
    <n v="30000"/>
    <n v="210000"/>
    <s v="Credit Card"/>
    <s v="JNE"/>
    <x v="0"/>
    <x v="0"/>
    <s v="Yes"/>
    <n v="180000"/>
    <x v="25"/>
    <x v="2"/>
    <x v="2"/>
    <x v="99"/>
    <x v="1"/>
    <x v="1"/>
    <x v="0"/>
    <n v="180000"/>
  </r>
  <r>
    <x v="169"/>
    <d v="2025-06-05T00:00:00"/>
    <s v="CUST0105"/>
    <s v="P001"/>
    <n v="1"/>
    <n v="300000"/>
    <n v="300000"/>
    <s v="FLASHSALE"/>
    <n v="60000"/>
    <n v="20000"/>
    <n v="260000"/>
    <s v="E-Wallet"/>
    <s v="J&amp;T"/>
    <x v="0"/>
    <x v="0"/>
    <s v="Yes"/>
    <n v="240000"/>
    <x v="26"/>
    <x v="2"/>
    <x v="2"/>
    <x v="135"/>
    <x v="0"/>
    <x v="8"/>
    <x v="1"/>
    <n v="240000"/>
  </r>
  <r>
    <x v="170"/>
    <d v="2025-06-05T00:00:00"/>
    <s v="CUST0223"/>
    <s v="P021"/>
    <n v="3"/>
    <n v="200000"/>
    <n v="600000"/>
    <s v="DISC10"/>
    <n v="60000"/>
    <n v="25000"/>
    <n v="565000"/>
    <s v="E-Wallet"/>
    <s v="SiCepat"/>
    <x v="1"/>
    <x v="0"/>
    <s v="No"/>
    <n v="540000"/>
    <x v="32"/>
    <x v="4"/>
    <x v="4"/>
    <x v="136"/>
    <x v="0"/>
    <x v="6"/>
    <x v="1"/>
    <n v="0"/>
  </r>
  <r>
    <x v="171"/>
    <d v="2025-06-05T00:00:00"/>
    <s v="CUST0259"/>
    <s v="P038"/>
    <n v="2"/>
    <n v="35000"/>
    <n v="70000"/>
    <s v="DISC10"/>
    <n v="7000"/>
    <n v="30000"/>
    <n v="93000"/>
    <s v="Credit Card"/>
    <s v="JNE"/>
    <x v="0"/>
    <x v="0"/>
    <s v="Yes"/>
    <n v="63000"/>
    <x v="46"/>
    <x v="1"/>
    <x v="1"/>
    <x v="137"/>
    <x v="1"/>
    <x v="7"/>
    <x v="1"/>
    <n v="63000"/>
  </r>
  <r>
    <x v="172"/>
    <d v="2025-06-04T00:00:00"/>
    <s v="CUST0034"/>
    <s v="P051"/>
    <n v="1"/>
    <n v="300000"/>
    <n v="300000"/>
    <s v="DISC10"/>
    <n v="30000"/>
    <n v="25000"/>
    <n v="295000"/>
    <s v="Credit Card"/>
    <s v="JNE"/>
    <x v="0"/>
    <x v="0"/>
    <s v="Yes"/>
    <n v="270000"/>
    <x v="48"/>
    <x v="4"/>
    <x v="4"/>
    <x v="138"/>
    <x v="0"/>
    <x v="8"/>
    <x v="1"/>
    <n v="270000"/>
  </r>
  <r>
    <x v="173"/>
    <d v="2025-06-04T00:00:00"/>
    <s v="CUST0066"/>
    <s v="P041"/>
    <n v="2"/>
    <n v="75000"/>
    <n v="150000"/>
    <s v="DISC15"/>
    <n v="22500"/>
    <n v="25000"/>
    <n v="152500"/>
    <s v="E-Wallet"/>
    <s v="UNKNOWN"/>
    <x v="0"/>
    <x v="0"/>
    <s v="Yes"/>
    <n v="127500"/>
    <x v="15"/>
    <x v="5"/>
    <x v="5"/>
    <x v="139"/>
    <x v="0"/>
    <x v="0"/>
    <x v="2"/>
    <n v="127500"/>
  </r>
  <r>
    <x v="174"/>
    <d v="2025-06-03T00:00:00"/>
    <s v="CUST0347"/>
    <s v="P037"/>
    <n v="2"/>
    <n v="100000"/>
    <n v="200000"/>
    <s v="DISC15"/>
    <n v="30000"/>
    <n v="10000"/>
    <n v="180000"/>
    <s v="COD"/>
    <s v="AnterAja"/>
    <x v="0"/>
    <x v="0"/>
    <s v="Yes"/>
    <n v="170000"/>
    <x v="4"/>
    <x v="2"/>
    <x v="2"/>
    <x v="48"/>
    <x v="0"/>
    <x v="0"/>
    <x v="1"/>
    <n v="170000"/>
  </r>
  <r>
    <x v="175"/>
    <d v="2025-06-03T00:00:00"/>
    <s v="CUST0035"/>
    <s v="P015"/>
    <n v="1"/>
    <n v="500000"/>
    <n v="500000"/>
    <s v="DISC10"/>
    <n v="50000"/>
    <n v="20000"/>
    <n v="470000"/>
    <s v="Bank Transfer"/>
    <s v="JNE"/>
    <x v="0"/>
    <x v="0"/>
    <s v="Yes"/>
    <n v="450000"/>
    <x v="19"/>
    <x v="4"/>
    <x v="4"/>
    <x v="140"/>
    <x v="0"/>
    <x v="8"/>
    <x v="0"/>
    <n v="450000"/>
  </r>
  <r>
    <x v="176"/>
    <d v="2025-06-03T00:00:00"/>
    <s v="CUST0294"/>
    <s v="P054"/>
    <n v="2"/>
    <n v="100000"/>
    <n v="200000"/>
    <s v="NONE"/>
    <n v="0"/>
    <n v="10000"/>
    <n v="210000"/>
    <s v="E-Wallet"/>
    <s v="SiCepat"/>
    <x v="0"/>
    <x v="0"/>
    <s v="Yes"/>
    <n v="200000"/>
    <x v="5"/>
    <x v="0"/>
    <x v="0"/>
    <x v="22"/>
    <x v="0"/>
    <x v="1"/>
    <x v="0"/>
    <n v="200000"/>
  </r>
  <r>
    <x v="177"/>
    <d v="2025-06-03T00:00:00"/>
    <s v="CUST0228"/>
    <s v="P008"/>
    <n v="1"/>
    <n v="150000"/>
    <n v="150000"/>
    <s v="DISC10"/>
    <n v="15000"/>
    <n v="25000"/>
    <n v="160000"/>
    <s v="E-Wallet"/>
    <s v="JNE"/>
    <x v="0"/>
    <x v="0"/>
    <s v="Yes"/>
    <n v="135000"/>
    <x v="18"/>
    <x v="1"/>
    <x v="1"/>
    <x v="26"/>
    <x v="1"/>
    <x v="1"/>
    <x v="1"/>
    <n v="135000"/>
  </r>
  <r>
    <x v="178"/>
    <d v="2025-06-02T00:00:00"/>
    <s v="CUST0248"/>
    <s v="P003"/>
    <n v="2"/>
    <n v="150000"/>
    <n v="300000"/>
    <s v="NONE"/>
    <n v="0"/>
    <n v="10000"/>
    <n v="310000"/>
    <s v="E-Wallet"/>
    <s v="J&amp;T"/>
    <x v="0"/>
    <x v="0"/>
    <s v="Yes"/>
    <n v="300000"/>
    <x v="37"/>
    <x v="4"/>
    <x v="4"/>
    <x v="133"/>
    <x v="0"/>
    <x v="8"/>
    <x v="1"/>
    <n v="300000"/>
  </r>
  <r>
    <x v="179"/>
    <d v="2025-06-02T00:00:00"/>
    <s v="CUST0276"/>
    <s v="P048"/>
    <n v="1"/>
    <n v="300000"/>
    <n v="300000"/>
    <s v="NONE"/>
    <n v="0"/>
    <n v="30000"/>
    <n v="330000"/>
    <s v="E-Wallet"/>
    <s v="J&amp;T"/>
    <x v="1"/>
    <x v="0"/>
    <s v="No"/>
    <n v="300000"/>
    <x v="21"/>
    <x v="0"/>
    <x v="0"/>
    <x v="141"/>
    <x v="0"/>
    <x v="4"/>
    <x v="1"/>
    <n v="0"/>
  </r>
  <r>
    <x v="180"/>
    <d v="2025-06-02T00:00:00"/>
    <s v="CUST0006"/>
    <s v="P024"/>
    <n v="1"/>
    <n v="500000"/>
    <n v="500000"/>
    <s v="NONE"/>
    <n v="0"/>
    <n v="20000"/>
    <n v="520000"/>
    <s v="Credit Card"/>
    <s v="JNE"/>
    <x v="4"/>
    <x v="0"/>
    <s v="No"/>
    <n v="500000"/>
    <x v="43"/>
    <x v="0"/>
    <x v="0"/>
    <x v="142"/>
    <x v="0"/>
    <x v="5"/>
    <x v="0"/>
    <n v="0"/>
  </r>
  <r>
    <x v="181"/>
    <d v="2025-06-02T00:00:00"/>
    <s v="CUST0300"/>
    <s v="P012"/>
    <n v="1"/>
    <n v="300000"/>
    <n v="300000"/>
    <s v="DISC10"/>
    <n v="30000"/>
    <n v="30000"/>
    <n v="300000"/>
    <s v="COD"/>
    <s v="AnterAja"/>
    <x v="1"/>
    <x v="0"/>
    <s v="No"/>
    <n v="270000"/>
    <x v="40"/>
    <x v="0"/>
    <x v="0"/>
    <x v="143"/>
    <x v="1"/>
    <x v="0"/>
    <x v="2"/>
    <n v="0"/>
  </r>
  <r>
    <x v="182"/>
    <d v="2025-06-02T00:00:00"/>
    <s v="CUST0158"/>
    <s v="P018"/>
    <n v="1"/>
    <n v="500000"/>
    <n v="500000"/>
    <s v="DISC10"/>
    <n v="50000"/>
    <n v="25000"/>
    <n v="475000"/>
    <s v="COD"/>
    <s v="AnterAja"/>
    <x v="0"/>
    <x v="0"/>
    <s v="Yes"/>
    <n v="450000"/>
    <x v="1"/>
    <x v="0"/>
    <x v="0"/>
    <x v="144"/>
    <x v="1"/>
    <x v="1"/>
    <x v="1"/>
    <n v="450000"/>
  </r>
  <r>
    <x v="183"/>
    <d v="2025-06-01T00:00:00"/>
    <s v="CUST0017"/>
    <s v="P005"/>
    <n v="2"/>
    <n v="75000"/>
    <n v="150000"/>
    <s v="FLASHSALE"/>
    <n v="30000"/>
    <n v="25000"/>
    <n v="145000"/>
    <s v="E-Wallet"/>
    <s v="J&amp;T"/>
    <x v="2"/>
    <x v="0"/>
    <s v="No"/>
    <n v="120000"/>
    <x v="12"/>
    <x v="5"/>
    <x v="5"/>
    <x v="145"/>
    <x v="0"/>
    <x v="9"/>
    <x v="1"/>
    <n v="0"/>
  </r>
  <r>
    <x v="184"/>
    <d v="2025-06-01T00:00:00"/>
    <s v="CUST0335"/>
    <s v="P022"/>
    <n v="3"/>
    <n v="150000"/>
    <n v="450000"/>
    <s v="DISC15"/>
    <n v="67500"/>
    <n v="25000"/>
    <n v="407500"/>
    <s v="Bank Transfer"/>
    <s v="SiCepat"/>
    <x v="0"/>
    <x v="0"/>
    <s v="Yes"/>
    <n v="382500"/>
    <x v="55"/>
    <x v="3"/>
    <x v="3"/>
    <x v="68"/>
    <x v="1"/>
    <x v="1"/>
    <x v="0"/>
    <n v="382500"/>
  </r>
  <r>
    <x v="185"/>
    <d v="2025-06-01T00:00:00"/>
    <s v="CUST0292"/>
    <s v="P050"/>
    <n v="2"/>
    <n v="200000"/>
    <n v="400000"/>
    <s v="NONE"/>
    <n v="0"/>
    <n v="25000"/>
    <n v="425000"/>
    <s v="E-Wallet"/>
    <s v="J&amp;T"/>
    <x v="0"/>
    <x v="0"/>
    <s v="Yes"/>
    <n v="400000"/>
    <x v="34"/>
    <x v="1"/>
    <x v="1"/>
    <x v="33"/>
    <x v="1"/>
    <x v="2"/>
    <x v="0"/>
    <n v="400000"/>
  </r>
  <r>
    <x v="186"/>
    <d v="2025-06-01T00:00:00"/>
    <s v="CUST0218"/>
    <s v="P030"/>
    <n v="1"/>
    <n v="100000"/>
    <n v="100000"/>
    <s v="NONE"/>
    <n v="0"/>
    <n v="15000"/>
    <n v="115000"/>
    <s v="E-Wallet"/>
    <s v="J&amp;T"/>
    <x v="0"/>
    <x v="0"/>
    <s v="Yes"/>
    <n v="100000"/>
    <x v="33"/>
    <x v="0"/>
    <x v="0"/>
    <x v="146"/>
    <x v="0"/>
    <x v="2"/>
    <x v="1"/>
    <n v="100000"/>
  </r>
  <r>
    <x v="187"/>
    <d v="2025-05-31T00:00:00"/>
    <s v="CUST0107"/>
    <s v="P055"/>
    <n v="4"/>
    <n v="300000"/>
    <n v="1200000"/>
    <s v="FLASHSALE"/>
    <n v="240000"/>
    <n v="25000"/>
    <n v="985000"/>
    <s v="COD"/>
    <s v="AnterAja"/>
    <x v="0"/>
    <x v="1"/>
    <s v="Yes"/>
    <n v="960000"/>
    <x v="9"/>
    <x v="2"/>
    <x v="2"/>
    <x v="8"/>
    <x v="0"/>
    <x v="2"/>
    <x v="1"/>
    <n v="960000"/>
  </r>
  <r>
    <x v="188"/>
    <d v="2025-05-31T00:00:00"/>
    <s v="CUST0111"/>
    <s v="P032"/>
    <n v="2"/>
    <n v="35000"/>
    <n v="70000"/>
    <s v="NONE"/>
    <n v="0"/>
    <n v="20000"/>
    <n v="90000"/>
    <s v="Bank Transfer"/>
    <s v="JNE"/>
    <x v="0"/>
    <x v="1"/>
    <s v="Yes"/>
    <n v="70000"/>
    <x v="29"/>
    <x v="1"/>
    <x v="1"/>
    <x v="147"/>
    <x v="0"/>
    <x v="8"/>
    <x v="0"/>
    <n v="70000"/>
  </r>
  <r>
    <x v="189"/>
    <d v="2025-05-31T00:00:00"/>
    <s v="CUST0299"/>
    <s v="P013"/>
    <n v="2"/>
    <n v="75000"/>
    <n v="150000"/>
    <s v="NONE"/>
    <n v="0"/>
    <n v="25000"/>
    <n v="175000"/>
    <s v="Credit Card"/>
    <s v="AnterAja"/>
    <x v="2"/>
    <x v="1"/>
    <s v="No"/>
    <n v="150000"/>
    <x v="50"/>
    <x v="2"/>
    <x v="2"/>
    <x v="148"/>
    <x v="1"/>
    <x v="8"/>
    <x v="1"/>
    <n v="0"/>
  </r>
  <r>
    <x v="190"/>
    <d v="2025-05-31T00:00:00"/>
    <s v="CUST0157"/>
    <s v="P014"/>
    <n v="1"/>
    <n v="75000"/>
    <n v="75000"/>
    <s v="NONE"/>
    <n v="0"/>
    <n v="25000"/>
    <n v="100000"/>
    <s v="Credit Card"/>
    <s v="JNE"/>
    <x v="2"/>
    <x v="1"/>
    <s v="No"/>
    <n v="75000"/>
    <x v="30"/>
    <x v="1"/>
    <x v="1"/>
    <x v="128"/>
    <x v="0"/>
    <x v="6"/>
    <x v="1"/>
    <n v="0"/>
  </r>
  <r>
    <x v="191"/>
    <d v="2025-05-31T00:00:00"/>
    <s v="CUST0123"/>
    <s v="P016"/>
    <n v="3"/>
    <n v="150000"/>
    <n v="450000"/>
    <s v="NEWUSER"/>
    <n v="45000"/>
    <n v="15000"/>
    <n v="420000"/>
    <s v="E-Wallet"/>
    <s v="AnterAja"/>
    <x v="2"/>
    <x v="1"/>
    <s v="No"/>
    <n v="405000"/>
    <x v="8"/>
    <x v="3"/>
    <x v="3"/>
    <x v="149"/>
    <x v="0"/>
    <x v="5"/>
    <x v="1"/>
    <n v="0"/>
  </r>
  <r>
    <x v="192"/>
    <d v="2025-05-31T00:00:00"/>
    <s v="CUST0141"/>
    <s v="P005"/>
    <n v="2"/>
    <n v="75000"/>
    <n v="150000"/>
    <s v="FLASHSALE"/>
    <n v="30000"/>
    <n v="30000"/>
    <n v="150000"/>
    <s v="E-Wallet"/>
    <s v="JNE"/>
    <x v="0"/>
    <x v="1"/>
    <s v="Yes"/>
    <n v="120000"/>
    <x v="12"/>
    <x v="5"/>
    <x v="5"/>
    <x v="56"/>
    <x v="1"/>
    <x v="8"/>
    <x v="1"/>
    <n v="120000"/>
  </r>
  <r>
    <x v="193"/>
    <d v="2025-05-31T00:00:00"/>
    <s v="CUST0138"/>
    <s v="P051"/>
    <n v="1"/>
    <n v="300000"/>
    <n v="300000"/>
    <s v="NONE"/>
    <n v="0"/>
    <n v="20000"/>
    <n v="320000"/>
    <s v="E-Wallet"/>
    <s v="AnterAja"/>
    <x v="1"/>
    <x v="1"/>
    <s v="No"/>
    <n v="300000"/>
    <x v="48"/>
    <x v="4"/>
    <x v="4"/>
    <x v="65"/>
    <x v="0"/>
    <x v="8"/>
    <x v="1"/>
    <n v="0"/>
  </r>
  <r>
    <x v="194"/>
    <d v="2025-05-30T00:00:00"/>
    <s v="CUST0048"/>
    <s v="P021"/>
    <n v="1"/>
    <n v="200000"/>
    <n v="200000"/>
    <s v="DISC15"/>
    <n v="30000"/>
    <n v="25000"/>
    <n v="195000"/>
    <s v="Credit Card"/>
    <s v="J&amp;T"/>
    <x v="2"/>
    <x v="1"/>
    <s v="No"/>
    <n v="170000"/>
    <x v="32"/>
    <x v="4"/>
    <x v="4"/>
    <x v="36"/>
    <x v="0"/>
    <x v="8"/>
    <x v="0"/>
    <n v="0"/>
  </r>
  <r>
    <x v="195"/>
    <d v="2025-05-30T00:00:00"/>
    <s v="CUST0076"/>
    <s v="P045"/>
    <n v="1"/>
    <n v="100000"/>
    <n v="100000"/>
    <s v="DISC10"/>
    <n v="10000"/>
    <n v="10000"/>
    <n v="100000"/>
    <s v="COD"/>
    <s v="J&amp;T"/>
    <x v="0"/>
    <x v="1"/>
    <s v="Yes"/>
    <n v="90000"/>
    <x v="10"/>
    <x v="4"/>
    <x v="4"/>
    <x v="150"/>
    <x v="1"/>
    <x v="0"/>
    <x v="1"/>
    <n v="90000"/>
  </r>
  <r>
    <x v="196"/>
    <d v="2025-05-30T00:00:00"/>
    <s v="CUST0148"/>
    <s v="P008"/>
    <n v="2"/>
    <n v="150000"/>
    <n v="300000"/>
    <s v="DISC10"/>
    <n v="30000"/>
    <n v="20000"/>
    <n v="290000"/>
    <s v="Bank Transfer"/>
    <s v="AnterAja"/>
    <x v="0"/>
    <x v="1"/>
    <s v="Yes"/>
    <n v="270000"/>
    <x v="18"/>
    <x v="1"/>
    <x v="1"/>
    <x v="98"/>
    <x v="0"/>
    <x v="4"/>
    <x v="1"/>
    <n v="270000"/>
  </r>
  <r>
    <x v="197"/>
    <d v="2025-05-30T00:00:00"/>
    <s v="CUST0247"/>
    <s v="P011"/>
    <n v="2"/>
    <n v="75000"/>
    <n v="150000"/>
    <s v="NONE"/>
    <n v="0"/>
    <n v="10000"/>
    <n v="160000"/>
    <s v="Bank Transfer"/>
    <s v="AnterAja"/>
    <x v="3"/>
    <x v="1"/>
    <s v="No"/>
    <n v="150000"/>
    <x v="57"/>
    <x v="5"/>
    <x v="5"/>
    <x v="151"/>
    <x v="0"/>
    <x v="8"/>
    <x v="0"/>
    <n v="0"/>
  </r>
  <r>
    <x v="198"/>
    <d v="2025-05-30T00:00:00"/>
    <s v="CUST0046"/>
    <s v="P049"/>
    <n v="1"/>
    <n v="200000"/>
    <n v="200000"/>
    <s v="DISC15"/>
    <n v="30000"/>
    <n v="20000"/>
    <n v="190000"/>
    <s v="E-Wallet"/>
    <s v="JNE"/>
    <x v="2"/>
    <x v="1"/>
    <s v="No"/>
    <n v="170000"/>
    <x v="17"/>
    <x v="2"/>
    <x v="2"/>
    <x v="55"/>
    <x v="0"/>
    <x v="1"/>
    <x v="2"/>
    <n v="0"/>
  </r>
  <r>
    <x v="199"/>
    <d v="2025-05-30T00:00:00"/>
    <s v="CUST0320"/>
    <s v="P041"/>
    <n v="4"/>
    <n v="75000"/>
    <n v="300000"/>
    <s v="NONE"/>
    <n v="0"/>
    <n v="15000"/>
    <n v="315000"/>
    <s v="Bank Transfer"/>
    <s v="JNE"/>
    <x v="0"/>
    <x v="1"/>
    <s v="Yes"/>
    <n v="300000"/>
    <x v="15"/>
    <x v="5"/>
    <x v="5"/>
    <x v="57"/>
    <x v="1"/>
    <x v="6"/>
    <x v="0"/>
    <n v="300000"/>
  </r>
  <r>
    <x v="200"/>
    <d v="2025-05-30T00:00:00"/>
    <s v="CUST0058"/>
    <s v="P056"/>
    <n v="2"/>
    <n v="100000"/>
    <n v="200000"/>
    <s v="NONE"/>
    <n v="0"/>
    <n v="30000"/>
    <n v="230000"/>
    <s v="E-Wallet"/>
    <s v="JNE"/>
    <x v="0"/>
    <x v="1"/>
    <s v="Yes"/>
    <n v="200000"/>
    <x v="54"/>
    <x v="1"/>
    <x v="1"/>
    <x v="152"/>
    <x v="0"/>
    <x v="6"/>
    <x v="0"/>
    <n v="200000"/>
  </r>
  <r>
    <x v="201"/>
    <d v="2025-05-29T00:00:00"/>
    <s v="CUST0325"/>
    <s v="P048"/>
    <n v="2"/>
    <n v="300000"/>
    <n v="600000"/>
    <s v="NONE"/>
    <n v="0"/>
    <n v="30000"/>
    <n v="630000"/>
    <s v="E-Wallet"/>
    <s v="JNE"/>
    <x v="0"/>
    <x v="1"/>
    <s v="Yes"/>
    <n v="600000"/>
    <x v="21"/>
    <x v="0"/>
    <x v="0"/>
    <x v="153"/>
    <x v="1"/>
    <x v="8"/>
    <x v="2"/>
    <n v="600000"/>
  </r>
  <r>
    <x v="202"/>
    <d v="2025-05-29T00:00:00"/>
    <s v="CUST0126"/>
    <s v="P008"/>
    <n v="3"/>
    <n v="150000"/>
    <n v="450000"/>
    <s v="NONE"/>
    <n v="0"/>
    <n v="20000"/>
    <n v="470000"/>
    <s v="Credit Card"/>
    <s v="AnterAja"/>
    <x v="2"/>
    <x v="1"/>
    <s v="No"/>
    <n v="450000"/>
    <x v="18"/>
    <x v="1"/>
    <x v="1"/>
    <x v="154"/>
    <x v="1"/>
    <x v="8"/>
    <x v="0"/>
    <n v="0"/>
  </r>
  <r>
    <x v="203"/>
    <d v="2025-05-29T00:00:00"/>
    <s v="CUST0132"/>
    <s v="P023"/>
    <n v="1"/>
    <n v="50000"/>
    <n v="50000"/>
    <s v="DISC10"/>
    <n v="5000"/>
    <n v="10000"/>
    <n v="55000"/>
    <s v="E-Wallet"/>
    <s v="JNE"/>
    <x v="4"/>
    <x v="1"/>
    <s v="No"/>
    <n v="45000"/>
    <x v="14"/>
    <x v="5"/>
    <x v="5"/>
    <x v="155"/>
    <x v="1"/>
    <x v="1"/>
    <x v="1"/>
    <n v="0"/>
  </r>
  <r>
    <x v="204"/>
    <d v="2025-05-29T00:00:00"/>
    <s v="CUST0096"/>
    <s v="P035"/>
    <n v="4"/>
    <n v="200000"/>
    <n v="800000"/>
    <s v="DISC15"/>
    <n v="120000"/>
    <n v="10000"/>
    <n v="690000"/>
    <s v="Bank Transfer"/>
    <s v="J&amp;T"/>
    <x v="0"/>
    <x v="1"/>
    <s v="Yes"/>
    <n v="680000"/>
    <x v="41"/>
    <x v="5"/>
    <x v="5"/>
    <x v="156"/>
    <x v="0"/>
    <x v="4"/>
    <x v="2"/>
    <n v="680000"/>
  </r>
  <r>
    <x v="205"/>
    <d v="2025-05-29T00:00:00"/>
    <s v="CUST0304"/>
    <s v="P053"/>
    <n v="1"/>
    <n v="75000"/>
    <n v="75000"/>
    <s v="DISC10"/>
    <n v="7500"/>
    <n v="25000"/>
    <n v="92500"/>
    <s v="Bank Transfer"/>
    <s v="AnterAja"/>
    <x v="0"/>
    <x v="1"/>
    <s v="Yes"/>
    <n v="67500"/>
    <x v="27"/>
    <x v="5"/>
    <x v="5"/>
    <x v="157"/>
    <x v="0"/>
    <x v="6"/>
    <x v="2"/>
    <n v="67500"/>
  </r>
  <r>
    <x v="206"/>
    <d v="2025-05-29T00:00:00"/>
    <s v="CUST0115"/>
    <s v="P002"/>
    <n v="4"/>
    <n v="100000"/>
    <n v="400000"/>
    <s v="DISC10"/>
    <n v="40000"/>
    <n v="20000"/>
    <n v="380000"/>
    <s v="Credit Card"/>
    <s v="SiCepat"/>
    <x v="0"/>
    <x v="1"/>
    <s v="Yes"/>
    <n v="360000"/>
    <x v="38"/>
    <x v="1"/>
    <x v="1"/>
    <x v="158"/>
    <x v="0"/>
    <x v="4"/>
    <x v="1"/>
    <n v="360000"/>
  </r>
  <r>
    <x v="207"/>
    <d v="2025-05-29T00:00:00"/>
    <s v="CUST0104"/>
    <s v="P051"/>
    <n v="3"/>
    <n v="300000"/>
    <n v="900000"/>
    <s v="NONE"/>
    <n v="0"/>
    <n v="30000"/>
    <n v="930000"/>
    <s v="Bank Transfer"/>
    <s v="AnterAja"/>
    <x v="0"/>
    <x v="1"/>
    <s v="Yes"/>
    <n v="900000"/>
    <x v="48"/>
    <x v="4"/>
    <x v="4"/>
    <x v="62"/>
    <x v="0"/>
    <x v="0"/>
    <x v="1"/>
    <n v="900000"/>
  </r>
  <r>
    <x v="208"/>
    <d v="2025-05-29T00:00:00"/>
    <s v="CUST0328"/>
    <s v="P021"/>
    <n v="1"/>
    <n v="200000"/>
    <n v="200000"/>
    <s v="DISC15"/>
    <n v="30000"/>
    <n v="15000"/>
    <n v="185000"/>
    <s v="COD"/>
    <s v="AnterAja"/>
    <x v="0"/>
    <x v="1"/>
    <s v="Yes"/>
    <n v="170000"/>
    <x v="32"/>
    <x v="4"/>
    <x v="4"/>
    <x v="159"/>
    <x v="1"/>
    <x v="8"/>
    <x v="2"/>
    <n v="170000"/>
  </r>
  <r>
    <x v="209"/>
    <d v="2025-05-29T00:00:00"/>
    <s v="CUST0146"/>
    <s v="P033"/>
    <n v="1"/>
    <n v="100000"/>
    <n v="100000"/>
    <s v="DISC10"/>
    <n v="10000"/>
    <n v="20000"/>
    <n v="110000"/>
    <s v="E-Wallet"/>
    <s v="SiCepat"/>
    <x v="0"/>
    <x v="1"/>
    <s v="Yes"/>
    <n v="90000"/>
    <x v="58"/>
    <x v="4"/>
    <x v="4"/>
    <x v="160"/>
    <x v="1"/>
    <x v="1"/>
    <x v="2"/>
    <n v="90000"/>
  </r>
  <r>
    <x v="210"/>
    <d v="2025-05-29T00:00:00"/>
    <s v="CUST0278"/>
    <s v="P009"/>
    <n v="1"/>
    <n v="300000"/>
    <n v="300000"/>
    <s v="NONE"/>
    <n v="0"/>
    <n v="15000"/>
    <n v="315000"/>
    <s v="E-Wallet"/>
    <s v="JNE"/>
    <x v="0"/>
    <x v="1"/>
    <s v="Yes"/>
    <n v="300000"/>
    <x v="45"/>
    <x v="4"/>
    <x v="4"/>
    <x v="161"/>
    <x v="1"/>
    <x v="1"/>
    <x v="0"/>
    <n v="300000"/>
  </r>
  <r>
    <x v="211"/>
    <d v="2025-05-29T00:00:00"/>
    <s v="CUST0040"/>
    <s v="P039"/>
    <n v="4"/>
    <n v="35000"/>
    <n v="140000"/>
    <s v="NONE"/>
    <n v="0"/>
    <n v="15000"/>
    <n v="155000"/>
    <s v="Credit Card"/>
    <s v="J&amp;T"/>
    <x v="2"/>
    <x v="1"/>
    <s v="No"/>
    <n v="140000"/>
    <x v="11"/>
    <x v="4"/>
    <x v="4"/>
    <x v="162"/>
    <x v="1"/>
    <x v="8"/>
    <x v="1"/>
    <n v="0"/>
  </r>
  <r>
    <x v="212"/>
    <d v="2025-05-28T00:00:00"/>
    <s v="CUST0161"/>
    <s v="P010"/>
    <n v="1"/>
    <n v="50000"/>
    <n v="50000"/>
    <s v="NEWUSER"/>
    <n v="5000"/>
    <n v="10000"/>
    <n v="55000"/>
    <s v="E-Wallet"/>
    <s v="JNE"/>
    <x v="0"/>
    <x v="1"/>
    <s v="Yes"/>
    <n v="45000"/>
    <x v="13"/>
    <x v="3"/>
    <x v="3"/>
    <x v="99"/>
    <x v="1"/>
    <x v="1"/>
    <x v="0"/>
    <n v="45000"/>
  </r>
  <r>
    <x v="213"/>
    <d v="2025-05-28T00:00:00"/>
    <s v="CUST0029"/>
    <s v="P024"/>
    <n v="1"/>
    <n v="500000"/>
    <n v="500000"/>
    <s v="NONE"/>
    <n v="0"/>
    <n v="30000"/>
    <n v="530000"/>
    <s v="COD"/>
    <s v="AnterAja"/>
    <x v="4"/>
    <x v="1"/>
    <s v="No"/>
    <n v="500000"/>
    <x v="43"/>
    <x v="0"/>
    <x v="0"/>
    <x v="27"/>
    <x v="0"/>
    <x v="3"/>
    <x v="1"/>
    <n v="0"/>
  </r>
  <r>
    <x v="214"/>
    <d v="2025-05-28T00:00:00"/>
    <s v="CUST0090"/>
    <s v="P039"/>
    <n v="2"/>
    <n v="35000"/>
    <n v="70000"/>
    <s v="NONE"/>
    <n v="0"/>
    <n v="10000"/>
    <n v="80000"/>
    <s v="Bank Transfer"/>
    <s v="J&amp;T"/>
    <x v="0"/>
    <x v="1"/>
    <s v="Yes"/>
    <n v="70000"/>
    <x v="11"/>
    <x v="4"/>
    <x v="4"/>
    <x v="88"/>
    <x v="0"/>
    <x v="8"/>
    <x v="2"/>
    <n v="70000"/>
  </r>
  <r>
    <x v="215"/>
    <d v="2025-05-28T00:00:00"/>
    <s v="CUST0124"/>
    <s v="P001"/>
    <n v="4"/>
    <n v="300000"/>
    <n v="1200000"/>
    <s v="NEWUSER"/>
    <n v="120000"/>
    <n v="30000"/>
    <n v="1110000"/>
    <s v="Credit Card"/>
    <s v="AnterAja"/>
    <x v="0"/>
    <x v="1"/>
    <s v="Yes"/>
    <n v="1080000"/>
    <x v="26"/>
    <x v="2"/>
    <x v="2"/>
    <x v="67"/>
    <x v="1"/>
    <x v="2"/>
    <x v="0"/>
    <n v="1080000"/>
  </r>
  <r>
    <x v="216"/>
    <d v="2025-05-28T00:00:00"/>
    <s v="CUST0143"/>
    <s v="P048"/>
    <n v="4"/>
    <n v="300000"/>
    <n v="1200000"/>
    <s v="NONE"/>
    <n v="0"/>
    <n v="10000"/>
    <n v="1210000"/>
    <s v="COD"/>
    <s v="AnterAja"/>
    <x v="0"/>
    <x v="1"/>
    <s v="Yes"/>
    <n v="1200000"/>
    <x v="21"/>
    <x v="0"/>
    <x v="0"/>
    <x v="163"/>
    <x v="1"/>
    <x v="0"/>
    <x v="1"/>
    <n v="1200000"/>
  </r>
  <r>
    <x v="217"/>
    <d v="2025-05-28T00:00:00"/>
    <s v="CUST0280"/>
    <s v="P027"/>
    <n v="3"/>
    <n v="200000"/>
    <n v="600000"/>
    <s v="NONE"/>
    <n v="0"/>
    <n v="30000"/>
    <n v="630000"/>
    <s v="Bank Transfer"/>
    <s v="AnterAja"/>
    <x v="0"/>
    <x v="1"/>
    <s v="Yes"/>
    <n v="600000"/>
    <x v="51"/>
    <x v="4"/>
    <x v="4"/>
    <x v="164"/>
    <x v="0"/>
    <x v="4"/>
    <x v="0"/>
    <n v="600000"/>
  </r>
  <r>
    <x v="218"/>
    <d v="2025-05-28T00:00:00"/>
    <s v="CUST0103"/>
    <s v="P024"/>
    <n v="2"/>
    <n v="500000"/>
    <n v="1000000"/>
    <s v="NONE"/>
    <n v="0"/>
    <n v="30000"/>
    <n v="1030000"/>
    <s v="E-Wallet"/>
    <s v="JNE"/>
    <x v="0"/>
    <x v="1"/>
    <s v="Yes"/>
    <n v="1000000"/>
    <x v="43"/>
    <x v="0"/>
    <x v="0"/>
    <x v="165"/>
    <x v="0"/>
    <x v="2"/>
    <x v="1"/>
    <n v="1000000"/>
  </r>
  <r>
    <x v="219"/>
    <d v="2025-05-28T00:00:00"/>
    <s v="CUST0083"/>
    <s v="P048"/>
    <n v="2"/>
    <n v="300000"/>
    <n v="600000"/>
    <s v="DISC15"/>
    <n v="90000"/>
    <n v="15000"/>
    <n v="525000"/>
    <s v="COD"/>
    <s v="SiCepat"/>
    <x v="0"/>
    <x v="1"/>
    <s v="Yes"/>
    <n v="510000"/>
    <x v="21"/>
    <x v="0"/>
    <x v="0"/>
    <x v="166"/>
    <x v="0"/>
    <x v="6"/>
    <x v="2"/>
    <n v="510000"/>
  </r>
  <r>
    <x v="220"/>
    <d v="2025-05-28T00:00:00"/>
    <s v="CUST0131"/>
    <s v="P043"/>
    <n v="1"/>
    <n v="50000"/>
    <n v="50000"/>
    <s v="FLASHSALE"/>
    <n v="10000"/>
    <n v="10000"/>
    <n v="50000"/>
    <s v="E-Wallet"/>
    <s v="JNE"/>
    <x v="0"/>
    <x v="1"/>
    <s v="Yes"/>
    <n v="40000"/>
    <x v="25"/>
    <x v="2"/>
    <x v="2"/>
    <x v="134"/>
    <x v="1"/>
    <x v="2"/>
    <x v="1"/>
    <n v="40000"/>
  </r>
  <r>
    <x v="221"/>
    <d v="2025-05-28T00:00:00"/>
    <s v="CUST0301"/>
    <s v="P040"/>
    <n v="1"/>
    <n v="75000"/>
    <n v="75000"/>
    <s v="DISC15"/>
    <n v="11250"/>
    <n v="30000"/>
    <n v="93750"/>
    <s v="Bank Transfer"/>
    <s v="JNE"/>
    <x v="2"/>
    <x v="1"/>
    <s v="No"/>
    <n v="63750"/>
    <x v="28"/>
    <x v="3"/>
    <x v="3"/>
    <x v="96"/>
    <x v="0"/>
    <x v="7"/>
    <x v="0"/>
    <n v="0"/>
  </r>
  <r>
    <x v="222"/>
    <d v="2025-05-27T00:00:00"/>
    <s v="CUST0036"/>
    <s v="P029"/>
    <n v="2"/>
    <n v="500000"/>
    <n v="1000000"/>
    <s v="NONE"/>
    <n v="0"/>
    <n v="15000"/>
    <n v="1015000"/>
    <s v="COD"/>
    <s v="JNE"/>
    <x v="2"/>
    <x v="1"/>
    <s v="No"/>
    <n v="1000000"/>
    <x v="35"/>
    <x v="5"/>
    <x v="5"/>
    <x v="167"/>
    <x v="0"/>
    <x v="1"/>
    <x v="1"/>
    <n v="0"/>
  </r>
  <r>
    <x v="223"/>
    <d v="2025-05-27T00:00:00"/>
    <s v="CUST0053"/>
    <s v="P019"/>
    <n v="1"/>
    <n v="500000"/>
    <n v="500000"/>
    <s v="DISC10"/>
    <n v="50000"/>
    <n v="15000"/>
    <n v="465000"/>
    <s v="Bank Transfer"/>
    <s v="SiCepat"/>
    <x v="2"/>
    <x v="1"/>
    <s v="No"/>
    <n v="450000"/>
    <x v="23"/>
    <x v="2"/>
    <x v="2"/>
    <x v="168"/>
    <x v="0"/>
    <x v="1"/>
    <x v="1"/>
    <n v="0"/>
  </r>
  <r>
    <x v="224"/>
    <d v="2025-05-27T00:00:00"/>
    <s v="CUST0239"/>
    <s v="P028"/>
    <n v="2"/>
    <n v="50000"/>
    <n v="100000"/>
    <s v="NONE"/>
    <n v="0"/>
    <n v="15000"/>
    <n v="115000"/>
    <s v="E-Wallet"/>
    <s v="SiCepat"/>
    <x v="4"/>
    <x v="1"/>
    <s v="No"/>
    <n v="100000"/>
    <x v="31"/>
    <x v="3"/>
    <x v="3"/>
    <x v="127"/>
    <x v="1"/>
    <x v="4"/>
    <x v="0"/>
    <n v="0"/>
  </r>
  <r>
    <x v="225"/>
    <d v="2025-05-27T00:00:00"/>
    <s v="CUST0204"/>
    <s v="P016"/>
    <n v="1"/>
    <n v="150000"/>
    <n v="150000"/>
    <s v="NONE"/>
    <n v="0"/>
    <n v="15000"/>
    <n v="165000"/>
    <s v="COD"/>
    <s v="SiCepat"/>
    <x v="1"/>
    <x v="1"/>
    <s v="No"/>
    <n v="150000"/>
    <x v="8"/>
    <x v="3"/>
    <x v="3"/>
    <x v="82"/>
    <x v="1"/>
    <x v="5"/>
    <x v="1"/>
    <n v="0"/>
  </r>
  <r>
    <x v="226"/>
    <d v="2025-05-27T00:00:00"/>
    <s v="CUST0011"/>
    <s v="P034"/>
    <n v="1"/>
    <n v="50000"/>
    <n v="50000"/>
    <s v="DISC10"/>
    <n v="5000"/>
    <n v="15000"/>
    <n v="60000"/>
    <s v="Bank Transfer"/>
    <s v="SiCepat"/>
    <x v="0"/>
    <x v="1"/>
    <s v="Yes"/>
    <n v="45000"/>
    <x v="42"/>
    <x v="3"/>
    <x v="3"/>
    <x v="169"/>
    <x v="0"/>
    <x v="7"/>
    <x v="0"/>
    <n v="45000"/>
  </r>
  <r>
    <x v="227"/>
    <d v="2025-05-27T00:00:00"/>
    <s v="CUST0038"/>
    <s v="P006"/>
    <n v="2"/>
    <n v="500000"/>
    <n v="1000000"/>
    <s v="DISC10"/>
    <n v="100000"/>
    <n v="15000"/>
    <n v="915000"/>
    <s v="COD"/>
    <s v="JNE"/>
    <x v="0"/>
    <x v="1"/>
    <s v="Yes"/>
    <n v="900000"/>
    <x v="59"/>
    <x v="0"/>
    <x v="0"/>
    <x v="170"/>
    <x v="0"/>
    <x v="7"/>
    <x v="0"/>
    <n v="900000"/>
  </r>
  <r>
    <x v="228"/>
    <d v="2025-05-27T00:00:00"/>
    <s v="CUST0211"/>
    <s v="P025"/>
    <n v="3"/>
    <n v="100000"/>
    <n v="300000"/>
    <s v="NONE"/>
    <n v="0"/>
    <n v="25000"/>
    <n v="325000"/>
    <s v="E-Wallet"/>
    <s v="SiCepat"/>
    <x v="4"/>
    <x v="1"/>
    <s v="No"/>
    <n v="300000"/>
    <x v="53"/>
    <x v="2"/>
    <x v="2"/>
    <x v="171"/>
    <x v="0"/>
    <x v="2"/>
    <x v="1"/>
    <n v="0"/>
  </r>
  <r>
    <x v="229"/>
    <d v="2025-05-27T00:00:00"/>
    <s v="CUST0154"/>
    <s v="P015"/>
    <n v="4"/>
    <n v="500000"/>
    <n v="2000000"/>
    <s v="FLASHSALE"/>
    <n v="400000"/>
    <n v="25000"/>
    <n v="1625000"/>
    <s v="COD"/>
    <s v="SiCepat"/>
    <x v="0"/>
    <x v="1"/>
    <s v="Yes"/>
    <n v="1600000"/>
    <x v="19"/>
    <x v="4"/>
    <x v="4"/>
    <x v="110"/>
    <x v="1"/>
    <x v="3"/>
    <x v="1"/>
    <n v="1600000"/>
  </r>
  <r>
    <x v="230"/>
    <d v="2025-05-26T00:00:00"/>
    <s v="CUST0126"/>
    <s v="P011"/>
    <n v="1"/>
    <n v="75000"/>
    <n v="75000"/>
    <s v="NONE"/>
    <n v="0"/>
    <n v="25000"/>
    <n v="100000"/>
    <s v="COD"/>
    <s v="AnterAja"/>
    <x v="0"/>
    <x v="1"/>
    <s v="Yes"/>
    <n v="75000"/>
    <x v="57"/>
    <x v="5"/>
    <x v="5"/>
    <x v="154"/>
    <x v="1"/>
    <x v="8"/>
    <x v="0"/>
    <n v="75000"/>
  </r>
  <r>
    <x v="231"/>
    <d v="2025-05-26T00:00:00"/>
    <s v="CUST0164"/>
    <s v="P010"/>
    <n v="1"/>
    <n v="50000"/>
    <n v="50000"/>
    <s v="DISC15"/>
    <n v="7500"/>
    <n v="15000"/>
    <n v="57500"/>
    <s v="Bank Transfer"/>
    <s v="JNE"/>
    <x v="0"/>
    <x v="1"/>
    <s v="Yes"/>
    <n v="42500"/>
    <x v="13"/>
    <x v="3"/>
    <x v="3"/>
    <x v="172"/>
    <x v="0"/>
    <x v="1"/>
    <x v="1"/>
    <n v="42500"/>
  </r>
  <r>
    <x v="232"/>
    <d v="2025-05-26T00:00:00"/>
    <s v="CUST0323"/>
    <s v="P042"/>
    <n v="3"/>
    <n v="300000"/>
    <n v="900000"/>
    <s v="FLASHSALE"/>
    <n v="180000"/>
    <n v="25000"/>
    <n v="745000"/>
    <s v="Credit Card"/>
    <s v="SiCepat"/>
    <x v="0"/>
    <x v="1"/>
    <s v="Yes"/>
    <n v="720000"/>
    <x v="36"/>
    <x v="0"/>
    <x v="0"/>
    <x v="5"/>
    <x v="0"/>
    <x v="3"/>
    <x v="1"/>
    <n v="720000"/>
  </r>
  <r>
    <x v="233"/>
    <d v="2025-05-26T00:00:00"/>
    <s v="CUST0273"/>
    <s v="P057"/>
    <n v="3"/>
    <n v="500000"/>
    <n v="1500000"/>
    <s v="NONE"/>
    <n v="0"/>
    <n v="20000"/>
    <n v="1520000"/>
    <s v="Bank Transfer"/>
    <s v="AnterAja"/>
    <x v="1"/>
    <x v="1"/>
    <s v="No"/>
    <n v="1500000"/>
    <x v="44"/>
    <x v="4"/>
    <x v="4"/>
    <x v="173"/>
    <x v="0"/>
    <x v="1"/>
    <x v="2"/>
    <n v="0"/>
  </r>
  <r>
    <x v="234"/>
    <d v="2025-05-26T00:00:00"/>
    <s v="CUST0315"/>
    <s v="P060"/>
    <n v="4"/>
    <n v="150000"/>
    <n v="600000"/>
    <s v="DISC15"/>
    <n v="90000"/>
    <n v="10000"/>
    <n v="520000"/>
    <s v="Credit Card"/>
    <s v="SiCepat"/>
    <x v="0"/>
    <x v="1"/>
    <s v="Yes"/>
    <n v="510000"/>
    <x v="0"/>
    <x v="0"/>
    <x v="0"/>
    <x v="174"/>
    <x v="1"/>
    <x v="3"/>
    <x v="0"/>
    <n v="510000"/>
  </r>
  <r>
    <x v="235"/>
    <d v="2025-05-26T00:00:00"/>
    <s v="CUST0343"/>
    <s v="P015"/>
    <n v="1"/>
    <n v="500000"/>
    <n v="500000"/>
    <s v="DISC10"/>
    <n v="50000"/>
    <n v="15000"/>
    <n v="465000"/>
    <s v="Bank Transfer"/>
    <s v="SiCepat"/>
    <x v="0"/>
    <x v="1"/>
    <s v="Yes"/>
    <n v="450000"/>
    <x v="19"/>
    <x v="4"/>
    <x v="4"/>
    <x v="29"/>
    <x v="1"/>
    <x v="6"/>
    <x v="0"/>
    <n v="450000"/>
  </r>
  <r>
    <x v="236"/>
    <d v="2025-05-26T00:00:00"/>
    <s v="CUST0057"/>
    <s v="P019"/>
    <n v="2"/>
    <n v="500000"/>
    <n v="1000000"/>
    <s v="NONE"/>
    <n v="0"/>
    <n v="10000"/>
    <n v="1010000"/>
    <s v="COD"/>
    <s v="UNKNOWN"/>
    <x v="0"/>
    <x v="1"/>
    <s v="Yes"/>
    <n v="1000000"/>
    <x v="23"/>
    <x v="2"/>
    <x v="2"/>
    <x v="175"/>
    <x v="1"/>
    <x v="5"/>
    <x v="1"/>
    <n v="1000000"/>
  </r>
  <r>
    <x v="237"/>
    <d v="2025-05-26T00:00:00"/>
    <s v="CUST0022"/>
    <s v="P002"/>
    <n v="2"/>
    <n v="100000"/>
    <n v="200000"/>
    <s v="NONE"/>
    <n v="0"/>
    <n v="15000"/>
    <n v="215000"/>
    <s v="Bank Transfer"/>
    <s v="SiCepat"/>
    <x v="0"/>
    <x v="1"/>
    <s v="Yes"/>
    <n v="200000"/>
    <x v="38"/>
    <x v="1"/>
    <x v="1"/>
    <x v="54"/>
    <x v="0"/>
    <x v="8"/>
    <x v="0"/>
    <n v="200000"/>
  </r>
  <r>
    <x v="238"/>
    <d v="2025-05-26T00:00:00"/>
    <s v="CUST0072"/>
    <s v="P028"/>
    <n v="1"/>
    <n v="50000"/>
    <n v="50000"/>
    <s v="FLASHSALE"/>
    <n v="10000"/>
    <n v="15000"/>
    <n v="55000"/>
    <s v="Bank Transfer"/>
    <s v="J&amp;T"/>
    <x v="0"/>
    <x v="1"/>
    <s v="Yes"/>
    <n v="40000"/>
    <x v="31"/>
    <x v="3"/>
    <x v="3"/>
    <x v="86"/>
    <x v="1"/>
    <x v="8"/>
    <x v="1"/>
    <n v="40000"/>
  </r>
  <r>
    <x v="239"/>
    <d v="2025-05-26T00:00:00"/>
    <s v="CUST0191"/>
    <s v="P051"/>
    <n v="1"/>
    <n v="300000"/>
    <n v="300000"/>
    <s v="NONE"/>
    <n v="0"/>
    <n v="25000"/>
    <n v="325000"/>
    <s v="E-Wallet"/>
    <s v="SiCepat"/>
    <x v="2"/>
    <x v="1"/>
    <s v="No"/>
    <n v="300000"/>
    <x v="48"/>
    <x v="4"/>
    <x v="4"/>
    <x v="176"/>
    <x v="0"/>
    <x v="5"/>
    <x v="1"/>
    <n v="0"/>
  </r>
  <r>
    <x v="240"/>
    <d v="2025-05-26T00:00:00"/>
    <s v="CUST0096"/>
    <s v="P056"/>
    <n v="2"/>
    <n v="100000"/>
    <n v="200000"/>
    <s v="FLASHSALE"/>
    <n v="40000"/>
    <n v="25000"/>
    <n v="185000"/>
    <s v="COD"/>
    <s v="AnterAja"/>
    <x v="0"/>
    <x v="1"/>
    <s v="Yes"/>
    <n v="160000"/>
    <x v="54"/>
    <x v="1"/>
    <x v="1"/>
    <x v="156"/>
    <x v="0"/>
    <x v="4"/>
    <x v="2"/>
    <n v="160000"/>
  </r>
  <r>
    <x v="241"/>
    <d v="2025-05-26T00:00:00"/>
    <s v="CUST0225"/>
    <s v="P025"/>
    <n v="4"/>
    <n v="100000"/>
    <n v="400000"/>
    <s v="DISC15"/>
    <n v="60000"/>
    <n v="20000"/>
    <n v="360000"/>
    <s v="E-Wallet"/>
    <s v="JNE"/>
    <x v="0"/>
    <x v="1"/>
    <s v="Yes"/>
    <n v="340000"/>
    <x v="53"/>
    <x v="2"/>
    <x v="2"/>
    <x v="177"/>
    <x v="0"/>
    <x v="6"/>
    <x v="0"/>
    <n v="340000"/>
  </r>
  <r>
    <x v="242"/>
    <d v="2025-05-26T00:00:00"/>
    <s v="CUST0323"/>
    <s v="P058"/>
    <n v="2"/>
    <n v="35000"/>
    <n v="70000"/>
    <s v="NONE"/>
    <n v="0"/>
    <n v="20000"/>
    <n v="90000"/>
    <s v="COD"/>
    <s v="SiCepat"/>
    <x v="0"/>
    <x v="1"/>
    <s v="Yes"/>
    <n v="70000"/>
    <x v="24"/>
    <x v="3"/>
    <x v="3"/>
    <x v="5"/>
    <x v="0"/>
    <x v="3"/>
    <x v="1"/>
    <n v="70000"/>
  </r>
  <r>
    <x v="243"/>
    <d v="2025-05-26T00:00:00"/>
    <s v="CUST0005"/>
    <s v="P019"/>
    <n v="1"/>
    <n v="500000"/>
    <n v="500000"/>
    <s v="NONE"/>
    <n v="0"/>
    <n v="10000"/>
    <n v="510000"/>
    <s v="E-Wallet"/>
    <s v="JNE"/>
    <x v="0"/>
    <x v="1"/>
    <s v="Yes"/>
    <n v="500000"/>
    <x v="23"/>
    <x v="2"/>
    <x v="2"/>
    <x v="178"/>
    <x v="1"/>
    <x v="5"/>
    <x v="1"/>
    <n v="500000"/>
  </r>
  <r>
    <x v="244"/>
    <d v="2025-05-25T00:00:00"/>
    <s v="CUST0215"/>
    <s v="P031"/>
    <n v="1"/>
    <n v="150000"/>
    <n v="150000"/>
    <s v="DISC10"/>
    <n v="15000"/>
    <n v="15000"/>
    <n v="150000"/>
    <s v="Credit Card"/>
    <s v="J&amp;T"/>
    <x v="0"/>
    <x v="1"/>
    <s v="Yes"/>
    <n v="135000"/>
    <x v="20"/>
    <x v="2"/>
    <x v="2"/>
    <x v="179"/>
    <x v="1"/>
    <x v="6"/>
    <x v="1"/>
    <n v="135000"/>
  </r>
  <r>
    <x v="245"/>
    <d v="2025-05-25T00:00:00"/>
    <s v="CUST0286"/>
    <s v="P039"/>
    <n v="2"/>
    <n v="35000"/>
    <n v="70000"/>
    <s v="DISC10"/>
    <n v="7000"/>
    <n v="20000"/>
    <n v="83000"/>
    <s v="E-Wallet"/>
    <s v="J&amp;T"/>
    <x v="2"/>
    <x v="1"/>
    <s v="No"/>
    <n v="63000"/>
    <x v="11"/>
    <x v="4"/>
    <x v="4"/>
    <x v="76"/>
    <x v="1"/>
    <x v="0"/>
    <x v="0"/>
    <n v="0"/>
  </r>
  <r>
    <x v="246"/>
    <d v="2025-05-25T00:00:00"/>
    <s v="CUST0216"/>
    <s v="P037"/>
    <n v="1"/>
    <n v="100000"/>
    <n v="100000"/>
    <s v="NEWUSER"/>
    <n v="10000"/>
    <n v="25000"/>
    <n v="115000"/>
    <s v="E-Wallet"/>
    <s v="J&amp;T"/>
    <x v="0"/>
    <x v="1"/>
    <s v="Yes"/>
    <n v="90000"/>
    <x v="4"/>
    <x v="2"/>
    <x v="2"/>
    <x v="109"/>
    <x v="0"/>
    <x v="4"/>
    <x v="1"/>
    <n v="90000"/>
  </r>
  <r>
    <x v="247"/>
    <d v="2025-05-25T00:00:00"/>
    <s v="CUST0152"/>
    <s v="P030"/>
    <n v="3"/>
    <n v="100000"/>
    <n v="300000"/>
    <s v="DISC15"/>
    <n v="45000"/>
    <n v="10000"/>
    <n v="265000"/>
    <s v="COD"/>
    <s v="AnterAja"/>
    <x v="0"/>
    <x v="1"/>
    <s v="Yes"/>
    <n v="255000"/>
    <x v="33"/>
    <x v="0"/>
    <x v="0"/>
    <x v="72"/>
    <x v="1"/>
    <x v="3"/>
    <x v="1"/>
    <n v="255000"/>
  </r>
  <r>
    <x v="248"/>
    <d v="2025-05-24T00:00:00"/>
    <s v="CUST0350"/>
    <s v="P040"/>
    <n v="1"/>
    <n v="75000"/>
    <n v="75000"/>
    <s v="NONE"/>
    <n v="0"/>
    <n v="30000"/>
    <n v="105000"/>
    <s v="E-Wallet"/>
    <s v="SiCepat"/>
    <x v="0"/>
    <x v="1"/>
    <s v="Yes"/>
    <n v="75000"/>
    <x v="28"/>
    <x v="3"/>
    <x v="3"/>
    <x v="180"/>
    <x v="0"/>
    <x v="4"/>
    <x v="1"/>
    <n v="75000"/>
  </r>
  <r>
    <x v="249"/>
    <d v="2025-05-24T00:00:00"/>
    <s v="CUST0190"/>
    <s v="P004"/>
    <n v="2"/>
    <n v="300000"/>
    <n v="600000"/>
    <s v="DISC10"/>
    <n v="60000"/>
    <n v="20000"/>
    <n v="560000"/>
    <s v="E-Wallet"/>
    <s v="J&amp;T"/>
    <x v="0"/>
    <x v="1"/>
    <s v="Yes"/>
    <n v="540000"/>
    <x v="22"/>
    <x v="3"/>
    <x v="3"/>
    <x v="84"/>
    <x v="1"/>
    <x v="9"/>
    <x v="2"/>
    <n v="540000"/>
  </r>
  <r>
    <x v="250"/>
    <d v="2025-05-24T00:00:00"/>
    <s v="CUST0009"/>
    <s v="P013"/>
    <n v="2"/>
    <n v="75000"/>
    <n v="150000"/>
    <s v="DISC10"/>
    <n v="15000"/>
    <n v="10000"/>
    <n v="145000"/>
    <s v="COD"/>
    <s v="JNE"/>
    <x v="0"/>
    <x v="1"/>
    <s v="Yes"/>
    <n v="135000"/>
    <x v="50"/>
    <x v="2"/>
    <x v="2"/>
    <x v="181"/>
    <x v="0"/>
    <x v="3"/>
    <x v="1"/>
    <n v="135000"/>
  </r>
  <r>
    <x v="251"/>
    <d v="2025-05-24T00:00:00"/>
    <s v="CUST0024"/>
    <s v="P005"/>
    <n v="1"/>
    <n v="75000"/>
    <n v="75000"/>
    <s v="NONE"/>
    <n v="0"/>
    <n v="25000"/>
    <n v="100000"/>
    <s v="E-Wallet"/>
    <s v="JNE"/>
    <x v="0"/>
    <x v="1"/>
    <s v="Yes"/>
    <n v="75000"/>
    <x v="12"/>
    <x v="5"/>
    <x v="5"/>
    <x v="0"/>
    <x v="0"/>
    <x v="0"/>
    <x v="0"/>
    <n v="75000"/>
  </r>
  <r>
    <x v="252"/>
    <d v="2025-05-24T00:00:00"/>
    <s v="CUST0207"/>
    <s v="P043"/>
    <n v="1"/>
    <n v="50000"/>
    <n v="50000"/>
    <s v="NEWUSER"/>
    <n v="5000"/>
    <n v="20000"/>
    <n v="65000"/>
    <s v="E-Wallet"/>
    <s v="AnterAja"/>
    <x v="0"/>
    <x v="1"/>
    <s v="Yes"/>
    <n v="45000"/>
    <x v="25"/>
    <x v="2"/>
    <x v="2"/>
    <x v="182"/>
    <x v="0"/>
    <x v="8"/>
    <x v="1"/>
    <n v="45000"/>
  </r>
  <r>
    <x v="253"/>
    <d v="2025-05-24T00:00:00"/>
    <s v="CUST0266"/>
    <s v="P045"/>
    <n v="1"/>
    <n v="100000"/>
    <n v="100000"/>
    <s v="NEWUSER"/>
    <n v="10000"/>
    <n v="20000"/>
    <n v="110000"/>
    <s v="E-Wallet"/>
    <s v="SiCepat"/>
    <x v="0"/>
    <x v="1"/>
    <s v="Yes"/>
    <n v="90000"/>
    <x v="10"/>
    <x v="4"/>
    <x v="4"/>
    <x v="116"/>
    <x v="0"/>
    <x v="7"/>
    <x v="2"/>
    <n v="90000"/>
  </r>
  <r>
    <x v="254"/>
    <d v="2025-05-23T00:00:00"/>
    <s v="CUST0198"/>
    <s v="P047"/>
    <n v="3"/>
    <n v="500000"/>
    <n v="1500000"/>
    <s v="DISC10"/>
    <n v="150000"/>
    <n v="10000"/>
    <n v="1360000"/>
    <s v="Credit Card"/>
    <s v="J&amp;T"/>
    <x v="2"/>
    <x v="1"/>
    <s v="No"/>
    <n v="1350000"/>
    <x v="49"/>
    <x v="5"/>
    <x v="5"/>
    <x v="119"/>
    <x v="0"/>
    <x v="8"/>
    <x v="0"/>
    <n v="0"/>
  </r>
  <r>
    <x v="255"/>
    <d v="2025-05-23T00:00:00"/>
    <s v="CUST0316"/>
    <s v="P029"/>
    <n v="1"/>
    <n v="500000"/>
    <n v="500000"/>
    <s v="NONE"/>
    <n v="0"/>
    <n v="15000"/>
    <n v="515000"/>
    <s v="E-Wallet"/>
    <s v="SiCepat"/>
    <x v="0"/>
    <x v="1"/>
    <s v="Yes"/>
    <n v="500000"/>
    <x v="35"/>
    <x v="5"/>
    <x v="5"/>
    <x v="183"/>
    <x v="0"/>
    <x v="5"/>
    <x v="1"/>
    <n v="500000"/>
  </r>
  <r>
    <x v="256"/>
    <d v="2025-05-23T00:00:00"/>
    <s v="CUST0106"/>
    <s v="P055"/>
    <n v="2"/>
    <n v="300000"/>
    <n v="600000"/>
    <s v="NEWUSER"/>
    <n v="60000"/>
    <n v="10000"/>
    <n v="550000"/>
    <s v="Credit Card"/>
    <s v="SiCepat"/>
    <x v="0"/>
    <x v="1"/>
    <s v="Yes"/>
    <n v="540000"/>
    <x v="9"/>
    <x v="2"/>
    <x v="2"/>
    <x v="15"/>
    <x v="1"/>
    <x v="7"/>
    <x v="0"/>
    <n v="540000"/>
  </r>
  <r>
    <x v="257"/>
    <d v="2025-05-23T00:00:00"/>
    <s v="CUST0211"/>
    <s v="P007"/>
    <n v="1"/>
    <n v="150000"/>
    <n v="150000"/>
    <s v="DISC10"/>
    <n v="15000"/>
    <n v="15000"/>
    <n v="150000"/>
    <s v="Bank Transfer"/>
    <s v="JNE"/>
    <x v="0"/>
    <x v="1"/>
    <s v="Yes"/>
    <n v="135000"/>
    <x v="52"/>
    <x v="2"/>
    <x v="2"/>
    <x v="171"/>
    <x v="0"/>
    <x v="2"/>
    <x v="1"/>
    <n v="135000"/>
  </r>
  <r>
    <x v="258"/>
    <d v="2025-05-23T00:00:00"/>
    <s v="CUST0310"/>
    <s v="P027"/>
    <n v="2"/>
    <n v="200000"/>
    <n v="400000"/>
    <s v="NONE"/>
    <n v="0"/>
    <n v="30000"/>
    <n v="430000"/>
    <s v="E-Wallet"/>
    <s v="SiCepat"/>
    <x v="0"/>
    <x v="1"/>
    <s v="Yes"/>
    <n v="400000"/>
    <x v="51"/>
    <x v="4"/>
    <x v="4"/>
    <x v="6"/>
    <x v="1"/>
    <x v="4"/>
    <x v="2"/>
    <n v="400000"/>
  </r>
  <r>
    <x v="259"/>
    <d v="2025-05-23T00:00:00"/>
    <s v="CUST0002"/>
    <s v="P024"/>
    <n v="3"/>
    <n v="500000"/>
    <n v="1500000"/>
    <s v="DISC15"/>
    <n v="225000"/>
    <n v="30000"/>
    <n v="1305000"/>
    <s v="Bank Transfer"/>
    <s v="J&amp;T"/>
    <x v="4"/>
    <x v="1"/>
    <s v="No"/>
    <n v="1275000"/>
    <x v="43"/>
    <x v="0"/>
    <x v="0"/>
    <x v="184"/>
    <x v="1"/>
    <x v="6"/>
    <x v="1"/>
    <n v="0"/>
  </r>
  <r>
    <x v="260"/>
    <d v="2025-05-23T00:00:00"/>
    <s v="CUST0235"/>
    <s v="P051"/>
    <n v="2"/>
    <n v="300000"/>
    <n v="600000"/>
    <s v="DISC15"/>
    <n v="90000"/>
    <n v="30000"/>
    <n v="540000"/>
    <s v="E-Wallet"/>
    <s v="AnterAja"/>
    <x v="2"/>
    <x v="1"/>
    <s v="No"/>
    <n v="510000"/>
    <x v="48"/>
    <x v="4"/>
    <x v="4"/>
    <x v="185"/>
    <x v="0"/>
    <x v="5"/>
    <x v="2"/>
    <n v="0"/>
  </r>
  <r>
    <x v="261"/>
    <d v="2025-05-23T00:00:00"/>
    <s v="CUST0221"/>
    <s v="P044"/>
    <n v="4"/>
    <n v="500000"/>
    <n v="2000000"/>
    <s v="NONE"/>
    <n v="0"/>
    <n v="15000"/>
    <n v="2015000"/>
    <s v="E-Wallet"/>
    <s v="JNE"/>
    <x v="3"/>
    <x v="1"/>
    <s v="No"/>
    <n v="2000000"/>
    <x v="47"/>
    <x v="1"/>
    <x v="1"/>
    <x v="186"/>
    <x v="0"/>
    <x v="9"/>
    <x v="1"/>
    <n v="0"/>
  </r>
  <r>
    <x v="262"/>
    <d v="2025-05-22T00:00:00"/>
    <s v="CUST0223"/>
    <s v="P055"/>
    <n v="1"/>
    <n v="300000"/>
    <n v="300000"/>
    <s v="NEWUSER"/>
    <n v="30000"/>
    <n v="30000"/>
    <n v="300000"/>
    <s v="Bank Transfer"/>
    <s v="SiCepat"/>
    <x v="0"/>
    <x v="1"/>
    <s v="Yes"/>
    <n v="270000"/>
    <x v="9"/>
    <x v="2"/>
    <x v="2"/>
    <x v="136"/>
    <x v="0"/>
    <x v="6"/>
    <x v="1"/>
    <n v="270000"/>
  </r>
  <r>
    <x v="263"/>
    <d v="2025-05-22T00:00:00"/>
    <s v="CUST0108"/>
    <s v="P030"/>
    <n v="1"/>
    <n v="100000"/>
    <n v="100000"/>
    <s v="DISC10"/>
    <n v="10000"/>
    <n v="15000"/>
    <n v="105000"/>
    <s v="E-Wallet"/>
    <s v="JNE"/>
    <x v="4"/>
    <x v="1"/>
    <s v="No"/>
    <n v="90000"/>
    <x v="33"/>
    <x v="0"/>
    <x v="0"/>
    <x v="66"/>
    <x v="1"/>
    <x v="0"/>
    <x v="1"/>
    <n v="0"/>
  </r>
  <r>
    <x v="264"/>
    <d v="2025-05-22T00:00:00"/>
    <s v="CUST0093"/>
    <s v="P020"/>
    <n v="3"/>
    <n v="75000"/>
    <n v="225000"/>
    <s v="NEWUSER"/>
    <n v="22500"/>
    <n v="10000"/>
    <n v="212500"/>
    <s v="E-Wallet"/>
    <s v="JNE"/>
    <x v="1"/>
    <x v="1"/>
    <s v="No"/>
    <n v="202500"/>
    <x v="6"/>
    <x v="1"/>
    <x v="1"/>
    <x v="187"/>
    <x v="1"/>
    <x v="4"/>
    <x v="1"/>
    <n v="0"/>
  </r>
  <r>
    <x v="265"/>
    <d v="2025-05-22T00:00:00"/>
    <s v="CUST0158"/>
    <s v="P017"/>
    <n v="3"/>
    <n v="100000"/>
    <n v="300000"/>
    <s v="NONE"/>
    <n v="0"/>
    <n v="30000"/>
    <n v="330000"/>
    <s v="Bank Transfer"/>
    <s v="SiCepat"/>
    <x v="0"/>
    <x v="1"/>
    <s v="Yes"/>
    <n v="300000"/>
    <x v="39"/>
    <x v="5"/>
    <x v="5"/>
    <x v="144"/>
    <x v="1"/>
    <x v="1"/>
    <x v="1"/>
    <n v="300000"/>
  </r>
  <r>
    <x v="266"/>
    <d v="2025-05-22T00:00:00"/>
    <s v="CUST0323"/>
    <s v="P023"/>
    <n v="4"/>
    <n v="50000"/>
    <n v="200000"/>
    <s v="DISC10"/>
    <n v="20000"/>
    <n v="15000"/>
    <n v="195000"/>
    <s v="Credit Card"/>
    <s v="SiCepat"/>
    <x v="0"/>
    <x v="1"/>
    <s v="Yes"/>
    <n v="180000"/>
    <x v="14"/>
    <x v="5"/>
    <x v="5"/>
    <x v="5"/>
    <x v="0"/>
    <x v="3"/>
    <x v="1"/>
    <n v="180000"/>
  </r>
  <r>
    <x v="267"/>
    <d v="2025-05-22T00:00:00"/>
    <s v="CUST0071"/>
    <s v="P022"/>
    <n v="1"/>
    <n v="150000"/>
    <n v="150000"/>
    <s v="DISC10"/>
    <n v="15000"/>
    <n v="15000"/>
    <n v="150000"/>
    <s v="E-Wallet"/>
    <s v="J&amp;T"/>
    <x v="0"/>
    <x v="1"/>
    <s v="Yes"/>
    <n v="135000"/>
    <x v="55"/>
    <x v="3"/>
    <x v="3"/>
    <x v="117"/>
    <x v="0"/>
    <x v="2"/>
    <x v="1"/>
    <n v="135000"/>
  </r>
  <r>
    <x v="268"/>
    <d v="2025-05-22T00:00:00"/>
    <s v="CUST0252"/>
    <s v="P032"/>
    <n v="1"/>
    <n v="35000"/>
    <n v="35000"/>
    <s v="NONE"/>
    <n v="0"/>
    <n v="20000"/>
    <n v="55000"/>
    <s v="Bank Transfer"/>
    <s v="AnterAja"/>
    <x v="0"/>
    <x v="1"/>
    <s v="Yes"/>
    <n v="35000"/>
    <x v="29"/>
    <x v="1"/>
    <x v="1"/>
    <x v="188"/>
    <x v="1"/>
    <x v="3"/>
    <x v="0"/>
    <n v="35000"/>
  </r>
  <r>
    <x v="269"/>
    <d v="2025-05-21T00:00:00"/>
    <s v="CUST0025"/>
    <s v="P045"/>
    <n v="1"/>
    <n v="100000"/>
    <n v="100000"/>
    <s v="DISC15"/>
    <n v="15000"/>
    <n v="30000"/>
    <n v="115000"/>
    <s v="COD"/>
    <s v="AnterAja"/>
    <x v="0"/>
    <x v="1"/>
    <s v="Yes"/>
    <n v="85000"/>
    <x v="10"/>
    <x v="4"/>
    <x v="4"/>
    <x v="189"/>
    <x v="1"/>
    <x v="4"/>
    <x v="0"/>
    <n v="85000"/>
  </r>
  <r>
    <x v="270"/>
    <d v="2025-05-21T00:00:00"/>
    <s v="CUST0113"/>
    <s v="P041"/>
    <n v="1"/>
    <n v="75000"/>
    <n v="75000"/>
    <s v="NONE"/>
    <n v="0"/>
    <n v="30000"/>
    <n v="105000"/>
    <s v="COD"/>
    <s v="J&amp;T"/>
    <x v="0"/>
    <x v="1"/>
    <s v="Yes"/>
    <n v="75000"/>
    <x v="15"/>
    <x v="5"/>
    <x v="5"/>
    <x v="95"/>
    <x v="1"/>
    <x v="1"/>
    <x v="1"/>
    <n v="75000"/>
  </r>
  <r>
    <x v="271"/>
    <d v="2025-05-21T00:00:00"/>
    <s v="CUST0232"/>
    <s v="P008"/>
    <n v="2"/>
    <n v="150000"/>
    <n v="300000"/>
    <s v="NEWUSER"/>
    <n v="30000"/>
    <n v="15000"/>
    <n v="285000"/>
    <s v="COD"/>
    <s v="JNE"/>
    <x v="1"/>
    <x v="1"/>
    <s v="No"/>
    <n v="270000"/>
    <x v="18"/>
    <x v="1"/>
    <x v="1"/>
    <x v="53"/>
    <x v="1"/>
    <x v="8"/>
    <x v="2"/>
    <n v="0"/>
  </r>
  <r>
    <x v="272"/>
    <d v="2025-05-21T00:00:00"/>
    <s v="CUST0343"/>
    <s v="P058"/>
    <n v="1"/>
    <n v="35000"/>
    <n v="35000"/>
    <s v="NEWUSER"/>
    <n v="3500"/>
    <n v="10000"/>
    <n v="41500"/>
    <s v="COD"/>
    <s v="AnterAja"/>
    <x v="4"/>
    <x v="1"/>
    <s v="No"/>
    <n v="31500"/>
    <x v="24"/>
    <x v="3"/>
    <x v="3"/>
    <x v="29"/>
    <x v="1"/>
    <x v="6"/>
    <x v="0"/>
    <n v="0"/>
  </r>
  <r>
    <x v="273"/>
    <d v="2025-05-21T00:00:00"/>
    <s v="CUST0314"/>
    <s v="P014"/>
    <n v="2"/>
    <n v="75000"/>
    <n v="150000"/>
    <s v="DISC10"/>
    <n v="15000"/>
    <n v="25000"/>
    <n v="160000"/>
    <s v="E-Wallet"/>
    <s v="AnterAja"/>
    <x v="0"/>
    <x v="1"/>
    <s v="Yes"/>
    <n v="135000"/>
    <x v="30"/>
    <x v="1"/>
    <x v="1"/>
    <x v="32"/>
    <x v="0"/>
    <x v="4"/>
    <x v="2"/>
    <n v="135000"/>
  </r>
  <r>
    <x v="274"/>
    <d v="2025-05-21T00:00:00"/>
    <s v="CUST0318"/>
    <s v="P054"/>
    <n v="2"/>
    <n v="100000"/>
    <n v="200000"/>
    <s v="NONE"/>
    <n v="0"/>
    <n v="20000"/>
    <n v="220000"/>
    <s v="E-Wallet"/>
    <s v="SiCepat"/>
    <x v="0"/>
    <x v="1"/>
    <s v="Yes"/>
    <n v="200000"/>
    <x v="5"/>
    <x v="0"/>
    <x v="0"/>
    <x v="190"/>
    <x v="1"/>
    <x v="7"/>
    <x v="0"/>
    <n v="200000"/>
  </r>
  <r>
    <x v="275"/>
    <d v="2025-05-21T00:00:00"/>
    <s v="CUST0003"/>
    <s v="P026"/>
    <n v="1"/>
    <n v="200000"/>
    <n v="200000"/>
    <s v="NONE"/>
    <n v="0"/>
    <n v="10000"/>
    <n v="210000"/>
    <s v="E-Wallet"/>
    <s v="SiCepat"/>
    <x v="1"/>
    <x v="1"/>
    <s v="No"/>
    <n v="200000"/>
    <x v="3"/>
    <x v="1"/>
    <x v="1"/>
    <x v="30"/>
    <x v="1"/>
    <x v="3"/>
    <x v="2"/>
    <n v="0"/>
  </r>
  <r>
    <x v="276"/>
    <d v="2025-05-21T00:00:00"/>
    <s v="CUST0213"/>
    <s v="P041"/>
    <n v="1"/>
    <n v="75000"/>
    <n v="75000"/>
    <s v="DISC10"/>
    <n v="7500"/>
    <n v="10000"/>
    <n v="77500"/>
    <s v="Bank Transfer"/>
    <s v="SiCepat"/>
    <x v="2"/>
    <x v="1"/>
    <s v="No"/>
    <n v="67500"/>
    <x v="15"/>
    <x v="5"/>
    <x v="5"/>
    <x v="191"/>
    <x v="0"/>
    <x v="5"/>
    <x v="1"/>
    <n v="0"/>
  </r>
  <r>
    <x v="277"/>
    <d v="2025-05-21T00:00:00"/>
    <s v="CUST0023"/>
    <s v="P019"/>
    <n v="1"/>
    <n v="500000"/>
    <n v="500000"/>
    <s v="NEWUSER"/>
    <n v="50000"/>
    <n v="20000"/>
    <n v="470000"/>
    <s v="Bank Transfer"/>
    <s v="JNE"/>
    <x v="4"/>
    <x v="1"/>
    <s v="No"/>
    <n v="450000"/>
    <x v="23"/>
    <x v="2"/>
    <x v="2"/>
    <x v="45"/>
    <x v="1"/>
    <x v="3"/>
    <x v="2"/>
    <n v="0"/>
  </r>
  <r>
    <x v="278"/>
    <d v="2025-05-21T00:00:00"/>
    <s v="CUST0199"/>
    <s v="P048"/>
    <n v="4"/>
    <n v="300000"/>
    <n v="1200000"/>
    <s v="DISC10"/>
    <n v="120000"/>
    <n v="30000"/>
    <n v="1110000"/>
    <s v="COD"/>
    <s v="J&amp;T"/>
    <x v="0"/>
    <x v="1"/>
    <s v="Yes"/>
    <n v="1080000"/>
    <x v="21"/>
    <x v="0"/>
    <x v="0"/>
    <x v="25"/>
    <x v="0"/>
    <x v="8"/>
    <x v="2"/>
    <n v="1080000"/>
  </r>
  <r>
    <x v="279"/>
    <d v="2025-05-21T00:00:00"/>
    <s v="CUST0228"/>
    <s v="P035"/>
    <n v="2"/>
    <n v="200000"/>
    <n v="400000"/>
    <s v="NEWUSER"/>
    <n v="40000"/>
    <n v="15000"/>
    <n v="375000"/>
    <s v="Credit Card"/>
    <s v="J&amp;T"/>
    <x v="0"/>
    <x v="1"/>
    <s v="Yes"/>
    <n v="360000"/>
    <x v="41"/>
    <x v="5"/>
    <x v="5"/>
    <x v="26"/>
    <x v="1"/>
    <x v="1"/>
    <x v="1"/>
    <n v="360000"/>
  </r>
  <r>
    <x v="280"/>
    <d v="2025-05-20T00:00:00"/>
    <s v="CUST0294"/>
    <s v="P044"/>
    <n v="4"/>
    <n v="500000"/>
    <n v="2000000"/>
    <s v="NONE"/>
    <n v="0"/>
    <n v="20000"/>
    <n v="2020000"/>
    <s v="Bank Transfer"/>
    <s v="J&amp;T"/>
    <x v="0"/>
    <x v="1"/>
    <s v="Yes"/>
    <n v="2000000"/>
    <x v="47"/>
    <x v="1"/>
    <x v="1"/>
    <x v="22"/>
    <x v="0"/>
    <x v="1"/>
    <x v="0"/>
    <n v="2000000"/>
  </r>
  <r>
    <x v="281"/>
    <d v="2025-05-20T00:00:00"/>
    <s v="CUST0100"/>
    <s v="P012"/>
    <n v="2"/>
    <n v="300000"/>
    <n v="600000"/>
    <s v="NONE"/>
    <n v="0"/>
    <n v="25000"/>
    <n v="625000"/>
    <s v="Credit Card"/>
    <s v="JNE"/>
    <x v="0"/>
    <x v="1"/>
    <s v="Yes"/>
    <n v="600000"/>
    <x v="40"/>
    <x v="0"/>
    <x v="0"/>
    <x v="34"/>
    <x v="0"/>
    <x v="2"/>
    <x v="1"/>
    <n v="600000"/>
  </r>
  <r>
    <x v="282"/>
    <d v="2025-05-20T00:00:00"/>
    <s v="CUST0141"/>
    <s v="P036"/>
    <n v="4"/>
    <n v="150000"/>
    <n v="600000"/>
    <s v="NONE"/>
    <n v="0"/>
    <n v="25000"/>
    <n v="625000"/>
    <s v="Credit Card"/>
    <s v="AnterAja"/>
    <x v="0"/>
    <x v="1"/>
    <s v="Yes"/>
    <n v="600000"/>
    <x v="2"/>
    <x v="0"/>
    <x v="0"/>
    <x v="56"/>
    <x v="1"/>
    <x v="8"/>
    <x v="1"/>
    <n v="600000"/>
  </r>
  <r>
    <x v="283"/>
    <d v="2025-05-19T00:00:00"/>
    <s v="CUST0010"/>
    <s v="P022"/>
    <n v="1"/>
    <n v="150000"/>
    <n v="150000"/>
    <s v="DISC15"/>
    <n v="22500"/>
    <n v="30000"/>
    <n v="157500"/>
    <s v="COD"/>
    <s v="SiCepat"/>
    <x v="0"/>
    <x v="1"/>
    <s v="Yes"/>
    <n v="127500"/>
    <x v="55"/>
    <x v="3"/>
    <x v="3"/>
    <x v="192"/>
    <x v="0"/>
    <x v="6"/>
    <x v="1"/>
    <n v="127500"/>
  </r>
  <r>
    <x v="284"/>
    <d v="2025-05-19T00:00:00"/>
    <s v="CUST0033"/>
    <s v="P006"/>
    <n v="4"/>
    <n v="500000"/>
    <n v="2000000"/>
    <s v="NONE"/>
    <n v="0"/>
    <n v="15000"/>
    <n v="2015000"/>
    <s v="Credit Card"/>
    <s v="J&amp;T"/>
    <x v="0"/>
    <x v="1"/>
    <s v="Yes"/>
    <n v="2000000"/>
    <x v="59"/>
    <x v="0"/>
    <x v="0"/>
    <x v="69"/>
    <x v="0"/>
    <x v="1"/>
    <x v="2"/>
    <n v="2000000"/>
  </r>
  <r>
    <x v="285"/>
    <d v="2025-05-19T00:00:00"/>
    <s v="CUST0226"/>
    <s v="P024"/>
    <n v="2"/>
    <n v="500000"/>
    <n v="1000000"/>
    <s v="NONE"/>
    <n v="0"/>
    <n v="15000"/>
    <n v="1015000"/>
    <s v="E-Wallet"/>
    <s v="JNE"/>
    <x v="0"/>
    <x v="1"/>
    <s v="Yes"/>
    <n v="1000000"/>
    <x v="43"/>
    <x v="0"/>
    <x v="0"/>
    <x v="20"/>
    <x v="1"/>
    <x v="7"/>
    <x v="0"/>
    <n v="1000000"/>
  </r>
  <r>
    <x v="286"/>
    <d v="2025-05-19T00:00:00"/>
    <s v="CUST0089"/>
    <s v="P018"/>
    <n v="1"/>
    <n v="500000"/>
    <n v="500000"/>
    <s v="FLASHSALE"/>
    <n v="100000"/>
    <n v="25000"/>
    <n v="425000"/>
    <s v="Bank Transfer"/>
    <s v="J&amp;T"/>
    <x v="0"/>
    <x v="1"/>
    <s v="Yes"/>
    <n v="400000"/>
    <x v="1"/>
    <x v="0"/>
    <x v="0"/>
    <x v="193"/>
    <x v="1"/>
    <x v="7"/>
    <x v="2"/>
    <n v="400000"/>
  </r>
  <r>
    <x v="287"/>
    <d v="2025-05-19T00:00:00"/>
    <s v="CUST0191"/>
    <s v="P021"/>
    <n v="2"/>
    <n v="200000"/>
    <n v="400000"/>
    <s v="NONE"/>
    <n v="0"/>
    <n v="25000"/>
    <n v="425000"/>
    <s v="Bank Transfer"/>
    <s v="J&amp;T"/>
    <x v="0"/>
    <x v="1"/>
    <s v="Yes"/>
    <n v="400000"/>
    <x v="32"/>
    <x v="4"/>
    <x v="4"/>
    <x v="176"/>
    <x v="0"/>
    <x v="5"/>
    <x v="1"/>
    <n v="400000"/>
  </r>
  <r>
    <x v="288"/>
    <d v="2025-05-19T00:00:00"/>
    <s v="CUST0302"/>
    <s v="P055"/>
    <n v="1"/>
    <n v="300000"/>
    <n v="300000"/>
    <s v="DISC15"/>
    <n v="45000"/>
    <n v="15000"/>
    <n v="270000"/>
    <s v="COD"/>
    <s v="JNE"/>
    <x v="0"/>
    <x v="1"/>
    <s v="Yes"/>
    <n v="255000"/>
    <x v="9"/>
    <x v="2"/>
    <x v="2"/>
    <x v="194"/>
    <x v="1"/>
    <x v="8"/>
    <x v="1"/>
    <n v="255000"/>
  </r>
  <r>
    <x v="289"/>
    <d v="2025-05-19T00:00:00"/>
    <s v="CUST0273"/>
    <s v="P035"/>
    <n v="2"/>
    <n v="200000"/>
    <n v="400000"/>
    <s v="DISC10"/>
    <n v="40000"/>
    <n v="30000"/>
    <n v="390000"/>
    <s v="E-Wallet"/>
    <s v="AnterAja"/>
    <x v="0"/>
    <x v="1"/>
    <s v="Yes"/>
    <n v="360000"/>
    <x v="41"/>
    <x v="5"/>
    <x v="5"/>
    <x v="173"/>
    <x v="0"/>
    <x v="1"/>
    <x v="2"/>
    <n v="360000"/>
  </r>
  <r>
    <x v="290"/>
    <d v="2025-05-19T00:00:00"/>
    <s v="CUST0181"/>
    <s v="P046"/>
    <n v="3"/>
    <n v="100000"/>
    <n v="300000"/>
    <s v="NONE"/>
    <n v="0"/>
    <n v="25000"/>
    <n v="325000"/>
    <s v="Bank Transfer"/>
    <s v="AnterAja"/>
    <x v="0"/>
    <x v="1"/>
    <s v="Yes"/>
    <n v="300000"/>
    <x v="7"/>
    <x v="3"/>
    <x v="3"/>
    <x v="195"/>
    <x v="0"/>
    <x v="8"/>
    <x v="1"/>
    <n v="300000"/>
  </r>
  <r>
    <x v="291"/>
    <d v="2025-05-19T00:00:00"/>
    <s v="CUST0314"/>
    <s v="P046"/>
    <n v="2"/>
    <n v="100000"/>
    <n v="200000"/>
    <s v="NONE"/>
    <n v="0"/>
    <n v="10000"/>
    <n v="210000"/>
    <s v="E-Wallet"/>
    <s v="AnterAja"/>
    <x v="0"/>
    <x v="1"/>
    <s v="Yes"/>
    <n v="200000"/>
    <x v="7"/>
    <x v="3"/>
    <x v="3"/>
    <x v="32"/>
    <x v="0"/>
    <x v="4"/>
    <x v="2"/>
    <n v="200000"/>
  </r>
  <r>
    <x v="292"/>
    <d v="2025-05-19T00:00:00"/>
    <s v="CUST0234"/>
    <s v="P035"/>
    <n v="2"/>
    <n v="200000"/>
    <n v="400000"/>
    <s v="NONE"/>
    <n v="0"/>
    <n v="25000"/>
    <n v="425000"/>
    <s v="E-Wallet"/>
    <s v="J&amp;T"/>
    <x v="4"/>
    <x v="1"/>
    <s v="No"/>
    <n v="400000"/>
    <x v="41"/>
    <x v="5"/>
    <x v="5"/>
    <x v="196"/>
    <x v="0"/>
    <x v="7"/>
    <x v="0"/>
    <n v="0"/>
  </r>
  <r>
    <x v="293"/>
    <d v="2025-05-19T00:00:00"/>
    <s v="CUST0012"/>
    <s v="P010"/>
    <n v="1"/>
    <n v="50000"/>
    <n v="50000"/>
    <s v="DISC10"/>
    <n v="5000"/>
    <n v="30000"/>
    <n v="75000"/>
    <s v="COD"/>
    <s v="J&amp;T"/>
    <x v="0"/>
    <x v="1"/>
    <s v="Yes"/>
    <n v="45000"/>
    <x v="13"/>
    <x v="3"/>
    <x v="3"/>
    <x v="197"/>
    <x v="0"/>
    <x v="8"/>
    <x v="1"/>
    <n v="45000"/>
  </r>
  <r>
    <x v="294"/>
    <d v="2025-05-19T00:00:00"/>
    <s v="CUST0013"/>
    <s v="P027"/>
    <n v="1"/>
    <n v="200000"/>
    <n v="200000"/>
    <s v="NONE"/>
    <n v="0"/>
    <n v="25000"/>
    <n v="225000"/>
    <s v="E-Wallet"/>
    <s v="AnterAja"/>
    <x v="0"/>
    <x v="1"/>
    <s v="Yes"/>
    <n v="200000"/>
    <x v="51"/>
    <x v="4"/>
    <x v="4"/>
    <x v="198"/>
    <x v="1"/>
    <x v="7"/>
    <x v="2"/>
    <n v="200000"/>
  </r>
  <r>
    <x v="295"/>
    <d v="2025-05-18T00:00:00"/>
    <s v="CUST0078"/>
    <s v="P013"/>
    <n v="2"/>
    <n v="75000"/>
    <n v="150000"/>
    <s v="NONE"/>
    <n v="0"/>
    <n v="30000"/>
    <n v="180000"/>
    <s v="Bank Transfer"/>
    <s v="AnterAja"/>
    <x v="0"/>
    <x v="1"/>
    <s v="Yes"/>
    <n v="150000"/>
    <x v="50"/>
    <x v="2"/>
    <x v="2"/>
    <x v="199"/>
    <x v="1"/>
    <x v="2"/>
    <x v="1"/>
    <n v="150000"/>
  </r>
  <r>
    <x v="296"/>
    <d v="2025-05-18T00:00:00"/>
    <s v="CUST0345"/>
    <s v="P052"/>
    <n v="1"/>
    <n v="200000"/>
    <n v="200000"/>
    <s v="NONE"/>
    <n v="0"/>
    <n v="30000"/>
    <n v="230000"/>
    <s v="E-Wallet"/>
    <s v="AnterAja"/>
    <x v="0"/>
    <x v="1"/>
    <s v="Yes"/>
    <n v="200000"/>
    <x v="56"/>
    <x v="3"/>
    <x v="3"/>
    <x v="51"/>
    <x v="0"/>
    <x v="8"/>
    <x v="1"/>
    <n v="200000"/>
  </r>
  <r>
    <x v="297"/>
    <d v="2025-05-18T00:00:00"/>
    <s v="CUST0110"/>
    <s v="P014"/>
    <n v="2"/>
    <n v="75000"/>
    <n v="150000"/>
    <s v="NEWUSER"/>
    <n v="15000"/>
    <n v="25000"/>
    <n v="160000"/>
    <s v="E-Wallet"/>
    <s v="AnterAja"/>
    <x v="0"/>
    <x v="1"/>
    <s v="Yes"/>
    <n v="135000"/>
    <x v="30"/>
    <x v="1"/>
    <x v="1"/>
    <x v="200"/>
    <x v="0"/>
    <x v="1"/>
    <x v="1"/>
    <n v="135000"/>
  </r>
  <r>
    <x v="298"/>
    <d v="2025-05-18T00:00:00"/>
    <s v="CUST0285"/>
    <s v="P054"/>
    <n v="2"/>
    <n v="100000"/>
    <n v="200000"/>
    <s v="FLASHSALE"/>
    <n v="40000"/>
    <n v="10000"/>
    <n v="170000"/>
    <s v="Bank Transfer"/>
    <s v="J&amp;T"/>
    <x v="0"/>
    <x v="1"/>
    <s v="Yes"/>
    <n v="160000"/>
    <x v="5"/>
    <x v="0"/>
    <x v="0"/>
    <x v="201"/>
    <x v="1"/>
    <x v="8"/>
    <x v="1"/>
    <n v="160000"/>
  </r>
  <r>
    <x v="299"/>
    <d v="2025-05-18T00:00:00"/>
    <s v="CUST0321"/>
    <s v="P042"/>
    <n v="2"/>
    <n v="300000"/>
    <n v="600000"/>
    <s v="NONE"/>
    <n v="0"/>
    <n v="10000"/>
    <n v="610000"/>
    <s v="Credit Card"/>
    <s v="SiCepat"/>
    <x v="0"/>
    <x v="1"/>
    <s v="Yes"/>
    <n v="600000"/>
    <x v="36"/>
    <x v="0"/>
    <x v="0"/>
    <x v="50"/>
    <x v="0"/>
    <x v="4"/>
    <x v="2"/>
    <n v="600000"/>
  </r>
  <r>
    <x v="300"/>
    <d v="2025-05-17T00:00:00"/>
    <s v="CUST0026"/>
    <s v="P009"/>
    <n v="4"/>
    <n v="300000"/>
    <n v="1200000"/>
    <s v="FLASHSALE"/>
    <n v="240000"/>
    <n v="10000"/>
    <n v="970000"/>
    <s v="E-Wallet"/>
    <s v="JNE"/>
    <x v="0"/>
    <x v="1"/>
    <s v="Yes"/>
    <n v="960000"/>
    <x v="45"/>
    <x v="4"/>
    <x v="4"/>
    <x v="115"/>
    <x v="1"/>
    <x v="0"/>
    <x v="1"/>
    <n v="960000"/>
  </r>
  <r>
    <x v="301"/>
    <d v="2025-05-17T00:00:00"/>
    <s v="CUST0324"/>
    <s v="P035"/>
    <n v="1"/>
    <n v="200000"/>
    <n v="200000"/>
    <s v="DISC10"/>
    <n v="20000"/>
    <n v="25000"/>
    <n v="205000"/>
    <s v="COD"/>
    <s v="AnterAja"/>
    <x v="0"/>
    <x v="1"/>
    <s v="Yes"/>
    <n v="180000"/>
    <x v="41"/>
    <x v="5"/>
    <x v="5"/>
    <x v="202"/>
    <x v="1"/>
    <x v="6"/>
    <x v="1"/>
    <n v="180000"/>
  </r>
  <r>
    <x v="302"/>
    <d v="2025-05-17T00:00:00"/>
    <s v="CUST0245"/>
    <s v="P045"/>
    <n v="1"/>
    <n v="100000"/>
    <n v="100000"/>
    <s v="NONE"/>
    <n v="0"/>
    <n v="10000"/>
    <n v="110000"/>
    <s v="Credit Card"/>
    <s v="AnterAja"/>
    <x v="2"/>
    <x v="1"/>
    <s v="No"/>
    <n v="100000"/>
    <x v="10"/>
    <x v="4"/>
    <x v="4"/>
    <x v="203"/>
    <x v="0"/>
    <x v="3"/>
    <x v="1"/>
    <n v="0"/>
  </r>
  <r>
    <x v="303"/>
    <d v="2025-05-17T00:00:00"/>
    <s v="CUST0201"/>
    <s v="P046"/>
    <n v="4"/>
    <n v="100000"/>
    <n v="400000"/>
    <s v="NONE"/>
    <n v="0"/>
    <n v="25000"/>
    <n v="425000"/>
    <s v="E-Wallet"/>
    <s v="J&amp;T"/>
    <x v="0"/>
    <x v="1"/>
    <s v="Yes"/>
    <n v="400000"/>
    <x v="7"/>
    <x v="3"/>
    <x v="3"/>
    <x v="107"/>
    <x v="1"/>
    <x v="2"/>
    <x v="0"/>
    <n v="400000"/>
  </r>
  <r>
    <x v="304"/>
    <d v="2025-05-17T00:00:00"/>
    <s v="CUST0178"/>
    <s v="P013"/>
    <n v="2"/>
    <n v="75000"/>
    <n v="150000"/>
    <s v="NONE"/>
    <n v="0"/>
    <n v="30000"/>
    <n v="180000"/>
    <s v="Credit Card"/>
    <s v="AnterAja"/>
    <x v="0"/>
    <x v="1"/>
    <s v="Yes"/>
    <n v="150000"/>
    <x v="50"/>
    <x v="2"/>
    <x v="2"/>
    <x v="103"/>
    <x v="0"/>
    <x v="2"/>
    <x v="1"/>
    <n v="150000"/>
  </r>
  <r>
    <x v="305"/>
    <d v="2025-05-17T00:00:00"/>
    <s v="CUST0092"/>
    <s v="P053"/>
    <n v="2"/>
    <n v="75000"/>
    <n v="150000"/>
    <s v="NONE"/>
    <n v="0"/>
    <n v="10000"/>
    <n v="160000"/>
    <s v="E-Wallet"/>
    <s v="SiCepat"/>
    <x v="0"/>
    <x v="1"/>
    <s v="Yes"/>
    <n v="150000"/>
    <x v="27"/>
    <x v="5"/>
    <x v="5"/>
    <x v="204"/>
    <x v="1"/>
    <x v="3"/>
    <x v="2"/>
    <n v="150000"/>
  </r>
  <r>
    <x v="306"/>
    <d v="2025-05-17T00:00:00"/>
    <s v="CUST0191"/>
    <s v="P044"/>
    <n v="2"/>
    <n v="500000"/>
    <n v="1000000"/>
    <s v="NONE"/>
    <n v="0"/>
    <n v="10000"/>
    <n v="1010000"/>
    <s v="Credit Card"/>
    <s v="AnterAja"/>
    <x v="0"/>
    <x v="1"/>
    <s v="Yes"/>
    <n v="1000000"/>
    <x v="47"/>
    <x v="1"/>
    <x v="1"/>
    <x v="176"/>
    <x v="0"/>
    <x v="5"/>
    <x v="1"/>
    <n v="1000000"/>
  </r>
  <r>
    <x v="307"/>
    <d v="2025-05-17T00:00:00"/>
    <s v="CUST0189"/>
    <s v="P016"/>
    <n v="1"/>
    <n v="150000"/>
    <n v="150000"/>
    <s v="NONE"/>
    <n v="0"/>
    <n v="30000"/>
    <n v="180000"/>
    <s v="Credit Card"/>
    <s v="SiCepat"/>
    <x v="0"/>
    <x v="1"/>
    <s v="Yes"/>
    <n v="150000"/>
    <x v="8"/>
    <x v="3"/>
    <x v="3"/>
    <x v="28"/>
    <x v="1"/>
    <x v="7"/>
    <x v="1"/>
    <n v="150000"/>
  </r>
  <r>
    <x v="308"/>
    <d v="2025-05-17T00:00:00"/>
    <s v="CUST0106"/>
    <s v="P051"/>
    <n v="1"/>
    <n v="300000"/>
    <n v="300000"/>
    <s v="NONE"/>
    <n v="0"/>
    <n v="10000"/>
    <n v="310000"/>
    <s v="Credit Card"/>
    <s v="JNE"/>
    <x v="0"/>
    <x v="1"/>
    <s v="Yes"/>
    <n v="300000"/>
    <x v="48"/>
    <x v="4"/>
    <x v="4"/>
    <x v="15"/>
    <x v="1"/>
    <x v="7"/>
    <x v="0"/>
    <n v="300000"/>
  </r>
  <r>
    <x v="309"/>
    <d v="2025-05-16T00:00:00"/>
    <s v="CUST0003"/>
    <s v="P016"/>
    <n v="3"/>
    <n v="150000"/>
    <n v="450000"/>
    <s v="NONE"/>
    <n v="0"/>
    <n v="25000"/>
    <n v="475000"/>
    <s v="E-Wallet"/>
    <s v="AnterAja"/>
    <x v="0"/>
    <x v="1"/>
    <s v="Yes"/>
    <n v="450000"/>
    <x v="8"/>
    <x v="3"/>
    <x v="3"/>
    <x v="30"/>
    <x v="1"/>
    <x v="3"/>
    <x v="2"/>
    <n v="450000"/>
  </r>
  <r>
    <x v="310"/>
    <d v="2025-05-16T00:00:00"/>
    <s v="CUST0072"/>
    <s v="P027"/>
    <n v="3"/>
    <n v="200000"/>
    <n v="600000"/>
    <s v="NONE"/>
    <n v="0"/>
    <n v="20000"/>
    <n v="620000"/>
    <s v="Credit Card"/>
    <s v="J&amp;T"/>
    <x v="2"/>
    <x v="1"/>
    <s v="No"/>
    <n v="600000"/>
    <x v="51"/>
    <x v="4"/>
    <x v="4"/>
    <x v="86"/>
    <x v="1"/>
    <x v="8"/>
    <x v="1"/>
    <n v="0"/>
  </r>
  <r>
    <x v="311"/>
    <d v="2025-05-16T00:00:00"/>
    <s v="CUST0059"/>
    <s v="P001"/>
    <n v="1"/>
    <n v="300000"/>
    <n v="300000"/>
    <s v="DISC10"/>
    <n v="30000"/>
    <n v="20000"/>
    <n v="290000"/>
    <s v="Bank Transfer"/>
    <s v="SiCepat"/>
    <x v="0"/>
    <x v="1"/>
    <s v="Yes"/>
    <n v="270000"/>
    <x v="26"/>
    <x v="2"/>
    <x v="2"/>
    <x v="63"/>
    <x v="0"/>
    <x v="2"/>
    <x v="0"/>
    <n v="270000"/>
  </r>
  <r>
    <x v="312"/>
    <d v="2025-05-15T00:00:00"/>
    <s v="CUST0349"/>
    <s v="P008"/>
    <n v="1"/>
    <n v="150000"/>
    <n v="150000"/>
    <s v="DISC15"/>
    <n v="22500"/>
    <n v="30000"/>
    <n v="157500"/>
    <s v="E-Wallet"/>
    <s v="SiCepat"/>
    <x v="0"/>
    <x v="1"/>
    <s v="Yes"/>
    <n v="127500"/>
    <x v="18"/>
    <x v="1"/>
    <x v="1"/>
    <x v="205"/>
    <x v="0"/>
    <x v="3"/>
    <x v="1"/>
    <n v="127500"/>
  </r>
  <r>
    <x v="313"/>
    <d v="2025-05-15T00:00:00"/>
    <s v="CUST0270"/>
    <s v="P015"/>
    <n v="2"/>
    <n v="500000"/>
    <n v="1000000"/>
    <s v="FLASHSALE"/>
    <n v="200000"/>
    <n v="30000"/>
    <n v="830000"/>
    <s v="Bank Transfer"/>
    <s v="AnterAja"/>
    <x v="2"/>
    <x v="1"/>
    <s v="No"/>
    <n v="800000"/>
    <x v="19"/>
    <x v="4"/>
    <x v="4"/>
    <x v="206"/>
    <x v="0"/>
    <x v="4"/>
    <x v="0"/>
    <n v="0"/>
  </r>
  <r>
    <x v="314"/>
    <d v="2025-05-15T00:00:00"/>
    <s v="CUST0332"/>
    <s v="P049"/>
    <n v="3"/>
    <n v="200000"/>
    <n v="600000"/>
    <s v="NONE"/>
    <n v="0"/>
    <n v="25000"/>
    <n v="625000"/>
    <s v="E-Wallet"/>
    <s v="AnterAja"/>
    <x v="3"/>
    <x v="1"/>
    <s v="No"/>
    <n v="600000"/>
    <x v="17"/>
    <x v="2"/>
    <x v="2"/>
    <x v="18"/>
    <x v="1"/>
    <x v="2"/>
    <x v="1"/>
    <n v="0"/>
  </r>
  <r>
    <x v="315"/>
    <d v="2025-05-15T00:00:00"/>
    <s v="CUST0163"/>
    <s v="P055"/>
    <n v="2"/>
    <n v="300000"/>
    <n v="600000"/>
    <s v="DISC15"/>
    <n v="90000"/>
    <n v="15000"/>
    <n v="525000"/>
    <s v="COD"/>
    <s v="AnterAja"/>
    <x v="2"/>
    <x v="1"/>
    <s v="No"/>
    <n v="510000"/>
    <x v="9"/>
    <x v="2"/>
    <x v="2"/>
    <x v="207"/>
    <x v="0"/>
    <x v="2"/>
    <x v="0"/>
    <n v="0"/>
  </r>
  <r>
    <x v="316"/>
    <d v="2025-05-15T00:00:00"/>
    <s v="CUST0334"/>
    <s v="P043"/>
    <n v="2"/>
    <n v="50000"/>
    <n v="100000"/>
    <s v="DISC10"/>
    <n v="10000"/>
    <n v="25000"/>
    <n v="115000"/>
    <s v="COD"/>
    <s v="J&amp;T"/>
    <x v="0"/>
    <x v="1"/>
    <s v="Yes"/>
    <n v="90000"/>
    <x v="25"/>
    <x v="2"/>
    <x v="2"/>
    <x v="208"/>
    <x v="0"/>
    <x v="0"/>
    <x v="1"/>
    <n v="90000"/>
  </r>
  <r>
    <x v="317"/>
    <d v="2025-05-15T00:00:00"/>
    <s v="CUST0271"/>
    <s v="P060"/>
    <n v="1"/>
    <n v="150000"/>
    <n v="150000"/>
    <s v="NONE"/>
    <n v="0"/>
    <n v="10000"/>
    <n v="160000"/>
    <s v="E-Wallet"/>
    <s v="AnterAja"/>
    <x v="0"/>
    <x v="1"/>
    <s v="Yes"/>
    <n v="150000"/>
    <x v="0"/>
    <x v="0"/>
    <x v="0"/>
    <x v="209"/>
    <x v="1"/>
    <x v="6"/>
    <x v="0"/>
    <n v="150000"/>
  </r>
  <r>
    <x v="318"/>
    <d v="2025-05-15T00:00:00"/>
    <s v="CUST0207"/>
    <s v="P024"/>
    <n v="1"/>
    <n v="500000"/>
    <n v="500000"/>
    <s v="FLASHSALE"/>
    <n v="100000"/>
    <n v="10000"/>
    <n v="410000"/>
    <s v="E-Wallet"/>
    <s v="JNE"/>
    <x v="2"/>
    <x v="1"/>
    <s v="No"/>
    <n v="400000"/>
    <x v="43"/>
    <x v="0"/>
    <x v="0"/>
    <x v="182"/>
    <x v="0"/>
    <x v="8"/>
    <x v="1"/>
    <n v="0"/>
  </r>
  <r>
    <x v="319"/>
    <d v="2025-05-14T00:00:00"/>
    <s v="CUST0107"/>
    <s v="P025"/>
    <n v="4"/>
    <n v="100000"/>
    <n v="400000"/>
    <s v="NEWUSER"/>
    <n v="40000"/>
    <n v="15000"/>
    <n v="375000"/>
    <s v="E-Wallet"/>
    <s v="J&amp;T"/>
    <x v="0"/>
    <x v="1"/>
    <s v="Yes"/>
    <n v="360000"/>
    <x v="53"/>
    <x v="2"/>
    <x v="2"/>
    <x v="8"/>
    <x v="0"/>
    <x v="2"/>
    <x v="1"/>
    <n v="360000"/>
  </r>
  <r>
    <x v="320"/>
    <d v="2025-05-14T00:00:00"/>
    <s v="CUST0207"/>
    <s v="P027"/>
    <n v="1"/>
    <n v="200000"/>
    <n v="200000"/>
    <s v="NONE"/>
    <n v="0"/>
    <n v="25000"/>
    <n v="225000"/>
    <s v="Credit Card"/>
    <s v="J&amp;T"/>
    <x v="0"/>
    <x v="1"/>
    <s v="Yes"/>
    <n v="200000"/>
    <x v="51"/>
    <x v="4"/>
    <x v="4"/>
    <x v="182"/>
    <x v="0"/>
    <x v="8"/>
    <x v="1"/>
    <n v="200000"/>
  </r>
  <r>
    <x v="321"/>
    <d v="2025-05-14T00:00:00"/>
    <s v="CUST0070"/>
    <s v="P044"/>
    <n v="3"/>
    <n v="500000"/>
    <n v="1500000"/>
    <s v="FLASHSALE"/>
    <n v="300000"/>
    <n v="10000"/>
    <n v="1210000"/>
    <s v="E-Wallet"/>
    <s v="J&amp;T"/>
    <x v="0"/>
    <x v="1"/>
    <s v="Yes"/>
    <n v="1200000"/>
    <x v="47"/>
    <x v="1"/>
    <x v="1"/>
    <x v="210"/>
    <x v="0"/>
    <x v="5"/>
    <x v="1"/>
    <n v="1200000"/>
  </r>
  <r>
    <x v="322"/>
    <d v="2025-05-14T00:00:00"/>
    <s v="CUST0022"/>
    <s v="P041"/>
    <n v="1"/>
    <n v="75000"/>
    <n v="75000"/>
    <s v="NONE"/>
    <n v="0"/>
    <n v="30000"/>
    <n v="105000"/>
    <s v="E-Wallet"/>
    <s v="SiCepat"/>
    <x v="0"/>
    <x v="1"/>
    <s v="Yes"/>
    <n v="75000"/>
    <x v="15"/>
    <x v="5"/>
    <x v="5"/>
    <x v="54"/>
    <x v="0"/>
    <x v="8"/>
    <x v="0"/>
    <n v="75000"/>
  </r>
  <r>
    <x v="323"/>
    <d v="2025-05-14T00:00:00"/>
    <s v="CUST0211"/>
    <s v="P048"/>
    <n v="3"/>
    <n v="300000"/>
    <n v="900000"/>
    <s v="DISC15"/>
    <n v="135000"/>
    <n v="30000"/>
    <n v="795000"/>
    <s v="E-Wallet"/>
    <s v="AnterAja"/>
    <x v="0"/>
    <x v="1"/>
    <s v="Yes"/>
    <n v="765000"/>
    <x v="21"/>
    <x v="0"/>
    <x v="0"/>
    <x v="171"/>
    <x v="0"/>
    <x v="2"/>
    <x v="1"/>
    <n v="765000"/>
  </r>
  <r>
    <x v="324"/>
    <d v="2025-05-14T00:00:00"/>
    <s v="CUST0166"/>
    <s v="P026"/>
    <n v="1"/>
    <n v="200000"/>
    <n v="200000"/>
    <s v="NONE"/>
    <n v="0"/>
    <n v="20000"/>
    <n v="220000"/>
    <s v="E-Wallet"/>
    <s v="SiCepat"/>
    <x v="0"/>
    <x v="1"/>
    <s v="Yes"/>
    <n v="200000"/>
    <x v="3"/>
    <x v="1"/>
    <x v="1"/>
    <x v="211"/>
    <x v="0"/>
    <x v="7"/>
    <x v="1"/>
    <n v="200000"/>
  </r>
  <r>
    <x v="325"/>
    <d v="2025-05-14T00:00:00"/>
    <s v="CUST0129"/>
    <s v="P008"/>
    <n v="1"/>
    <n v="150000"/>
    <n v="150000"/>
    <s v="NEWUSER"/>
    <n v="15000"/>
    <n v="10000"/>
    <n v="145000"/>
    <s v="Bank Transfer"/>
    <s v="JNE"/>
    <x v="2"/>
    <x v="1"/>
    <s v="No"/>
    <n v="135000"/>
    <x v="18"/>
    <x v="1"/>
    <x v="1"/>
    <x v="212"/>
    <x v="1"/>
    <x v="2"/>
    <x v="2"/>
    <n v="0"/>
  </r>
  <r>
    <x v="326"/>
    <d v="2025-05-13T00:00:00"/>
    <s v="CUST0274"/>
    <s v="P038"/>
    <n v="3"/>
    <n v="35000"/>
    <n v="105000"/>
    <s v="NONE"/>
    <n v="0"/>
    <n v="15000"/>
    <n v="120000"/>
    <s v="E-Wallet"/>
    <s v="SiCepat"/>
    <x v="0"/>
    <x v="1"/>
    <s v="Yes"/>
    <n v="105000"/>
    <x v="46"/>
    <x v="1"/>
    <x v="1"/>
    <x v="59"/>
    <x v="1"/>
    <x v="2"/>
    <x v="0"/>
    <n v="105000"/>
  </r>
  <r>
    <x v="327"/>
    <d v="2025-05-13T00:00:00"/>
    <s v="CUST0042"/>
    <s v="P007"/>
    <n v="1"/>
    <n v="150000"/>
    <n v="150000"/>
    <s v="NONE"/>
    <n v="0"/>
    <n v="10000"/>
    <n v="160000"/>
    <s v="Bank Transfer"/>
    <s v="J&amp;T"/>
    <x v="0"/>
    <x v="1"/>
    <s v="Yes"/>
    <n v="150000"/>
    <x v="52"/>
    <x v="2"/>
    <x v="2"/>
    <x v="73"/>
    <x v="0"/>
    <x v="1"/>
    <x v="1"/>
    <n v="150000"/>
  </r>
  <r>
    <x v="328"/>
    <d v="2025-05-13T00:00:00"/>
    <s v="CUST0069"/>
    <s v="P031"/>
    <n v="2"/>
    <n v="150000"/>
    <n v="300000"/>
    <s v="DISC10"/>
    <n v="30000"/>
    <n v="15000"/>
    <n v="285000"/>
    <s v="Bank Transfer"/>
    <s v="J&amp;T"/>
    <x v="3"/>
    <x v="1"/>
    <s v="No"/>
    <n v="270000"/>
    <x v="20"/>
    <x v="2"/>
    <x v="2"/>
    <x v="118"/>
    <x v="0"/>
    <x v="2"/>
    <x v="2"/>
    <n v="0"/>
  </r>
  <r>
    <x v="329"/>
    <d v="2025-05-13T00:00:00"/>
    <s v="CUST0071"/>
    <s v="P019"/>
    <n v="1"/>
    <n v="500000"/>
    <n v="500000"/>
    <s v="NONE"/>
    <n v="0"/>
    <n v="25000"/>
    <n v="525000"/>
    <s v="E-Wallet"/>
    <s v="SiCepat"/>
    <x v="0"/>
    <x v="1"/>
    <s v="Yes"/>
    <n v="500000"/>
    <x v="23"/>
    <x v="2"/>
    <x v="2"/>
    <x v="117"/>
    <x v="0"/>
    <x v="2"/>
    <x v="1"/>
    <n v="500000"/>
  </r>
  <r>
    <x v="330"/>
    <d v="2025-05-12T00:00:00"/>
    <s v="CUST0104"/>
    <s v="P035"/>
    <n v="1"/>
    <n v="200000"/>
    <n v="200000"/>
    <s v="DISC15"/>
    <n v="30000"/>
    <n v="20000"/>
    <n v="190000"/>
    <s v="E-Wallet"/>
    <s v="JNE"/>
    <x v="0"/>
    <x v="1"/>
    <s v="Yes"/>
    <n v="170000"/>
    <x v="41"/>
    <x v="5"/>
    <x v="5"/>
    <x v="62"/>
    <x v="0"/>
    <x v="0"/>
    <x v="1"/>
    <n v="170000"/>
  </r>
  <r>
    <x v="331"/>
    <d v="2025-05-12T00:00:00"/>
    <s v="CUST0218"/>
    <s v="P004"/>
    <n v="1"/>
    <n v="300000"/>
    <n v="300000"/>
    <s v="DISC10"/>
    <n v="30000"/>
    <n v="30000"/>
    <n v="300000"/>
    <s v="E-Wallet"/>
    <s v="JNE"/>
    <x v="0"/>
    <x v="1"/>
    <s v="Yes"/>
    <n v="270000"/>
    <x v="22"/>
    <x v="3"/>
    <x v="3"/>
    <x v="146"/>
    <x v="0"/>
    <x v="2"/>
    <x v="1"/>
    <n v="270000"/>
  </r>
  <r>
    <x v="332"/>
    <d v="2025-05-12T00:00:00"/>
    <s v="CUST0338"/>
    <s v="P005"/>
    <n v="1"/>
    <n v="75000"/>
    <n v="75000"/>
    <s v="NONE"/>
    <n v="0"/>
    <n v="30000"/>
    <n v="105000"/>
    <s v="Credit Card"/>
    <s v="J&amp;T"/>
    <x v="4"/>
    <x v="1"/>
    <s v="No"/>
    <n v="75000"/>
    <x v="12"/>
    <x v="5"/>
    <x v="5"/>
    <x v="37"/>
    <x v="0"/>
    <x v="3"/>
    <x v="1"/>
    <n v="0"/>
  </r>
  <r>
    <x v="333"/>
    <d v="2025-05-12T00:00:00"/>
    <s v="CUST0197"/>
    <s v="P030"/>
    <n v="2"/>
    <n v="100000"/>
    <n v="200000"/>
    <s v="DISC10"/>
    <n v="20000"/>
    <n v="30000"/>
    <n v="210000"/>
    <s v="Bank Transfer"/>
    <s v="AnterAja"/>
    <x v="1"/>
    <x v="1"/>
    <s v="No"/>
    <n v="180000"/>
    <x v="33"/>
    <x v="0"/>
    <x v="0"/>
    <x v="106"/>
    <x v="1"/>
    <x v="3"/>
    <x v="1"/>
    <n v="0"/>
  </r>
  <r>
    <x v="334"/>
    <d v="2025-05-12T00:00:00"/>
    <s v="CUST0214"/>
    <s v="P050"/>
    <n v="3"/>
    <n v="200000"/>
    <n v="600000"/>
    <s v="DISC10"/>
    <n v="60000"/>
    <n v="15000"/>
    <n v="555000"/>
    <s v="COD"/>
    <s v="SiCepat"/>
    <x v="0"/>
    <x v="1"/>
    <s v="Yes"/>
    <n v="540000"/>
    <x v="34"/>
    <x v="1"/>
    <x v="1"/>
    <x v="213"/>
    <x v="0"/>
    <x v="3"/>
    <x v="1"/>
    <n v="540000"/>
  </r>
  <r>
    <x v="335"/>
    <d v="2025-05-12T00:00:00"/>
    <s v="CUST0121"/>
    <s v="P005"/>
    <n v="3"/>
    <n v="75000"/>
    <n v="225000"/>
    <s v="NONE"/>
    <n v="0"/>
    <n v="15000"/>
    <n v="240000"/>
    <s v="COD"/>
    <s v="AnterAja"/>
    <x v="0"/>
    <x v="1"/>
    <s v="Yes"/>
    <n v="225000"/>
    <x v="12"/>
    <x v="5"/>
    <x v="5"/>
    <x v="214"/>
    <x v="1"/>
    <x v="9"/>
    <x v="1"/>
    <n v="225000"/>
  </r>
  <r>
    <x v="336"/>
    <d v="2025-05-11T00:00:00"/>
    <s v="CUST0257"/>
    <s v="P058"/>
    <n v="2"/>
    <n v="35000"/>
    <n v="70000"/>
    <s v="NONE"/>
    <n v="0"/>
    <n v="10000"/>
    <n v="80000"/>
    <s v="Credit Card"/>
    <s v="SiCepat"/>
    <x v="2"/>
    <x v="1"/>
    <s v="No"/>
    <n v="70000"/>
    <x v="24"/>
    <x v="3"/>
    <x v="3"/>
    <x v="215"/>
    <x v="1"/>
    <x v="6"/>
    <x v="0"/>
    <n v="0"/>
  </r>
  <r>
    <x v="337"/>
    <d v="2025-05-11T00:00:00"/>
    <s v="CUST0275"/>
    <s v="P009"/>
    <n v="2"/>
    <n v="300000"/>
    <n v="600000"/>
    <s v="DISC10"/>
    <n v="60000"/>
    <n v="25000"/>
    <n v="565000"/>
    <s v="COD"/>
    <s v="SiCepat"/>
    <x v="0"/>
    <x v="1"/>
    <s v="Yes"/>
    <n v="540000"/>
    <x v="45"/>
    <x v="4"/>
    <x v="4"/>
    <x v="216"/>
    <x v="0"/>
    <x v="2"/>
    <x v="1"/>
    <n v="540000"/>
  </r>
  <r>
    <x v="338"/>
    <d v="2025-05-11T00:00:00"/>
    <s v="CUST0277"/>
    <s v="P035"/>
    <n v="1"/>
    <n v="200000"/>
    <n v="200000"/>
    <s v="DISC10"/>
    <n v="20000"/>
    <n v="25000"/>
    <n v="205000"/>
    <s v="Credit Card"/>
    <s v="JNE"/>
    <x v="0"/>
    <x v="1"/>
    <s v="Yes"/>
    <n v="180000"/>
    <x v="41"/>
    <x v="5"/>
    <x v="5"/>
    <x v="217"/>
    <x v="1"/>
    <x v="2"/>
    <x v="1"/>
    <n v="180000"/>
  </r>
  <r>
    <x v="339"/>
    <d v="2025-05-11T00:00:00"/>
    <s v="CUST0076"/>
    <s v="P039"/>
    <n v="2"/>
    <n v="35000"/>
    <n v="70000"/>
    <s v="NEWUSER"/>
    <n v="7000"/>
    <n v="10000"/>
    <n v="73000"/>
    <s v="E-Wallet"/>
    <s v="SiCepat"/>
    <x v="0"/>
    <x v="1"/>
    <s v="Yes"/>
    <n v="63000"/>
    <x v="11"/>
    <x v="4"/>
    <x v="4"/>
    <x v="150"/>
    <x v="1"/>
    <x v="0"/>
    <x v="1"/>
    <n v="63000"/>
  </r>
  <r>
    <x v="340"/>
    <d v="2025-05-11T00:00:00"/>
    <s v="CUST0212"/>
    <s v="P034"/>
    <n v="1"/>
    <n v="50000"/>
    <n v="50000"/>
    <s v="FLASHSALE"/>
    <n v="10000"/>
    <n v="20000"/>
    <n v="60000"/>
    <s v="Credit Card"/>
    <s v="JNE"/>
    <x v="0"/>
    <x v="1"/>
    <s v="Yes"/>
    <n v="40000"/>
    <x v="42"/>
    <x v="3"/>
    <x v="3"/>
    <x v="218"/>
    <x v="0"/>
    <x v="2"/>
    <x v="0"/>
    <n v="40000"/>
  </r>
  <r>
    <x v="341"/>
    <d v="2025-05-11T00:00:00"/>
    <s v="CUST0291"/>
    <s v="P052"/>
    <n v="4"/>
    <n v="200000"/>
    <n v="800000"/>
    <s v="NONE"/>
    <n v="0"/>
    <n v="25000"/>
    <n v="825000"/>
    <s v="COD"/>
    <s v="J&amp;T"/>
    <x v="4"/>
    <x v="1"/>
    <s v="No"/>
    <n v="800000"/>
    <x v="56"/>
    <x v="3"/>
    <x v="3"/>
    <x v="219"/>
    <x v="0"/>
    <x v="5"/>
    <x v="1"/>
    <n v="0"/>
  </r>
  <r>
    <x v="342"/>
    <d v="2025-05-11T00:00:00"/>
    <s v="CUST0228"/>
    <s v="P027"/>
    <n v="2"/>
    <n v="200000"/>
    <n v="400000"/>
    <s v="NONE"/>
    <n v="0"/>
    <n v="25000"/>
    <n v="425000"/>
    <s v="E-Wallet"/>
    <s v="JNE"/>
    <x v="0"/>
    <x v="1"/>
    <s v="Yes"/>
    <n v="400000"/>
    <x v="51"/>
    <x v="4"/>
    <x v="4"/>
    <x v="26"/>
    <x v="1"/>
    <x v="1"/>
    <x v="1"/>
    <n v="400000"/>
  </r>
  <r>
    <x v="343"/>
    <d v="2025-05-10T00:00:00"/>
    <s v="CUST0195"/>
    <s v="P023"/>
    <n v="4"/>
    <n v="50000"/>
    <n v="200000"/>
    <s v="DISC15"/>
    <n v="30000"/>
    <n v="10000"/>
    <n v="180000"/>
    <s v="Credit Card"/>
    <s v="J&amp;T"/>
    <x v="0"/>
    <x v="1"/>
    <s v="Yes"/>
    <n v="170000"/>
    <x v="14"/>
    <x v="5"/>
    <x v="5"/>
    <x v="91"/>
    <x v="1"/>
    <x v="3"/>
    <x v="0"/>
    <n v="170000"/>
  </r>
  <r>
    <x v="344"/>
    <d v="2025-05-10T00:00:00"/>
    <s v="CUST0062"/>
    <s v="P049"/>
    <n v="1"/>
    <n v="200000"/>
    <n v="200000"/>
    <s v="NONE"/>
    <n v="0"/>
    <n v="10000"/>
    <n v="210000"/>
    <s v="COD"/>
    <s v="JNE"/>
    <x v="0"/>
    <x v="1"/>
    <s v="Yes"/>
    <n v="200000"/>
    <x v="17"/>
    <x v="2"/>
    <x v="2"/>
    <x v="220"/>
    <x v="1"/>
    <x v="3"/>
    <x v="0"/>
    <n v="200000"/>
  </r>
  <r>
    <x v="345"/>
    <d v="2025-05-10T00:00:00"/>
    <s v="CUST0094"/>
    <s v="P030"/>
    <n v="2"/>
    <n v="100000"/>
    <n v="200000"/>
    <s v="NONE"/>
    <n v="0"/>
    <n v="15000"/>
    <n v="215000"/>
    <s v="Credit Card"/>
    <s v="AnterAja"/>
    <x v="2"/>
    <x v="1"/>
    <s v="No"/>
    <n v="200000"/>
    <x v="33"/>
    <x v="0"/>
    <x v="0"/>
    <x v="221"/>
    <x v="1"/>
    <x v="5"/>
    <x v="1"/>
    <n v="0"/>
  </r>
  <r>
    <x v="346"/>
    <d v="2025-05-10T00:00:00"/>
    <s v="CUST0224"/>
    <s v="P016"/>
    <n v="1"/>
    <n v="150000"/>
    <n v="150000"/>
    <s v="NONE"/>
    <n v="0"/>
    <n v="15000"/>
    <n v="165000"/>
    <s v="Bank Transfer"/>
    <s v="JNE"/>
    <x v="0"/>
    <x v="1"/>
    <s v="Yes"/>
    <n v="150000"/>
    <x v="8"/>
    <x v="3"/>
    <x v="3"/>
    <x v="222"/>
    <x v="1"/>
    <x v="1"/>
    <x v="0"/>
    <n v="150000"/>
  </r>
  <r>
    <x v="347"/>
    <d v="2025-05-10T00:00:00"/>
    <s v="CUST0153"/>
    <s v="P013"/>
    <n v="1"/>
    <n v="75000"/>
    <n v="75000"/>
    <s v="NONE"/>
    <n v="0"/>
    <n v="20000"/>
    <n v="95000"/>
    <s v="Bank Transfer"/>
    <s v="J&amp;T"/>
    <x v="0"/>
    <x v="1"/>
    <s v="Yes"/>
    <n v="75000"/>
    <x v="50"/>
    <x v="2"/>
    <x v="2"/>
    <x v="223"/>
    <x v="1"/>
    <x v="2"/>
    <x v="1"/>
    <n v="75000"/>
  </r>
  <r>
    <x v="348"/>
    <d v="2025-05-10T00:00:00"/>
    <s v="CUST0127"/>
    <s v="P036"/>
    <n v="1"/>
    <n v="150000"/>
    <n v="150000"/>
    <s v="NONE"/>
    <n v="0"/>
    <n v="15000"/>
    <n v="165000"/>
    <s v="E-Wallet"/>
    <s v="SiCepat"/>
    <x v="4"/>
    <x v="1"/>
    <s v="No"/>
    <n v="150000"/>
    <x v="2"/>
    <x v="0"/>
    <x v="0"/>
    <x v="224"/>
    <x v="0"/>
    <x v="9"/>
    <x v="0"/>
    <n v="0"/>
  </r>
  <r>
    <x v="349"/>
    <d v="2025-05-10T00:00:00"/>
    <s v="CUST0213"/>
    <s v="P020"/>
    <n v="2"/>
    <n v="75000"/>
    <n v="150000"/>
    <s v="FLASHSALE"/>
    <n v="30000"/>
    <n v="25000"/>
    <n v="145000"/>
    <s v="Credit Card"/>
    <s v="SiCepat"/>
    <x v="4"/>
    <x v="1"/>
    <s v="No"/>
    <n v="120000"/>
    <x v="6"/>
    <x v="1"/>
    <x v="1"/>
    <x v="191"/>
    <x v="0"/>
    <x v="5"/>
    <x v="1"/>
    <n v="0"/>
  </r>
  <r>
    <x v="350"/>
    <d v="2025-05-10T00:00:00"/>
    <s v="CUST0283"/>
    <s v="P010"/>
    <n v="1"/>
    <n v="50000"/>
    <n v="50000"/>
    <s v="DISC10"/>
    <n v="5000"/>
    <n v="30000"/>
    <n v="75000"/>
    <s v="Bank Transfer"/>
    <s v="SiCepat"/>
    <x v="0"/>
    <x v="1"/>
    <s v="Yes"/>
    <n v="45000"/>
    <x v="13"/>
    <x v="3"/>
    <x v="3"/>
    <x v="225"/>
    <x v="1"/>
    <x v="2"/>
    <x v="1"/>
    <n v="45000"/>
  </r>
  <r>
    <x v="351"/>
    <d v="2025-05-10T00:00:00"/>
    <s v="CUST0043"/>
    <s v="P008"/>
    <n v="2"/>
    <n v="150000"/>
    <n v="300000"/>
    <s v="NONE"/>
    <n v="0"/>
    <n v="15000"/>
    <n v="315000"/>
    <s v="E-Wallet"/>
    <s v="SiCepat"/>
    <x v="0"/>
    <x v="1"/>
    <s v="Yes"/>
    <n v="300000"/>
    <x v="18"/>
    <x v="1"/>
    <x v="1"/>
    <x v="226"/>
    <x v="0"/>
    <x v="0"/>
    <x v="1"/>
    <n v="300000"/>
  </r>
  <r>
    <x v="352"/>
    <d v="2025-05-09T00:00:00"/>
    <s v="CUST0280"/>
    <s v="P057"/>
    <n v="2"/>
    <n v="500000"/>
    <n v="1000000"/>
    <s v="NONE"/>
    <n v="0"/>
    <n v="10000"/>
    <n v="1010000"/>
    <s v="Bank Transfer"/>
    <s v="AnterAja"/>
    <x v="2"/>
    <x v="1"/>
    <s v="No"/>
    <n v="1000000"/>
    <x v="44"/>
    <x v="4"/>
    <x v="4"/>
    <x v="164"/>
    <x v="0"/>
    <x v="4"/>
    <x v="0"/>
    <n v="0"/>
  </r>
  <r>
    <x v="353"/>
    <d v="2025-05-09T00:00:00"/>
    <s v="CUST0196"/>
    <s v="P012"/>
    <n v="2"/>
    <n v="300000"/>
    <n v="600000"/>
    <s v="NONE"/>
    <n v="0"/>
    <n v="15000"/>
    <n v="615000"/>
    <s v="E-Wallet"/>
    <s v="JNE"/>
    <x v="0"/>
    <x v="1"/>
    <s v="Yes"/>
    <n v="600000"/>
    <x v="40"/>
    <x v="0"/>
    <x v="0"/>
    <x v="227"/>
    <x v="1"/>
    <x v="1"/>
    <x v="1"/>
    <n v="600000"/>
  </r>
  <r>
    <x v="354"/>
    <d v="2025-05-09T00:00:00"/>
    <s v="CUST0273"/>
    <s v="P024"/>
    <n v="1"/>
    <n v="500000"/>
    <n v="500000"/>
    <s v="NONE"/>
    <n v="0"/>
    <n v="20000"/>
    <n v="520000"/>
    <s v="COD"/>
    <s v="SiCepat"/>
    <x v="0"/>
    <x v="1"/>
    <s v="Yes"/>
    <n v="500000"/>
    <x v="43"/>
    <x v="0"/>
    <x v="0"/>
    <x v="173"/>
    <x v="0"/>
    <x v="1"/>
    <x v="2"/>
    <n v="500000"/>
  </r>
  <r>
    <x v="355"/>
    <d v="2025-05-09T00:00:00"/>
    <s v="CUST0335"/>
    <s v="P032"/>
    <n v="2"/>
    <n v="35000"/>
    <n v="70000"/>
    <s v="DISC15"/>
    <n v="10500"/>
    <n v="20000"/>
    <n v="79500"/>
    <s v="Bank Transfer"/>
    <s v="AnterAja"/>
    <x v="0"/>
    <x v="1"/>
    <s v="Yes"/>
    <n v="59500"/>
    <x v="29"/>
    <x v="1"/>
    <x v="1"/>
    <x v="68"/>
    <x v="1"/>
    <x v="1"/>
    <x v="0"/>
    <n v="59500"/>
  </r>
  <r>
    <x v="356"/>
    <d v="2025-05-09T00:00:00"/>
    <s v="CUST0060"/>
    <s v="P043"/>
    <n v="2"/>
    <n v="50000"/>
    <n v="100000"/>
    <s v="NEWUSER"/>
    <n v="10000"/>
    <n v="30000"/>
    <n v="120000"/>
    <s v="COD"/>
    <s v="AnterAja"/>
    <x v="0"/>
    <x v="1"/>
    <s v="Yes"/>
    <n v="90000"/>
    <x v="25"/>
    <x v="2"/>
    <x v="2"/>
    <x v="80"/>
    <x v="1"/>
    <x v="0"/>
    <x v="1"/>
    <n v="90000"/>
  </r>
  <r>
    <x v="357"/>
    <d v="2025-05-08T00:00:00"/>
    <s v="CUST0229"/>
    <s v="P047"/>
    <n v="1"/>
    <n v="500000"/>
    <n v="500000"/>
    <s v="DISC15"/>
    <n v="75000"/>
    <n v="10000"/>
    <n v="435000"/>
    <s v="COD"/>
    <s v="AnterAja"/>
    <x v="0"/>
    <x v="1"/>
    <s v="Yes"/>
    <n v="425000"/>
    <x v="49"/>
    <x v="5"/>
    <x v="5"/>
    <x v="228"/>
    <x v="1"/>
    <x v="6"/>
    <x v="1"/>
    <n v="425000"/>
  </r>
  <r>
    <x v="358"/>
    <d v="2025-05-08T00:00:00"/>
    <s v="CUST0020"/>
    <s v="P024"/>
    <n v="1"/>
    <n v="500000"/>
    <n v="500000"/>
    <s v="NONE"/>
    <n v="0"/>
    <n v="20000"/>
    <n v="520000"/>
    <s v="E-Wallet"/>
    <s v="JNE"/>
    <x v="0"/>
    <x v="1"/>
    <s v="Yes"/>
    <n v="500000"/>
    <x v="43"/>
    <x v="0"/>
    <x v="0"/>
    <x v="123"/>
    <x v="0"/>
    <x v="3"/>
    <x v="1"/>
    <n v="500000"/>
  </r>
  <r>
    <x v="359"/>
    <d v="2025-05-08T00:00:00"/>
    <s v="CUST0179"/>
    <s v="P021"/>
    <n v="1"/>
    <n v="200000"/>
    <n v="200000"/>
    <s v="DISC15"/>
    <n v="30000"/>
    <n v="10000"/>
    <n v="180000"/>
    <s v="E-Wallet"/>
    <s v="JNE"/>
    <x v="2"/>
    <x v="1"/>
    <s v="No"/>
    <n v="170000"/>
    <x v="32"/>
    <x v="4"/>
    <x v="4"/>
    <x v="105"/>
    <x v="1"/>
    <x v="3"/>
    <x v="1"/>
    <n v="0"/>
  </r>
  <r>
    <x v="360"/>
    <d v="2025-05-08T00:00:00"/>
    <s v="CUST0170"/>
    <s v="P029"/>
    <n v="4"/>
    <n v="500000"/>
    <n v="2000000"/>
    <s v="DISC15"/>
    <n v="300000"/>
    <n v="15000"/>
    <n v="1715000"/>
    <s v="Bank Transfer"/>
    <s v="JNE"/>
    <x v="2"/>
    <x v="1"/>
    <s v="No"/>
    <n v="1700000"/>
    <x v="35"/>
    <x v="5"/>
    <x v="5"/>
    <x v="2"/>
    <x v="1"/>
    <x v="2"/>
    <x v="1"/>
    <n v="0"/>
  </r>
  <r>
    <x v="361"/>
    <d v="2025-05-08T00:00:00"/>
    <s v="CUST0287"/>
    <s v="P055"/>
    <n v="2"/>
    <n v="300000"/>
    <n v="600000"/>
    <s v="NONE"/>
    <n v="0"/>
    <n v="20000"/>
    <n v="620000"/>
    <s v="E-Wallet"/>
    <s v="J&amp;T"/>
    <x v="0"/>
    <x v="1"/>
    <s v="Yes"/>
    <n v="600000"/>
    <x v="9"/>
    <x v="2"/>
    <x v="2"/>
    <x v="229"/>
    <x v="1"/>
    <x v="4"/>
    <x v="1"/>
    <n v="600000"/>
  </r>
  <r>
    <x v="362"/>
    <d v="2025-05-08T00:00:00"/>
    <s v="CUST0210"/>
    <s v="P030"/>
    <n v="1"/>
    <n v="100000"/>
    <n v="100000"/>
    <s v="DISC10"/>
    <n v="10000"/>
    <n v="20000"/>
    <n v="110000"/>
    <s v="Bank Transfer"/>
    <s v="AnterAja"/>
    <x v="0"/>
    <x v="1"/>
    <s v="Yes"/>
    <n v="90000"/>
    <x v="33"/>
    <x v="0"/>
    <x v="0"/>
    <x v="230"/>
    <x v="1"/>
    <x v="2"/>
    <x v="0"/>
    <n v="90000"/>
  </r>
  <r>
    <x v="363"/>
    <d v="2025-05-08T00:00:00"/>
    <s v="CUST0256"/>
    <s v="P051"/>
    <n v="3"/>
    <n v="300000"/>
    <n v="900000"/>
    <s v="NONE"/>
    <n v="0"/>
    <n v="15000"/>
    <n v="915000"/>
    <s v="Bank Transfer"/>
    <s v="AnterAja"/>
    <x v="0"/>
    <x v="1"/>
    <s v="Yes"/>
    <n v="900000"/>
    <x v="48"/>
    <x v="4"/>
    <x v="4"/>
    <x v="231"/>
    <x v="0"/>
    <x v="3"/>
    <x v="1"/>
    <n v="900000"/>
  </r>
  <r>
    <x v="364"/>
    <d v="2025-05-07T00:00:00"/>
    <s v="CUST0080"/>
    <s v="P007"/>
    <n v="1"/>
    <n v="150000"/>
    <n v="150000"/>
    <s v="NONE"/>
    <n v="0"/>
    <n v="30000"/>
    <n v="180000"/>
    <s v="E-Wallet"/>
    <s v="AnterAja"/>
    <x v="0"/>
    <x v="1"/>
    <s v="Yes"/>
    <n v="150000"/>
    <x v="52"/>
    <x v="2"/>
    <x v="2"/>
    <x v="77"/>
    <x v="1"/>
    <x v="2"/>
    <x v="0"/>
    <n v="150000"/>
  </r>
  <r>
    <x v="365"/>
    <d v="2025-05-07T00:00:00"/>
    <s v="CUST0193"/>
    <s v="P051"/>
    <n v="3"/>
    <n v="300000"/>
    <n v="900000"/>
    <s v="NONE"/>
    <n v="0"/>
    <n v="30000"/>
    <n v="930000"/>
    <s v="E-Wallet"/>
    <s v="JNE"/>
    <x v="0"/>
    <x v="1"/>
    <s v="Yes"/>
    <n v="900000"/>
    <x v="48"/>
    <x v="4"/>
    <x v="4"/>
    <x v="39"/>
    <x v="0"/>
    <x v="8"/>
    <x v="2"/>
    <n v="900000"/>
  </r>
  <r>
    <x v="366"/>
    <d v="2025-05-06T00:00:00"/>
    <s v="CUST0047"/>
    <s v="P054"/>
    <n v="2"/>
    <n v="100000"/>
    <n v="200000"/>
    <s v="DISC10"/>
    <n v="20000"/>
    <n v="10000"/>
    <n v="190000"/>
    <s v="Credit Card"/>
    <s v="JNE"/>
    <x v="3"/>
    <x v="1"/>
    <s v="No"/>
    <n v="180000"/>
    <x v="5"/>
    <x v="0"/>
    <x v="0"/>
    <x v="232"/>
    <x v="0"/>
    <x v="9"/>
    <x v="2"/>
    <n v="0"/>
  </r>
  <r>
    <x v="367"/>
    <d v="2025-05-06T00:00:00"/>
    <s v="CUST0236"/>
    <s v="P056"/>
    <n v="2"/>
    <n v="100000"/>
    <n v="200000"/>
    <s v="DISC10"/>
    <n v="20000"/>
    <n v="20000"/>
    <n v="200000"/>
    <s v="COD"/>
    <s v="JNE"/>
    <x v="2"/>
    <x v="1"/>
    <s v="No"/>
    <n v="180000"/>
    <x v="54"/>
    <x v="1"/>
    <x v="1"/>
    <x v="233"/>
    <x v="0"/>
    <x v="8"/>
    <x v="1"/>
    <n v="0"/>
  </r>
  <r>
    <x v="368"/>
    <d v="2025-05-06T00:00:00"/>
    <s v="CUST0236"/>
    <s v="P020"/>
    <n v="2"/>
    <n v="75000"/>
    <n v="150000"/>
    <s v="NONE"/>
    <n v="0"/>
    <n v="30000"/>
    <n v="180000"/>
    <s v="Bank Transfer"/>
    <s v="AnterAja"/>
    <x v="0"/>
    <x v="1"/>
    <s v="Yes"/>
    <n v="150000"/>
    <x v="6"/>
    <x v="1"/>
    <x v="1"/>
    <x v="233"/>
    <x v="0"/>
    <x v="8"/>
    <x v="1"/>
    <n v="150000"/>
  </r>
  <r>
    <x v="369"/>
    <d v="2025-05-06T00:00:00"/>
    <s v="CUST0313"/>
    <s v="P017"/>
    <n v="1"/>
    <n v="100000"/>
    <n v="100000"/>
    <s v="NONE"/>
    <n v="0"/>
    <n v="25000"/>
    <n v="125000"/>
    <s v="Bank Transfer"/>
    <s v="JNE"/>
    <x v="1"/>
    <x v="1"/>
    <s v="No"/>
    <n v="100000"/>
    <x v="39"/>
    <x v="5"/>
    <x v="5"/>
    <x v="121"/>
    <x v="0"/>
    <x v="3"/>
    <x v="0"/>
    <n v="0"/>
  </r>
  <r>
    <x v="370"/>
    <d v="2025-05-06T00:00:00"/>
    <s v="CUST0039"/>
    <s v="P024"/>
    <n v="1"/>
    <n v="500000"/>
    <n v="500000"/>
    <s v="DISC10"/>
    <n v="50000"/>
    <n v="25000"/>
    <n v="475000"/>
    <s v="Bank Transfer"/>
    <s v="JNE"/>
    <x v="0"/>
    <x v="1"/>
    <s v="Yes"/>
    <n v="450000"/>
    <x v="43"/>
    <x v="0"/>
    <x v="0"/>
    <x v="42"/>
    <x v="0"/>
    <x v="3"/>
    <x v="0"/>
    <n v="450000"/>
  </r>
  <r>
    <x v="371"/>
    <d v="2025-05-06T00:00:00"/>
    <s v="CUST0205"/>
    <s v="P058"/>
    <n v="1"/>
    <n v="35000"/>
    <n v="35000"/>
    <s v="NONE"/>
    <n v="0"/>
    <n v="10000"/>
    <n v="45000"/>
    <s v="Credit Card"/>
    <s v="AnterAja"/>
    <x v="1"/>
    <x v="1"/>
    <s v="No"/>
    <n v="35000"/>
    <x v="24"/>
    <x v="3"/>
    <x v="3"/>
    <x v="234"/>
    <x v="1"/>
    <x v="3"/>
    <x v="1"/>
    <n v="0"/>
  </r>
  <r>
    <x v="372"/>
    <d v="2025-05-06T00:00:00"/>
    <s v="CUST0206"/>
    <s v="P041"/>
    <n v="3"/>
    <n v="75000"/>
    <n v="225000"/>
    <s v="DISC10"/>
    <n v="22500"/>
    <n v="30000"/>
    <n v="232500"/>
    <s v="Credit Card"/>
    <s v="SiCepat"/>
    <x v="0"/>
    <x v="1"/>
    <s v="Yes"/>
    <n v="202500"/>
    <x v="15"/>
    <x v="5"/>
    <x v="5"/>
    <x v="235"/>
    <x v="0"/>
    <x v="4"/>
    <x v="1"/>
    <n v="202500"/>
  </r>
  <r>
    <x v="373"/>
    <d v="2025-05-05T00:00:00"/>
    <s v="CUST0102"/>
    <s v="P046"/>
    <n v="2"/>
    <n v="100000"/>
    <n v="200000"/>
    <s v="NEWUSER"/>
    <n v="20000"/>
    <n v="20000"/>
    <n v="200000"/>
    <s v="COD"/>
    <s v="J&amp;T"/>
    <x v="0"/>
    <x v="1"/>
    <s v="Yes"/>
    <n v="180000"/>
    <x v="7"/>
    <x v="3"/>
    <x v="3"/>
    <x v="236"/>
    <x v="1"/>
    <x v="2"/>
    <x v="1"/>
    <n v="180000"/>
  </r>
  <r>
    <x v="374"/>
    <d v="2025-05-05T00:00:00"/>
    <s v="CUST0256"/>
    <s v="P038"/>
    <n v="1"/>
    <n v="35000"/>
    <n v="35000"/>
    <s v="NEWUSER"/>
    <n v="3500"/>
    <n v="30000"/>
    <n v="61500"/>
    <s v="E-Wallet"/>
    <s v="SiCepat"/>
    <x v="3"/>
    <x v="1"/>
    <s v="No"/>
    <n v="31500"/>
    <x v="46"/>
    <x v="1"/>
    <x v="1"/>
    <x v="231"/>
    <x v="0"/>
    <x v="3"/>
    <x v="1"/>
    <n v="0"/>
  </r>
  <r>
    <x v="375"/>
    <d v="2025-05-05T00:00:00"/>
    <s v="CUST0013"/>
    <s v="P032"/>
    <n v="2"/>
    <n v="35000"/>
    <n v="70000"/>
    <s v="DISC15"/>
    <n v="10500"/>
    <n v="15000"/>
    <n v="74500"/>
    <s v="COD"/>
    <s v="SiCepat"/>
    <x v="0"/>
    <x v="1"/>
    <s v="Yes"/>
    <n v="59500"/>
    <x v="29"/>
    <x v="1"/>
    <x v="1"/>
    <x v="198"/>
    <x v="1"/>
    <x v="7"/>
    <x v="2"/>
    <n v="59500"/>
  </r>
  <r>
    <x v="376"/>
    <d v="2025-05-05T00:00:00"/>
    <s v="CUST0220"/>
    <s v="P058"/>
    <n v="3"/>
    <n v="35000"/>
    <n v="105000"/>
    <s v="NONE"/>
    <n v="0"/>
    <n v="15000"/>
    <n v="120000"/>
    <s v="COD"/>
    <s v="JNE"/>
    <x v="0"/>
    <x v="1"/>
    <s v="Yes"/>
    <n v="105000"/>
    <x v="24"/>
    <x v="3"/>
    <x v="3"/>
    <x v="237"/>
    <x v="0"/>
    <x v="5"/>
    <x v="2"/>
    <n v="105000"/>
  </r>
  <r>
    <x v="377"/>
    <d v="2025-05-05T00:00:00"/>
    <s v="CUST0313"/>
    <s v="P016"/>
    <n v="1"/>
    <n v="150000"/>
    <n v="150000"/>
    <s v="DISC15"/>
    <n v="22500"/>
    <n v="30000"/>
    <n v="157500"/>
    <s v="E-Wallet"/>
    <s v="J&amp;T"/>
    <x v="0"/>
    <x v="1"/>
    <s v="Yes"/>
    <n v="127500"/>
    <x v="8"/>
    <x v="3"/>
    <x v="3"/>
    <x v="121"/>
    <x v="0"/>
    <x v="3"/>
    <x v="0"/>
    <n v="127500"/>
  </r>
  <r>
    <x v="378"/>
    <d v="2025-05-05T00:00:00"/>
    <s v="CUST0179"/>
    <s v="P039"/>
    <n v="2"/>
    <n v="35000"/>
    <n v="70000"/>
    <s v="FLASHSALE"/>
    <n v="14000"/>
    <n v="10000"/>
    <n v="66000"/>
    <s v="Credit Card"/>
    <s v="JNE"/>
    <x v="0"/>
    <x v="1"/>
    <s v="Yes"/>
    <n v="56000"/>
    <x v="11"/>
    <x v="4"/>
    <x v="4"/>
    <x v="105"/>
    <x v="1"/>
    <x v="3"/>
    <x v="1"/>
    <n v="56000"/>
  </r>
  <r>
    <x v="379"/>
    <d v="2025-05-05T00:00:00"/>
    <s v="CUST0123"/>
    <s v="P033"/>
    <n v="1"/>
    <n v="100000"/>
    <n v="100000"/>
    <s v="DISC15"/>
    <n v="15000"/>
    <n v="15000"/>
    <n v="100000"/>
    <s v="COD"/>
    <s v="JNE"/>
    <x v="0"/>
    <x v="1"/>
    <s v="Yes"/>
    <n v="85000"/>
    <x v="58"/>
    <x v="4"/>
    <x v="4"/>
    <x v="149"/>
    <x v="0"/>
    <x v="5"/>
    <x v="1"/>
    <n v="85000"/>
  </r>
  <r>
    <x v="380"/>
    <d v="2025-05-05T00:00:00"/>
    <s v="CUST0234"/>
    <s v="P051"/>
    <n v="1"/>
    <n v="300000"/>
    <n v="300000"/>
    <s v="NONE"/>
    <n v="0"/>
    <n v="20000"/>
    <n v="320000"/>
    <s v="COD"/>
    <s v="J&amp;T"/>
    <x v="0"/>
    <x v="1"/>
    <s v="Yes"/>
    <n v="300000"/>
    <x v="48"/>
    <x v="4"/>
    <x v="4"/>
    <x v="196"/>
    <x v="0"/>
    <x v="7"/>
    <x v="0"/>
    <n v="300000"/>
  </r>
  <r>
    <x v="381"/>
    <d v="2025-05-04T00:00:00"/>
    <s v="CUST0280"/>
    <s v="P010"/>
    <n v="3"/>
    <n v="50000"/>
    <n v="150000"/>
    <s v="NONE"/>
    <n v="0"/>
    <n v="25000"/>
    <n v="175000"/>
    <s v="Credit Card"/>
    <s v="SiCepat"/>
    <x v="3"/>
    <x v="1"/>
    <s v="No"/>
    <n v="150000"/>
    <x v="13"/>
    <x v="3"/>
    <x v="3"/>
    <x v="164"/>
    <x v="0"/>
    <x v="4"/>
    <x v="0"/>
    <n v="0"/>
  </r>
  <r>
    <x v="382"/>
    <d v="2025-05-04T00:00:00"/>
    <s v="CUST0144"/>
    <s v="P025"/>
    <n v="3"/>
    <n v="100000"/>
    <n v="300000"/>
    <s v="DISC10"/>
    <n v="30000"/>
    <n v="10000"/>
    <n v="280000"/>
    <s v="E-Wallet"/>
    <s v="JNE"/>
    <x v="2"/>
    <x v="1"/>
    <s v="No"/>
    <n v="270000"/>
    <x v="53"/>
    <x v="2"/>
    <x v="2"/>
    <x v="238"/>
    <x v="1"/>
    <x v="6"/>
    <x v="1"/>
    <n v="0"/>
  </r>
  <r>
    <x v="383"/>
    <d v="2025-05-03T00:00:00"/>
    <s v="CUST0016"/>
    <s v="P002"/>
    <n v="1"/>
    <n v="100000"/>
    <n v="100000"/>
    <s v="DISC10"/>
    <n v="10000"/>
    <n v="15000"/>
    <n v="105000"/>
    <s v="Credit Card"/>
    <s v="AnterAja"/>
    <x v="0"/>
    <x v="1"/>
    <s v="Yes"/>
    <n v="90000"/>
    <x v="38"/>
    <x v="1"/>
    <x v="1"/>
    <x v="130"/>
    <x v="0"/>
    <x v="7"/>
    <x v="1"/>
    <n v="90000"/>
  </r>
  <r>
    <x v="384"/>
    <d v="2025-05-03T00:00:00"/>
    <s v="CUST0178"/>
    <s v="P043"/>
    <n v="1"/>
    <n v="50000"/>
    <n v="50000"/>
    <s v="DISC10"/>
    <n v="5000"/>
    <n v="25000"/>
    <n v="70000"/>
    <s v="Bank Transfer"/>
    <s v="AnterAja"/>
    <x v="0"/>
    <x v="1"/>
    <s v="Yes"/>
    <n v="45000"/>
    <x v="25"/>
    <x v="2"/>
    <x v="2"/>
    <x v="103"/>
    <x v="0"/>
    <x v="2"/>
    <x v="1"/>
    <n v="45000"/>
  </r>
  <r>
    <x v="385"/>
    <d v="2025-05-03T00:00:00"/>
    <s v="CUST0345"/>
    <s v="P057"/>
    <n v="2"/>
    <n v="500000"/>
    <n v="1000000"/>
    <s v="DISC10"/>
    <n v="100000"/>
    <n v="25000"/>
    <n v="925000"/>
    <s v="Credit Card"/>
    <s v="SiCepat"/>
    <x v="0"/>
    <x v="1"/>
    <s v="Yes"/>
    <n v="900000"/>
    <x v="44"/>
    <x v="4"/>
    <x v="4"/>
    <x v="51"/>
    <x v="0"/>
    <x v="8"/>
    <x v="1"/>
    <n v="900000"/>
  </r>
  <r>
    <x v="386"/>
    <d v="2025-05-03T00:00:00"/>
    <s v="CUST0061"/>
    <s v="P054"/>
    <n v="1"/>
    <n v="100000"/>
    <n v="100000"/>
    <s v="DISC10"/>
    <n v="10000"/>
    <n v="10000"/>
    <n v="100000"/>
    <s v="Credit Card"/>
    <s v="J&amp;T"/>
    <x v="0"/>
    <x v="1"/>
    <s v="Yes"/>
    <n v="90000"/>
    <x v="5"/>
    <x v="0"/>
    <x v="0"/>
    <x v="239"/>
    <x v="0"/>
    <x v="2"/>
    <x v="1"/>
    <n v="90000"/>
  </r>
  <r>
    <x v="387"/>
    <d v="2025-05-03T00:00:00"/>
    <s v="CUST0176"/>
    <s v="P044"/>
    <n v="1"/>
    <n v="500000"/>
    <n v="500000"/>
    <s v="NONE"/>
    <n v="0"/>
    <n v="25000"/>
    <n v="525000"/>
    <s v="Bank Transfer"/>
    <s v="J&amp;T"/>
    <x v="0"/>
    <x v="1"/>
    <s v="Yes"/>
    <n v="500000"/>
    <x v="47"/>
    <x v="1"/>
    <x v="1"/>
    <x v="85"/>
    <x v="0"/>
    <x v="7"/>
    <x v="2"/>
    <n v="500000"/>
  </r>
  <r>
    <x v="388"/>
    <d v="2025-05-03T00:00:00"/>
    <s v="CUST0136"/>
    <s v="P029"/>
    <n v="1"/>
    <n v="500000"/>
    <n v="500000"/>
    <s v="NONE"/>
    <n v="0"/>
    <n v="15000"/>
    <n v="515000"/>
    <s v="Bank Transfer"/>
    <s v="J&amp;T"/>
    <x v="2"/>
    <x v="1"/>
    <s v="No"/>
    <n v="500000"/>
    <x v="35"/>
    <x v="5"/>
    <x v="5"/>
    <x v="97"/>
    <x v="0"/>
    <x v="6"/>
    <x v="1"/>
    <n v="0"/>
  </r>
  <r>
    <x v="389"/>
    <d v="2025-05-03T00:00:00"/>
    <s v="CUST0222"/>
    <s v="P002"/>
    <n v="1"/>
    <n v="100000"/>
    <n v="100000"/>
    <s v="DISC10"/>
    <n v="10000"/>
    <n v="30000"/>
    <n v="120000"/>
    <s v="E-Wallet"/>
    <s v="J&amp;T"/>
    <x v="0"/>
    <x v="1"/>
    <s v="Yes"/>
    <n v="90000"/>
    <x v="38"/>
    <x v="1"/>
    <x v="1"/>
    <x v="87"/>
    <x v="0"/>
    <x v="7"/>
    <x v="0"/>
    <n v="90000"/>
  </r>
  <r>
    <x v="390"/>
    <d v="2025-05-02T00:00:00"/>
    <s v="CUST0032"/>
    <s v="P030"/>
    <n v="4"/>
    <n v="100000"/>
    <n v="400000"/>
    <s v="NONE"/>
    <n v="0"/>
    <n v="30000"/>
    <n v="430000"/>
    <s v="E-Wallet"/>
    <s v="SiCepat"/>
    <x v="1"/>
    <x v="1"/>
    <s v="No"/>
    <n v="400000"/>
    <x v="33"/>
    <x v="0"/>
    <x v="0"/>
    <x v="240"/>
    <x v="0"/>
    <x v="5"/>
    <x v="0"/>
    <n v="0"/>
  </r>
  <r>
    <x v="391"/>
    <d v="2025-05-02T00:00:00"/>
    <s v="CUST0069"/>
    <s v="P023"/>
    <n v="2"/>
    <n v="50000"/>
    <n v="100000"/>
    <s v="NONE"/>
    <n v="0"/>
    <n v="15000"/>
    <n v="115000"/>
    <s v="Credit Card"/>
    <s v="JNE"/>
    <x v="0"/>
    <x v="1"/>
    <s v="Yes"/>
    <n v="100000"/>
    <x v="14"/>
    <x v="5"/>
    <x v="5"/>
    <x v="118"/>
    <x v="0"/>
    <x v="2"/>
    <x v="2"/>
    <n v="100000"/>
  </r>
  <r>
    <x v="392"/>
    <d v="2025-05-02T00:00:00"/>
    <s v="CUST0310"/>
    <s v="P005"/>
    <n v="2"/>
    <n v="75000"/>
    <n v="150000"/>
    <s v="NEWUSER"/>
    <n v="15000"/>
    <n v="20000"/>
    <n v="155000"/>
    <s v="Bank Transfer"/>
    <s v="SiCepat"/>
    <x v="0"/>
    <x v="1"/>
    <s v="Yes"/>
    <n v="135000"/>
    <x v="12"/>
    <x v="5"/>
    <x v="5"/>
    <x v="6"/>
    <x v="1"/>
    <x v="4"/>
    <x v="2"/>
    <n v="135000"/>
  </r>
  <r>
    <x v="393"/>
    <d v="2025-05-02T00:00:00"/>
    <s v="CUST0010"/>
    <s v="P031"/>
    <n v="2"/>
    <n v="150000"/>
    <n v="300000"/>
    <s v="NONE"/>
    <n v="0"/>
    <n v="10000"/>
    <n v="310000"/>
    <s v="Credit Card"/>
    <s v="J&amp;T"/>
    <x v="0"/>
    <x v="1"/>
    <s v="Yes"/>
    <n v="300000"/>
    <x v="20"/>
    <x v="2"/>
    <x v="2"/>
    <x v="192"/>
    <x v="0"/>
    <x v="6"/>
    <x v="1"/>
    <n v="300000"/>
  </r>
  <r>
    <x v="394"/>
    <d v="2025-05-02T00:00:00"/>
    <s v="CUST0076"/>
    <s v="P036"/>
    <n v="2"/>
    <n v="150000"/>
    <n v="300000"/>
    <s v="FLASHSALE"/>
    <n v="60000"/>
    <n v="20000"/>
    <n v="260000"/>
    <s v="COD"/>
    <s v="JNE"/>
    <x v="2"/>
    <x v="1"/>
    <s v="No"/>
    <n v="240000"/>
    <x v="2"/>
    <x v="0"/>
    <x v="0"/>
    <x v="150"/>
    <x v="1"/>
    <x v="0"/>
    <x v="1"/>
    <n v="0"/>
  </r>
  <r>
    <x v="395"/>
    <d v="2025-05-01T00:00:00"/>
    <s v="CUST0039"/>
    <s v="P028"/>
    <n v="1"/>
    <n v="50000"/>
    <n v="50000"/>
    <s v="DISC10"/>
    <n v="5000"/>
    <n v="20000"/>
    <n v="65000"/>
    <s v="Bank Transfer"/>
    <s v="J&amp;T"/>
    <x v="2"/>
    <x v="1"/>
    <s v="No"/>
    <n v="45000"/>
    <x v="31"/>
    <x v="3"/>
    <x v="3"/>
    <x v="42"/>
    <x v="0"/>
    <x v="3"/>
    <x v="0"/>
    <n v="0"/>
  </r>
  <r>
    <x v="396"/>
    <d v="2025-05-01T00:00:00"/>
    <s v="CUST0308"/>
    <s v="P005"/>
    <n v="4"/>
    <n v="75000"/>
    <n v="300000"/>
    <s v="DISC15"/>
    <n v="45000"/>
    <n v="30000"/>
    <n v="285000"/>
    <s v="COD"/>
    <s v="SiCepat"/>
    <x v="0"/>
    <x v="1"/>
    <s v="Yes"/>
    <n v="255000"/>
    <x v="12"/>
    <x v="5"/>
    <x v="5"/>
    <x v="241"/>
    <x v="0"/>
    <x v="3"/>
    <x v="0"/>
    <n v="255000"/>
  </r>
  <r>
    <x v="397"/>
    <d v="2025-05-01T00:00:00"/>
    <s v="CUST0187"/>
    <s v="P023"/>
    <n v="4"/>
    <n v="50000"/>
    <n v="200000"/>
    <s v="NEWUSER"/>
    <n v="20000"/>
    <n v="30000"/>
    <n v="210000"/>
    <s v="E-Wallet"/>
    <s v="SiCepat"/>
    <x v="0"/>
    <x v="1"/>
    <s v="Yes"/>
    <n v="180000"/>
    <x v="14"/>
    <x v="5"/>
    <x v="5"/>
    <x v="242"/>
    <x v="1"/>
    <x v="5"/>
    <x v="1"/>
    <n v="180000"/>
  </r>
  <r>
    <x v="398"/>
    <d v="2025-05-01T00:00:00"/>
    <s v="CUST0141"/>
    <s v="P001"/>
    <n v="2"/>
    <n v="300000"/>
    <n v="600000"/>
    <s v="DISC15"/>
    <n v="90000"/>
    <n v="10000"/>
    <n v="520000"/>
    <s v="Bank Transfer"/>
    <s v="J&amp;T"/>
    <x v="0"/>
    <x v="1"/>
    <s v="Yes"/>
    <n v="510000"/>
    <x v="26"/>
    <x v="2"/>
    <x v="2"/>
    <x v="56"/>
    <x v="1"/>
    <x v="8"/>
    <x v="1"/>
    <n v="510000"/>
  </r>
  <r>
    <x v="399"/>
    <d v="2025-05-01T00:00:00"/>
    <s v="CUST0061"/>
    <s v="P036"/>
    <n v="1"/>
    <n v="150000"/>
    <n v="150000"/>
    <s v="FLASHSALE"/>
    <n v="30000"/>
    <n v="30000"/>
    <n v="150000"/>
    <s v="E-Wallet"/>
    <s v="J&amp;T"/>
    <x v="0"/>
    <x v="1"/>
    <s v="Yes"/>
    <n v="120000"/>
    <x v="2"/>
    <x v="0"/>
    <x v="0"/>
    <x v="239"/>
    <x v="0"/>
    <x v="2"/>
    <x v="1"/>
    <n v="120000"/>
  </r>
  <r>
    <x v="400"/>
    <d v="2025-04-30T00:00:00"/>
    <s v="CUST0022"/>
    <s v="P051"/>
    <n v="1"/>
    <n v="300000"/>
    <n v="300000"/>
    <s v="FLASHSALE"/>
    <n v="60000"/>
    <n v="15000"/>
    <n v="255000"/>
    <s v="E-Wallet"/>
    <s v="AnterAja"/>
    <x v="2"/>
    <x v="2"/>
    <s v="No"/>
    <n v="240000"/>
    <x v="48"/>
    <x v="4"/>
    <x v="4"/>
    <x v="54"/>
    <x v="0"/>
    <x v="8"/>
    <x v="0"/>
    <n v="0"/>
  </r>
  <r>
    <x v="401"/>
    <d v="2025-04-30T00:00:00"/>
    <s v="CUST0046"/>
    <s v="P038"/>
    <n v="3"/>
    <n v="35000"/>
    <n v="105000"/>
    <s v="NONE"/>
    <n v="0"/>
    <n v="20000"/>
    <n v="125000"/>
    <s v="E-Wallet"/>
    <s v="SiCepat"/>
    <x v="1"/>
    <x v="2"/>
    <s v="No"/>
    <n v="105000"/>
    <x v="46"/>
    <x v="1"/>
    <x v="1"/>
    <x v="55"/>
    <x v="0"/>
    <x v="1"/>
    <x v="2"/>
    <n v="0"/>
  </r>
  <r>
    <x v="402"/>
    <d v="2025-04-30T00:00:00"/>
    <s v="CUST0127"/>
    <s v="P055"/>
    <n v="2"/>
    <n v="300000"/>
    <n v="600000"/>
    <s v="DISC10"/>
    <n v="60000"/>
    <n v="15000"/>
    <n v="555000"/>
    <s v="E-Wallet"/>
    <s v="AnterAja"/>
    <x v="1"/>
    <x v="2"/>
    <s v="No"/>
    <n v="540000"/>
    <x v="9"/>
    <x v="2"/>
    <x v="2"/>
    <x v="224"/>
    <x v="0"/>
    <x v="9"/>
    <x v="0"/>
    <n v="0"/>
  </r>
  <r>
    <x v="403"/>
    <d v="2025-04-30T00:00:00"/>
    <s v="CUST0277"/>
    <s v="P018"/>
    <n v="4"/>
    <n v="500000"/>
    <n v="2000000"/>
    <s v="DISC15"/>
    <n v="300000"/>
    <n v="30000"/>
    <n v="1730000"/>
    <s v="E-Wallet"/>
    <s v="AnterAja"/>
    <x v="0"/>
    <x v="2"/>
    <s v="Yes"/>
    <n v="1700000"/>
    <x v="1"/>
    <x v="0"/>
    <x v="0"/>
    <x v="217"/>
    <x v="1"/>
    <x v="2"/>
    <x v="1"/>
    <n v="1700000"/>
  </r>
  <r>
    <x v="404"/>
    <d v="2025-04-30T00:00:00"/>
    <s v="CUST0280"/>
    <s v="P038"/>
    <n v="1"/>
    <n v="35000"/>
    <n v="35000"/>
    <s v="NONE"/>
    <n v="0"/>
    <n v="10000"/>
    <n v="45000"/>
    <s v="Bank Transfer"/>
    <s v="J&amp;T"/>
    <x v="3"/>
    <x v="2"/>
    <s v="No"/>
    <n v="35000"/>
    <x v="46"/>
    <x v="1"/>
    <x v="1"/>
    <x v="164"/>
    <x v="0"/>
    <x v="4"/>
    <x v="0"/>
    <n v="0"/>
  </r>
  <r>
    <x v="405"/>
    <d v="2025-04-30T00:00:00"/>
    <s v="CUST0154"/>
    <s v="P010"/>
    <n v="4"/>
    <n v="50000"/>
    <n v="200000"/>
    <s v="NONE"/>
    <n v="0"/>
    <n v="20000"/>
    <n v="220000"/>
    <s v="E-Wallet"/>
    <s v="JNE"/>
    <x v="0"/>
    <x v="2"/>
    <s v="Yes"/>
    <n v="200000"/>
    <x v="13"/>
    <x v="3"/>
    <x v="3"/>
    <x v="110"/>
    <x v="1"/>
    <x v="3"/>
    <x v="1"/>
    <n v="200000"/>
  </r>
  <r>
    <x v="406"/>
    <d v="2025-04-30T00:00:00"/>
    <s v="CUST0179"/>
    <s v="P032"/>
    <n v="1"/>
    <n v="35000"/>
    <n v="35000"/>
    <s v="NONE"/>
    <n v="0"/>
    <n v="15000"/>
    <n v="50000"/>
    <s v="Bank Transfer"/>
    <s v="AnterAja"/>
    <x v="0"/>
    <x v="2"/>
    <s v="Yes"/>
    <n v="35000"/>
    <x v="29"/>
    <x v="1"/>
    <x v="1"/>
    <x v="105"/>
    <x v="1"/>
    <x v="3"/>
    <x v="1"/>
    <n v="35000"/>
  </r>
  <r>
    <x v="407"/>
    <d v="2025-04-30T00:00:00"/>
    <s v="CUST0293"/>
    <s v="P048"/>
    <n v="4"/>
    <n v="300000"/>
    <n v="1200000"/>
    <s v="NONE"/>
    <n v="0"/>
    <n v="20000"/>
    <n v="1220000"/>
    <s v="E-Wallet"/>
    <s v="JNE"/>
    <x v="0"/>
    <x v="2"/>
    <s v="Yes"/>
    <n v="1200000"/>
    <x v="21"/>
    <x v="0"/>
    <x v="0"/>
    <x v="75"/>
    <x v="1"/>
    <x v="5"/>
    <x v="0"/>
    <n v="1200000"/>
  </r>
  <r>
    <x v="408"/>
    <d v="2025-04-30T00:00:00"/>
    <s v="CUST0230"/>
    <s v="P006"/>
    <n v="2"/>
    <n v="500000"/>
    <n v="1000000"/>
    <s v="NONE"/>
    <n v="0"/>
    <n v="15000"/>
    <n v="1015000"/>
    <s v="E-Wallet"/>
    <s v="AnterAja"/>
    <x v="0"/>
    <x v="2"/>
    <s v="Yes"/>
    <n v="1000000"/>
    <x v="59"/>
    <x v="0"/>
    <x v="0"/>
    <x v="243"/>
    <x v="0"/>
    <x v="9"/>
    <x v="2"/>
    <n v="1000000"/>
  </r>
  <r>
    <x v="409"/>
    <d v="2025-04-29T00:00:00"/>
    <s v="CUST0008"/>
    <s v="P050"/>
    <n v="2"/>
    <n v="200000"/>
    <n v="400000"/>
    <s v="NONE"/>
    <n v="0"/>
    <n v="15000"/>
    <n v="415000"/>
    <s v="Credit Card"/>
    <s v="AnterAja"/>
    <x v="0"/>
    <x v="2"/>
    <s v="Yes"/>
    <n v="400000"/>
    <x v="34"/>
    <x v="1"/>
    <x v="1"/>
    <x v="244"/>
    <x v="1"/>
    <x v="0"/>
    <x v="1"/>
    <n v="400000"/>
  </r>
  <r>
    <x v="410"/>
    <d v="2025-04-29T00:00:00"/>
    <s v="CUST0309"/>
    <s v="P055"/>
    <n v="1"/>
    <n v="300000"/>
    <n v="300000"/>
    <s v="NONE"/>
    <n v="0"/>
    <n v="10000"/>
    <n v="310000"/>
    <s v="Bank Transfer"/>
    <s v="SiCepat"/>
    <x v="0"/>
    <x v="2"/>
    <s v="Yes"/>
    <n v="300000"/>
    <x v="9"/>
    <x v="2"/>
    <x v="2"/>
    <x v="100"/>
    <x v="1"/>
    <x v="0"/>
    <x v="1"/>
    <n v="300000"/>
  </r>
  <r>
    <x v="411"/>
    <d v="2025-04-29T00:00:00"/>
    <s v="CUST0121"/>
    <s v="P060"/>
    <n v="1"/>
    <n v="150000"/>
    <n v="150000"/>
    <s v="NONE"/>
    <n v="0"/>
    <n v="25000"/>
    <n v="175000"/>
    <s v="Bank Transfer"/>
    <s v="J&amp;T"/>
    <x v="1"/>
    <x v="2"/>
    <s v="No"/>
    <n v="150000"/>
    <x v="0"/>
    <x v="0"/>
    <x v="0"/>
    <x v="214"/>
    <x v="1"/>
    <x v="9"/>
    <x v="1"/>
    <n v="0"/>
  </r>
  <r>
    <x v="412"/>
    <d v="2025-04-29T00:00:00"/>
    <s v="CUST0290"/>
    <s v="P018"/>
    <n v="1"/>
    <n v="500000"/>
    <n v="500000"/>
    <s v="NONE"/>
    <n v="0"/>
    <n v="10000"/>
    <n v="510000"/>
    <s v="E-Wallet"/>
    <s v="JNE"/>
    <x v="2"/>
    <x v="2"/>
    <s v="No"/>
    <n v="500000"/>
    <x v="1"/>
    <x v="0"/>
    <x v="0"/>
    <x v="41"/>
    <x v="1"/>
    <x v="6"/>
    <x v="1"/>
    <n v="0"/>
  </r>
  <r>
    <x v="413"/>
    <d v="2025-04-29T00:00:00"/>
    <s v="CUST0214"/>
    <s v="P023"/>
    <n v="3"/>
    <n v="50000"/>
    <n v="150000"/>
    <s v="NONE"/>
    <n v="0"/>
    <n v="20000"/>
    <n v="170000"/>
    <s v="COD"/>
    <s v="AnterAja"/>
    <x v="0"/>
    <x v="2"/>
    <s v="Yes"/>
    <n v="150000"/>
    <x v="14"/>
    <x v="5"/>
    <x v="5"/>
    <x v="213"/>
    <x v="0"/>
    <x v="3"/>
    <x v="1"/>
    <n v="150000"/>
  </r>
  <r>
    <x v="414"/>
    <d v="2025-04-29T00:00:00"/>
    <s v="CUST0162"/>
    <s v="P006"/>
    <n v="1"/>
    <n v="500000"/>
    <n v="500000"/>
    <s v="NONE"/>
    <n v="0"/>
    <n v="15000"/>
    <n v="515000"/>
    <s v="Credit Card"/>
    <s v="J&amp;T"/>
    <x v="0"/>
    <x v="2"/>
    <s v="Yes"/>
    <n v="500000"/>
    <x v="59"/>
    <x v="0"/>
    <x v="0"/>
    <x v="52"/>
    <x v="1"/>
    <x v="2"/>
    <x v="0"/>
    <n v="500000"/>
  </r>
  <r>
    <x v="415"/>
    <d v="2025-04-28T00:00:00"/>
    <s v="CUST0198"/>
    <s v="P008"/>
    <n v="1"/>
    <n v="150000"/>
    <n v="150000"/>
    <s v="FLASHSALE"/>
    <n v="30000"/>
    <n v="30000"/>
    <n v="150000"/>
    <s v="Credit Card"/>
    <s v="SiCepat"/>
    <x v="4"/>
    <x v="2"/>
    <s v="No"/>
    <n v="120000"/>
    <x v="18"/>
    <x v="1"/>
    <x v="1"/>
    <x v="119"/>
    <x v="0"/>
    <x v="8"/>
    <x v="0"/>
    <n v="0"/>
  </r>
  <r>
    <x v="416"/>
    <d v="2025-04-28T00:00:00"/>
    <s v="CUST0221"/>
    <s v="P039"/>
    <n v="2"/>
    <n v="35000"/>
    <n v="70000"/>
    <s v="FLASHSALE"/>
    <n v="14000"/>
    <n v="30000"/>
    <n v="86000"/>
    <s v="E-Wallet"/>
    <s v="J&amp;T"/>
    <x v="1"/>
    <x v="2"/>
    <s v="No"/>
    <n v="56000"/>
    <x v="11"/>
    <x v="4"/>
    <x v="4"/>
    <x v="186"/>
    <x v="0"/>
    <x v="9"/>
    <x v="1"/>
    <n v="0"/>
  </r>
  <r>
    <x v="417"/>
    <d v="2025-04-28T00:00:00"/>
    <s v="CUST0152"/>
    <s v="P008"/>
    <n v="1"/>
    <n v="150000"/>
    <n v="150000"/>
    <s v="NEWUSER"/>
    <n v="15000"/>
    <n v="20000"/>
    <n v="155000"/>
    <s v="E-Wallet"/>
    <s v="J&amp;T"/>
    <x v="0"/>
    <x v="2"/>
    <s v="Yes"/>
    <n v="135000"/>
    <x v="18"/>
    <x v="1"/>
    <x v="1"/>
    <x v="72"/>
    <x v="1"/>
    <x v="3"/>
    <x v="1"/>
    <n v="135000"/>
  </r>
  <r>
    <x v="418"/>
    <d v="2025-04-28T00:00:00"/>
    <s v="CUST0094"/>
    <s v="P050"/>
    <n v="1"/>
    <n v="200000"/>
    <n v="200000"/>
    <s v="FLASHSALE"/>
    <n v="40000"/>
    <n v="15000"/>
    <n v="175000"/>
    <s v="E-Wallet"/>
    <s v="J&amp;T"/>
    <x v="0"/>
    <x v="2"/>
    <s v="Yes"/>
    <n v="160000"/>
    <x v="34"/>
    <x v="1"/>
    <x v="1"/>
    <x v="221"/>
    <x v="1"/>
    <x v="5"/>
    <x v="1"/>
    <n v="160000"/>
  </r>
  <r>
    <x v="419"/>
    <d v="2025-04-28T00:00:00"/>
    <s v="CUST0200"/>
    <s v="P024"/>
    <n v="2"/>
    <n v="500000"/>
    <n v="1000000"/>
    <s v="DISC15"/>
    <n v="150000"/>
    <n v="20000"/>
    <n v="870000"/>
    <s v="E-Wallet"/>
    <s v="SiCepat"/>
    <x v="0"/>
    <x v="2"/>
    <s v="Yes"/>
    <n v="850000"/>
    <x v="43"/>
    <x v="0"/>
    <x v="0"/>
    <x v="245"/>
    <x v="1"/>
    <x v="9"/>
    <x v="0"/>
    <n v="850000"/>
  </r>
  <r>
    <x v="420"/>
    <d v="2025-04-28T00:00:00"/>
    <s v="CUST0110"/>
    <s v="P008"/>
    <n v="2"/>
    <n v="150000"/>
    <n v="300000"/>
    <s v="NONE"/>
    <n v="0"/>
    <n v="30000"/>
    <n v="330000"/>
    <s v="Credit Card"/>
    <s v="AnterAja"/>
    <x v="0"/>
    <x v="2"/>
    <s v="Yes"/>
    <n v="300000"/>
    <x v="18"/>
    <x v="1"/>
    <x v="1"/>
    <x v="200"/>
    <x v="0"/>
    <x v="1"/>
    <x v="1"/>
    <n v="300000"/>
  </r>
  <r>
    <x v="421"/>
    <d v="2025-04-27T00:00:00"/>
    <s v="CUST0025"/>
    <s v="P015"/>
    <n v="2"/>
    <n v="500000"/>
    <n v="1000000"/>
    <s v="NONE"/>
    <n v="0"/>
    <n v="30000"/>
    <n v="1030000"/>
    <s v="Credit Card"/>
    <s v="AnterAja"/>
    <x v="0"/>
    <x v="2"/>
    <s v="Yes"/>
    <n v="1000000"/>
    <x v="19"/>
    <x v="4"/>
    <x v="4"/>
    <x v="189"/>
    <x v="1"/>
    <x v="4"/>
    <x v="0"/>
    <n v="1000000"/>
  </r>
  <r>
    <x v="422"/>
    <d v="2025-04-27T00:00:00"/>
    <s v="CUST0344"/>
    <s v="P008"/>
    <n v="1"/>
    <n v="150000"/>
    <n v="150000"/>
    <s v="NONE"/>
    <n v="0"/>
    <n v="15000"/>
    <n v="165000"/>
    <s v="Bank Transfer"/>
    <s v="JNE"/>
    <x v="3"/>
    <x v="2"/>
    <s v="No"/>
    <n v="150000"/>
    <x v="18"/>
    <x v="1"/>
    <x v="1"/>
    <x v="246"/>
    <x v="1"/>
    <x v="8"/>
    <x v="1"/>
    <n v="0"/>
  </r>
  <r>
    <x v="423"/>
    <d v="2025-04-27T00:00:00"/>
    <s v="CUST0094"/>
    <s v="P035"/>
    <n v="1"/>
    <n v="200000"/>
    <n v="200000"/>
    <s v="DISC10"/>
    <n v="20000"/>
    <n v="30000"/>
    <n v="210000"/>
    <s v="E-Wallet"/>
    <s v="J&amp;T"/>
    <x v="3"/>
    <x v="2"/>
    <s v="No"/>
    <n v="180000"/>
    <x v="41"/>
    <x v="5"/>
    <x v="5"/>
    <x v="221"/>
    <x v="1"/>
    <x v="5"/>
    <x v="1"/>
    <n v="0"/>
  </r>
  <r>
    <x v="424"/>
    <d v="2025-04-27T00:00:00"/>
    <s v="CUST0267"/>
    <s v="P054"/>
    <n v="2"/>
    <n v="100000"/>
    <n v="200000"/>
    <s v="DISC15"/>
    <n v="30000"/>
    <n v="25000"/>
    <n v="195000"/>
    <s v="Bank Transfer"/>
    <s v="J&amp;T"/>
    <x v="0"/>
    <x v="2"/>
    <s v="Yes"/>
    <n v="170000"/>
    <x v="5"/>
    <x v="0"/>
    <x v="0"/>
    <x v="247"/>
    <x v="1"/>
    <x v="1"/>
    <x v="0"/>
    <n v="170000"/>
  </r>
  <r>
    <x v="425"/>
    <d v="2025-04-27T00:00:00"/>
    <s v="CUST0225"/>
    <s v="P024"/>
    <n v="1"/>
    <n v="500000"/>
    <n v="500000"/>
    <s v="NONE"/>
    <n v="0"/>
    <n v="20000"/>
    <n v="520000"/>
    <s v="E-Wallet"/>
    <s v="JNE"/>
    <x v="0"/>
    <x v="2"/>
    <s v="Yes"/>
    <n v="500000"/>
    <x v="43"/>
    <x v="0"/>
    <x v="0"/>
    <x v="177"/>
    <x v="0"/>
    <x v="6"/>
    <x v="0"/>
    <n v="500000"/>
  </r>
  <r>
    <x v="426"/>
    <d v="2025-04-27T00:00:00"/>
    <s v="CUST0267"/>
    <s v="P035"/>
    <n v="2"/>
    <n v="200000"/>
    <n v="400000"/>
    <s v="NONE"/>
    <n v="0"/>
    <n v="30000"/>
    <n v="430000"/>
    <s v="COD"/>
    <s v="AnterAja"/>
    <x v="0"/>
    <x v="2"/>
    <s v="Yes"/>
    <n v="400000"/>
    <x v="41"/>
    <x v="5"/>
    <x v="5"/>
    <x v="247"/>
    <x v="1"/>
    <x v="1"/>
    <x v="0"/>
    <n v="400000"/>
  </r>
  <r>
    <x v="427"/>
    <d v="2025-04-27T00:00:00"/>
    <s v="CUST0199"/>
    <s v="P038"/>
    <n v="2"/>
    <n v="35000"/>
    <n v="70000"/>
    <s v="DISC15"/>
    <n v="10500"/>
    <n v="25000"/>
    <n v="84500"/>
    <s v="Credit Card"/>
    <s v="JNE"/>
    <x v="0"/>
    <x v="2"/>
    <s v="Yes"/>
    <n v="59500"/>
    <x v="46"/>
    <x v="1"/>
    <x v="1"/>
    <x v="25"/>
    <x v="0"/>
    <x v="8"/>
    <x v="2"/>
    <n v="59500"/>
  </r>
  <r>
    <x v="428"/>
    <d v="2025-04-27T00:00:00"/>
    <s v="CUST0129"/>
    <s v="P023"/>
    <n v="1"/>
    <n v="50000"/>
    <n v="50000"/>
    <s v="NEWUSER"/>
    <n v="5000"/>
    <n v="30000"/>
    <n v="75000"/>
    <s v="E-Wallet"/>
    <s v="JNE"/>
    <x v="0"/>
    <x v="2"/>
    <s v="Yes"/>
    <n v="45000"/>
    <x v="14"/>
    <x v="5"/>
    <x v="5"/>
    <x v="212"/>
    <x v="1"/>
    <x v="2"/>
    <x v="2"/>
    <n v="45000"/>
  </r>
  <r>
    <x v="429"/>
    <d v="2025-04-27T00:00:00"/>
    <s v="CUST0164"/>
    <s v="P032"/>
    <n v="2"/>
    <n v="35000"/>
    <n v="70000"/>
    <s v="NONE"/>
    <n v="0"/>
    <n v="25000"/>
    <n v="95000"/>
    <s v="E-Wallet"/>
    <s v="SiCepat"/>
    <x v="0"/>
    <x v="2"/>
    <s v="Yes"/>
    <n v="70000"/>
    <x v="29"/>
    <x v="1"/>
    <x v="1"/>
    <x v="172"/>
    <x v="0"/>
    <x v="1"/>
    <x v="1"/>
    <n v="70000"/>
  </r>
  <r>
    <x v="430"/>
    <d v="2025-04-27T00:00:00"/>
    <s v="CUST0299"/>
    <s v="P020"/>
    <n v="2"/>
    <n v="75000"/>
    <n v="150000"/>
    <s v="DISC15"/>
    <n v="22500"/>
    <n v="10000"/>
    <n v="137500"/>
    <s v="Bank Transfer"/>
    <s v="J&amp;T"/>
    <x v="4"/>
    <x v="2"/>
    <s v="No"/>
    <n v="127500"/>
    <x v="6"/>
    <x v="1"/>
    <x v="1"/>
    <x v="148"/>
    <x v="1"/>
    <x v="8"/>
    <x v="1"/>
    <n v="0"/>
  </r>
  <r>
    <x v="431"/>
    <d v="2025-04-26T00:00:00"/>
    <s v="CUST0349"/>
    <s v="P020"/>
    <n v="2"/>
    <n v="75000"/>
    <n v="150000"/>
    <s v="FLASHSALE"/>
    <n v="30000"/>
    <n v="15000"/>
    <n v="135000"/>
    <s v="Credit Card"/>
    <s v="J&amp;T"/>
    <x v="0"/>
    <x v="2"/>
    <s v="Yes"/>
    <n v="120000"/>
    <x v="6"/>
    <x v="1"/>
    <x v="1"/>
    <x v="205"/>
    <x v="0"/>
    <x v="3"/>
    <x v="1"/>
    <n v="120000"/>
  </r>
  <r>
    <x v="432"/>
    <d v="2025-04-26T00:00:00"/>
    <s v="CUST0162"/>
    <s v="P003"/>
    <n v="4"/>
    <n v="150000"/>
    <n v="600000"/>
    <s v="FLASHSALE"/>
    <n v="120000"/>
    <n v="25000"/>
    <n v="505000"/>
    <s v="E-Wallet"/>
    <s v="J&amp;T"/>
    <x v="0"/>
    <x v="2"/>
    <s v="Yes"/>
    <n v="480000"/>
    <x v="37"/>
    <x v="4"/>
    <x v="4"/>
    <x v="52"/>
    <x v="1"/>
    <x v="2"/>
    <x v="0"/>
    <n v="480000"/>
  </r>
  <r>
    <x v="433"/>
    <d v="2025-04-26T00:00:00"/>
    <s v="CUST0332"/>
    <s v="P013"/>
    <n v="2"/>
    <n v="75000"/>
    <n v="150000"/>
    <s v="NONE"/>
    <n v="0"/>
    <n v="25000"/>
    <n v="175000"/>
    <s v="COD"/>
    <s v="AnterAja"/>
    <x v="0"/>
    <x v="2"/>
    <s v="Yes"/>
    <n v="150000"/>
    <x v="50"/>
    <x v="2"/>
    <x v="2"/>
    <x v="18"/>
    <x v="1"/>
    <x v="2"/>
    <x v="1"/>
    <n v="150000"/>
  </r>
  <r>
    <x v="434"/>
    <d v="2025-04-26T00:00:00"/>
    <s v="CUST0163"/>
    <s v="P034"/>
    <n v="3"/>
    <n v="50000"/>
    <n v="150000"/>
    <s v="FLASHSALE"/>
    <n v="30000"/>
    <n v="10000"/>
    <n v="130000"/>
    <s v="Bank Transfer"/>
    <s v="JNE"/>
    <x v="0"/>
    <x v="2"/>
    <s v="Yes"/>
    <n v="120000"/>
    <x v="42"/>
    <x v="3"/>
    <x v="3"/>
    <x v="207"/>
    <x v="0"/>
    <x v="2"/>
    <x v="0"/>
    <n v="120000"/>
  </r>
  <r>
    <x v="435"/>
    <d v="2025-04-26T00:00:00"/>
    <s v="CUST0317"/>
    <s v="P015"/>
    <n v="1"/>
    <n v="500000"/>
    <n v="500000"/>
    <s v="NEWUSER"/>
    <n v="50000"/>
    <n v="10000"/>
    <n v="460000"/>
    <s v="Bank Transfer"/>
    <s v="J&amp;T"/>
    <x v="0"/>
    <x v="2"/>
    <s v="Yes"/>
    <n v="450000"/>
    <x v="19"/>
    <x v="4"/>
    <x v="4"/>
    <x v="7"/>
    <x v="0"/>
    <x v="2"/>
    <x v="0"/>
    <n v="450000"/>
  </r>
  <r>
    <x v="436"/>
    <d v="2025-04-26T00:00:00"/>
    <s v="CUST0235"/>
    <s v="P022"/>
    <n v="2"/>
    <n v="150000"/>
    <n v="300000"/>
    <s v="DISC10"/>
    <n v="30000"/>
    <n v="30000"/>
    <n v="300000"/>
    <s v="Bank Transfer"/>
    <s v="J&amp;T"/>
    <x v="2"/>
    <x v="2"/>
    <s v="No"/>
    <n v="270000"/>
    <x v="55"/>
    <x v="3"/>
    <x v="3"/>
    <x v="185"/>
    <x v="0"/>
    <x v="5"/>
    <x v="2"/>
    <n v="0"/>
  </r>
  <r>
    <x v="437"/>
    <d v="2025-04-25T00:00:00"/>
    <s v="CUST0186"/>
    <s v="P003"/>
    <n v="1"/>
    <n v="150000"/>
    <n v="150000"/>
    <s v="NEWUSER"/>
    <n v="15000"/>
    <n v="20000"/>
    <n v="155000"/>
    <s v="COD"/>
    <s v="JNE"/>
    <x v="0"/>
    <x v="2"/>
    <s v="Yes"/>
    <n v="135000"/>
    <x v="37"/>
    <x v="4"/>
    <x v="4"/>
    <x v="13"/>
    <x v="0"/>
    <x v="4"/>
    <x v="2"/>
    <n v="135000"/>
  </r>
  <r>
    <x v="438"/>
    <d v="2025-04-25T00:00:00"/>
    <s v="CUST0345"/>
    <s v="P021"/>
    <n v="2"/>
    <n v="200000"/>
    <n v="400000"/>
    <s v="DISC15"/>
    <n v="60000"/>
    <n v="15000"/>
    <n v="355000"/>
    <s v="Bank Transfer"/>
    <s v="J&amp;T"/>
    <x v="0"/>
    <x v="2"/>
    <s v="Yes"/>
    <n v="340000"/>
    <x v="32"/>
    <x v="4"/>
    <x v="4"/>
    <x v="51"/>
    <x v="0"/>
    <x v="8"/>
    <x v="1"/>
    <n v="340000"/>
  </r>
  <r>
    <x v="439"/>
    <d v="2025-04-25T00:00:00"/>
    <s v="CUST0263"/>
    <s v="P016"/>
    <n v="2"/>
    <n v="150000"/>
    <n v="300000"/>
    <s v="NEWUSER"/>
    <n v="30000"/>
    <n v="25000"/>
    <n v="295000"/>
    <s v="Credit Card"/>
    <s v="AnterAja"/>
    <x v="0"/>
    <x v="2"/>
    <s v="Yes"/>
    <n v="270000"/>
    <x v="8"/>
    <x v="3"/>
    <x v="3"/>
    <x v="248"/>
    <x v="0"/>
    <x v="1"/>
    <x v="2"/>
    <n v="270000"/>
  </r>
  <r>
    <x v="440"/>
    <d v="2025-04-25T00:00:00"/>
    <s v="CUST0257"/>
    <s v="P012"/>
    <n v="4"/>
    <n v="300000"/>
    <n v="1200000"/>
    <s v="DISC15"/>
    <n v="180000"/>
    <n v="10000"/>
    <n v="1030000"/>
    <s v="Bank Transfer"/>
    <s v="J&amp;T"/>
    <x v="0"/>
    <x v="2"/>
    <s v="Yes"/>
    <n v="1020000"/>
    <x v="40"/>
    <x v="0"/>
    <x v="0"/>
    <x v="215"/>
    <x v="1"/>
    <x v="6"/>
    <x v="0"/>
    <n v="1020000"/>
  </r>
  <r>
    <x v="441"/>
    <d v="2025-04-25T00:00:00"/>
    <s v="CUST0220"/>
    <s v="P060"/>
    <n v="4"/>
    <n v="150000"/>
    <n v="600000"/>
    <s v="DISC10"/>
    <n v="60000"/>
    <n v="20000"/>
    <n v="560000"/>
    <s v="E-Wallet"/>
    <s v="AnterAja"/>
    <x v="0"/>
    <x v="2"/>
    <s v="Yes"/>
    <n v="540000"/>
    <x v="0"/>
    <x v="0"/>
    <x v="0"/>
    <x v="237"/>
    <x v="0"/>
    <x v="5"/>
    <x v="2"/>
    <n v="540000"/>
  </r>
  <r>
    <x v="442"/>
    <d v="2025-04-25T00:00:00"/>
    <s v="CUST0319"/>
    <s v="P049"/>
    <n v="3"/>
    <n v="200000"/>
    <n v="600000"/>
    <s v="NONE"/>
    <n v="0"/>
    <n v="30000"/>
    <n v="630000"/>
    <s v="COD"/>
    <s v="AnterAja"/>
    <x v="0"/>
    <x v="2"/>
    <s v="Yes"/>
    <n v="600000"/>
    <x v="17"/>
    <x v="2"/>
    <x v="2"/>
    <x v="249"/>
    <x v="0"/>
    <x v="9"/>
    <x v="1"/>
    <n v="600000"/>
  </r>
  <r>
    <x v="443"/>
    <d v="2025-04-25T00:00:00"/>
    <s v="CUST0158"/>
    <s v="P003"/>
    <n v="1"/>
    <n v="150000"/>
    <n v="150000"/>
    <s v="FLASHSALE"/>
    <n v="30000"/>
    <n v="30000"/>
    <n v="150000"/>
    <s v="COD"/>
    <s v="JNE"/>
    <x v="0"/>
    <x v="2"/>
    <s v="Yes"/>
    <n v="120000"/>
    <x v="37"/>
    <x v="4"/>
    <x v="4"/>
    <x v="144"/>
    <x v="1"/>
    <x v="1"/>
    <x v="1"/>
    <n v="120000"/>
  </r>
  <r>
    <x v="444"/>
    <d v="2025-04-25T00:00:00"/>
    <s v="CUST0048"/>
    <s v="P059"/>
    <n v="3"/>
    <n v="75000"/>
    <n v="225000"/>
    <s v="NONE"/>
    <n v="0"/>
    <n v="15000"/>
    <n v="240000"/>
    <s v="Credit Card"/>
    <s v="JNE"/>
    <x v="0"/>
    <x v="2"/>
    <s v="Yes"/>
    <n v="225000"/>
    <x v="16"/>
    <x v="5"/>
    <x v="5"/>
    <x v="36"/>
    <x v="0"/>
    <x v="8"/>
    <x v="0"/>
    <n v="225000"/>
  </r>
  <r>
    <x v="445"/>
    <d v="2025-04-24T00:00:00"/>
    <s v="CUST0115"/>
    <s v="P017"/>
    <n v="3"/>
    <n v="100000"/>
    <n v="300000"/>
    <s v="NONE"/>
    <n v="0"/>
    <n v="20000"/>
    <n v="320000"/>
    <s v="Credit Card"/>
    <s v="JNE"/>
    <x v="2"/>
    <x v="2"/>
    <s v="No"/>
    <n v="300000"/>
    <x v="39"/>
    <x v="5"/>
    <x v="5"/>
    <x v="158"/>
    <x v="0"/>
    <x v="4"/>
    <x v="1"/>
    <n v="0"/>
  </r>
  <r>
    <x v="446"/>
    <d v="2025-04-24T00:00:00"/>
    <s v="CUST0040"/>
    <s v="P038"/>
    <n v="1"/>
    <n v="35000"/>
    <n v="35000"/>
    <s v="NEWUSER"/>
    <n v="3500"/>
    <n v="25000"/>
    <n v="56500"/>
    <s v="Bank Transfer"/>
    <s v="AnterAja"/>
    <x v="0"/>
    <x v="2"/>
    <s v="Yes"/>
    <n v="31500"/>
    <x v="46"/>
    <x v="1"/>
    <x v="1"/>
    <x v="162"/>
    <x v="1"/>
    <x v="8"/>
    <x v="1"/>
    <n v="31500"/>
  </r>
  <r>
    <x v="447"/>
    <d v="2025-04-24T00:00:00"/>
    <s v="CUST0252"/>
    <s v="P043"/>
    <n v="2"/>
    <n v="50000"/>
    <n v="100000"/>
    <s v="NONE"/>
    <n v="0"/>
    <n v="20000"/>
    <n v="120000"/>
    <s v="E-Wallet"/>
    <s v="SiCepat"/>
    <x v="2"/>
    <x v="2"/>
    <s v="No"/>
    <n v="100000"/>
    <x v="25"/>
    <x v="2"/>
    <x v="2"/>
    <x v="188"/>
    <x v="1"/>
    <x v="3"/>
    <x v="0"/>
    <n v="0"/>
  </r>
  <r>
    <x v="448"/>
    <d v="2025-04-24T00:00:00"/>
    <s v="CUST0278"/>
    <s v="P052"/>
    <n v="3"/>
    <n v="200000"/>
    <n v="600000"/>
    <s v="NEWUSER"/>
    <n v="60000"/>
    <n v="30000"/>
    <n v="570000"/>
    <s v="Credit Card"/>
    <s v="SiCepat"/>
    <x v="4"/>
    <x v="2"/>
    <s v="No"/>
    <n v="540000"/>
    <x v="56"/>
    <x v="3"/>
    <x v="3"/>
    <x v="161"/>
    <x v="1"/>
    <x v="1"/>
    <x v="0"/>
    <n v="0"/>
  </r>
  <r>
    <x v="449"/>
    <d v="2025-04-24T00:00:00"/>
    <s v="CUST0137"/>
    <s v="P047"/>
    <n v="2"/>
    <n v="500000"/>
    <n v="1000000"/>
    <s v="NONE"/>
    <n v="0"/>
    <n v="15000"/>
    <n v="1015000"/>
    <s v="E-Wallet"/>
    <s v="JNE"/>
    <x v="0"/>
    <x v="2"/>
    <s v="Yes"/>
    <n v="1000000"/>
    <x v="49"/>
    <x v="5"/>
    <x v="5"/>
    <x v="250"/>
    <x v="0"/>
    <x v="1"/>
    <x v="1"/>
    <n v="1000000"/>
  </r>
  <r>
    <x v="450"/>
    <d v="2025-04-24T00:00:00"/>
    <s v="CUST0175"/>
    <s v="P012"/>
    <n v="4"/>
    <n v="300000"/>
    <n v="1200000"/>
    <s v="DISC15"/>
    <n v="180000"/>
    <n v="20000"/>
    <n v="1040000"/>
    <s v="Credit Card"/>
    <s v="SiCepat"/>
    <x v="0"/>
    <x v="2"/>
    <s v="Yes"/>
    <n v="1020000"/>
    <x v="40"/>
    <x v="0"/>
    <x v="0"/>
    <x v="251"/>
    <x v="0"/>
    <x v="5"/>
    <x v="1"/>
    <n v="1020000"/>
  </r>
  <r>
    <x v="451"/>
    <d v="2025-04-24T00:00:00"/>
    <s v="CUST0284"/>
    <s v="P060"/>
    <n v="1"/>
    <n v="150000"/>
    <n v="150000"/>
    <s v="NEWUSER"/>
    <n v="15000"/>
    <n v="25000"/>
    <n v="160000"/>
    <s v="E-Wallet"/>
    <s v="JNE"/>
    <x v="0"/>
    <x v="2"/>
    <s v="Yes"/>
    <n v="135000"/>
    <x v="0"/>
    <x v="0"/>
    <x v="0"/>
    <x v="252"/>
    <x v="0"/>
    <x v="2"/>
    <x v="0"/>
    <n v="135000"/>
  </r>
  <r>
    <x v="452"/>
    <d v="2025-04-24T00:00:00"/>
    <s v="CUST0052"/>
    <s v="P034"/>
    <n v="1"/>
    <n v="50000"/>
    <n v="50000"/>
    <s v="NONE"/>
    <n v="0"/>
    <n v="15000"/>
    <n v="65000"/>
    <s v="E-Wallet"/>
    <s v="AnterAja"/>
    <x v="0"/>
    <x v="2"/>
    <s v="Yes"/>
    <n v="50000"/>
    <x v="42"/>
    <x v="3"/>
    <x v="3"/>
    <x v="113"/>
    <x v="1"/>
    <x v="7"/>
    <x v="1"/>
    <n v="50000"/>
  </r>
  <r>
    <x v="453"/>
    <d v="2025-04-24T00:00:00"/>
    <s v="CUST0223"/>
    <s v="P004"/>
    <n v="3"/>
    <n v="300000"/>
    <n v="900000"/>
    <s v="NONE"/>
    <n v="0"/>
    <n v="10000"/>
    <n v="910000"/>
    <s v="Bank Transfer"/>
    <s v="JNE"/>
    <x v="1"/>
    <x v="2"/>
    <s v="No"/>
    <n v="900000"/>
    <x v="22"/>
    <x v="3"/>
    <x v="3"/>
    <x v="136"/>
    <x v="0"/>
    <x v="6"/>
    <x v="1"/>
    <n v="0"/>
  </r>
  <r>
    <x v="454"/>
    <d v="2025-04-24T00:00:00"/>
    <s v="CUST0146"/>
    <s v="P004"/>
    <n v="4"/>
    <n v="300000"/>
    <n v="1200000"/>
    <s v="NONE"/>
    <n v="0"/>
    <n v="10000"/>
    <n v="1210000"/>
    <s v="E-Wallet"/>
    <s v="AnterAja"/>
    <x v="0"/>
    <x v="2"/>
    <s v="Yes"/>
    <n v="1200000"/>
    <x v="22"/>
    <x v="3"/>
    <x v="3"/>
    <x v="160"/>
    <x v="1"/>
    <x v="1"/>
    <x v="2"/>
    <n v="1200000"/>
  </r>
  <r>
    <x v="455"/>
    <d v="2025-04-24T00:00:00"/>
    <s v="CUST0026"/>
    <s v="P015"/>
    <n v="1"/>
    <n v="500000"/>
    <n v="500000"/>
    <s v="NONE"/>
    <n v="0"/>
    <n v="10000"/>
    <n v="510000"/>
    <s v="Bank Transfer"/>
    <s v="SiCepat"/>
    <x v="0"/>
    <x v="2"/>
    <s v="Yes"/>
    <n v="500000"/>
    <x v="19"/>
    <x v="4"/>
    <x v="4"/>
    <x v="115"/>
    <x v="1"/>
    <x v="0"/>
    <x v="1"/>
    <n v="500000"/>
  </r>
  <r>
    <x v="456"/>
    <d v="2025-04-24T00:00:00"/>
    <s v="CUST0184"/>
    <s v="P024"/>
    <n v="1"/>
    <n v="500000"/>
    <n v="500000"/>
    <s v="NONE"/>
    <n v="0"/>
    <n v="30000"/>
    <n v="530000"/>
    <s v="E-Wallet"/>
    <s v="JNE"/>
    <x v="0"/>
    <x v="2"/>
    <s v="Yes"/>
    <n v="500000"/>
    <x v="43"/>
    <x v="0"/>
    <x v="0"/>
    <x v="253"/>
    <x v="1"/>
    <x v="7"/>
    <x v="1"/>
    <n v="500000"/>
  </r>
  <r>
    <x v="457"/>
    <d v="2025-04-23T00:00:00"/>
    <s v="CUST0114"/>
    <s v="P030"/>
    <n v="3"/>
    <n v="100000"/>
    <n v="300000"/>
    <s v="NEWUSER"/>
    <n v="30000"/>
    <n v="20000"/>
    <n v="290000"/>
    <s v="Bank Transfer"/>
    <s v="AnterAja"/>
    <x v="2"/>
    <x v="2"/>
    <s v="No"/>
    <n v="270000"/>
    <x v="33"/>
    <x v="0"/>
    <x v="0"/>
    <x v="254"/>
    <x v="0"/>
    <x v="1"/>
    <x v="1"/>
    <n v="0"/>
  </r>
  <r>
    <x v="458"/>
    <d v="2025-04-23T00:00:00"/>
    <s v="CUST0301"/>
    <s v="P004"/>
    <n v="4"/>
    <n v="300000"/>
    <n v="1200000"/>
    <s v="NONE"/>
    <n v="0"/>
    <n v="10000"/>
    <n v="1210000"/>
    <s v="E-Wallet"/>
    <s v="JNE"/>
    <x v="0"/>
    <x v="2"/>
    <s v="Yes"/>
    <n v="1200000"/>
    <x v="22"/>
    <x v="3"/>
    <x v="3"/>
    <x v="96"/>
    <x v="0"/>
    <x v="7"/>
    <x v="0"/>
    <n v="1200000"/>
  </r>
  <r>
    <x v="459"/>
    <d v="2025-04-23T00:00:00"/>
    <s v="CUST0327"/>
    <s v="P030"/>
    <n v="4"/>
    <n v="100000"/>
    <n v="400000"/>
    <s v="DISC15"/>
    <n v="60000"/>
    <n v="30000"/>
    <n v="370000"/>
    <s v="E-Wallet"/>
    <s v="JNE"/>
    <x v="0"/>
    <x v="2"/>
    <s v="Yes"/>
    <n v="340000"/>
    <x v="33"/>
    <x v="0"/>
    <x v="0"/>
    <x v="255"/>
    <x v="1"/>
    <x v="9"/>
    <x v="1"/>
    <n v="340000"/>
  </r>
  <r>
    <x v="460"/>
    <d v="2025-04-23T00:00:00"/>
    <s v="CUST0220"/>
    <s v="P001"/>
    <n v="1"/>
    <n v="300000"/>
    <n v="300000"/>
    <s v="NEWUSER"/>
    <n v="30000"/>
    <n v="20000"/>
    <n v="290000"/>
    <s v="E-Wallet"/>
    <s v="J&amp;T"/>
    <x v="1"/>
    <x v="2"/>
    <s v="No"/>
    <n v="270000"/>
    <x v="26"/>
    <x v="2"/>
    <x v="2"/>
    <x v="237"/>
    <x v="0"/>
    <x v="5"/>
    <x v="2"/>
    <n v="0"/>
  </r>
  <r>
    <x v="461"/>
    <d v="2025-04-23T00:00:00"/>
    <s v="CUST0139"/>
    <s v="P028"/>
    <n v="1"/>
    <n v="50000"/>
    <n v="50000"/>
    <s v="DISC15"/>
    <n v="7500"/>
    <n v="10000"/>
    <n v="52500"/>
    <s v="E-Wallet"/>
    <s v="AnterAja"/>
    <x v="0"/>
    <x v="2"/>
    <s v="Yes"/>
    <n v="42500"/>
    <x v="31"/>
    <x v="3"/>
    <x v="3"/>
    <x v="256"/>
    <x v="1"/>
    <x v="2"/>
    <x v="0"/>
    <n v="42500"/>
  </r>
  <r>
    <x v="462"/>
    <d v="2025-04-22T00:00:00"/>
    <s v="CUST0252"/>
    <s v="P018"/>
    <n v="1"/>
    <n v="500000"/>
    <n v="500000"/>
    <s v="NONE"/>
    <n v="0"/>
    <n v="15000"/>
    <n v="515000"/>
    <s v="E-Wallet"/>
    <s v="J&amp;T"/>
    <x v="0"/>
    <x v="2"/>
    <s v="Yes"/>
    <n v="500000"/>
    <x v="1"/>
    <x v="0"/>
    <x v="0"/>
    <x v="188"/>
    <x v="1"/>
    <x v="3"/>
    <x v="0"/>
    <n v="500000"/>
  </r>
  <r>
    <x v="463"/>
    <d v="2025-04-22T00:00:00"/>
    <s v="CUST0147"/>
    <s v="P048"/>
    <n v="4"/>
    <n v="300000"/>
    <n v="1200000"/>
    <s v="NONE"/>
    <n v="0"/>
    <n v="20000"/>
    <n v="1220000"/>
    <s v="Credit Card"/>
    <s v="SiCepat"/>
    <x v="0"/>
    <x v="2"/>
    <s v="Yes"/>
    <n v="1200000"/>
    <x v="21"/>
    <x v="0"/>
    <x v="0"/>
    <x v="257"/>
    <x v="0"/>
    <x v="8"/>
    <x v="1"/>
    <n v="1200000"/>
  </r>
  <r>
    <x v="464"/>
    <d v="2025-04-22T00:00:00"/>
    <s v="CUST0045"/>
    <s v="P017"/>
    <n v="4"/>
    <n v="100000"/>
    <n v="400000"/>
    <s v="DISC15"/>
    <n v="60000"/>
    <n v="10000"/>
    <n v="350000"/>
    <s v="Credit Card"/>
    <s v="J&amp;T"/>
    <x v="0"/>
    <x v="2"/>
    <s v="Yes"/>
    <n v="340000"/>
    <x v="39"/>
    <x v="5"/>
    <x v="5"/>
    <x v="78"/>
    <x v="0"/>
    <x v="6"/>
    <x v="0"/>
    <n v="340000"/>
  </r>
  <r>
    <x v="465"/>
    <d v="2025-04-22T00:00:00"/>
    <s v="CUST0005"/>
    <s v="P026"/>
    <n v="3"/>
    <n v="200000"/>
    <n v="600000"/>
    <s v="NEWUSER"/>
    <n v="60000"/>
    <n v="20000"/>
    <n v="560000"/>
    <s v="E-Wallet"/>
    <s v="SiCepat"/>
    <x v="0"/>
    <x v="2"/>
    <s v="Yes"/>
    <n v="540000"/>
    <x v="3"/>
    <x v="1"/>
    <x v="1"/>
    <x v="178"/>
    <x v="1"/>
    <x v="5"/>
    <x v="1"/>
    <n v="540000"/>
  </r>
  <r>
    <x v="466"/>
    <d v="2025-04-22T00:00:00"/>
    <s v="CUST0046"/>
    <s v="P033"/>
    <n v="2"/>
    <n v="100000"/>
    <n v="200000"/>
    <s v="NEWUSER"/>
    <n v="20000"/>
    <n v="20000"/>
    <n v="200000"/>
    <s v="Bank Transfer"/>
    <s v="JNE"/>
    <x v="1"/>
    <x v="2"/>
    <s v="No"/>
    <n v="180000"/>
    <x v="58"/>
    <x v="4"/>
    <x v="4"/>
    <x v="55"/>
    <x v="0"/>
    <x v="1"/>
    <x v="2"/>
    <n v="0"/>
  </r>
  <r>
    <x v="467"/>
    <d v="2025-04-21T00:00:00"/>
    <s v="CUST0187"/>
    <s v="P013"/>
    <n v="4"/>
    <n v="75000"/>
    <n v="300000"/>
    <s v="NONE"/>
    <n v="0"/>
    <n v="15000"/>
    <n v="315000"/>
    <s v="Credit Card"/>
    <s v="JNE"/>
    <x v="0"/>
    <x v="2"/>
    <s v="Yes"/>
    <n v="300000"/>
    <x v="50"/>
    <x v="2"/>
    <x v="2"/>
    <x v="242"/>
    <x v="1"/>
    <x v="5"/>
    <x v="1"/>
    <n v="300000"/>
  </r>
  <r>
    <x v="468"/>
    <d v="2025-04-21T00:00:00"/>
    <s v="CUST0342"/>
    <s v="P043"/>
    <n v="1"/>
    <n v="50000"/>
    <n v="50000"/>
    <s v="NONE"/>
    <n v="0"/>
    <n v="15000"/>
    <n v="65000"/>
    <s v="E-Wallet"/>
    <s v="J&amp;T"/>
    <x v="0"/>
    <x v="2"/>
    <s v="Yes"/>
    <n v="50000"/>
    <x v="25"/>
    <x v="2"/>
    <x v="2"/>
    <x v="11"/>
    <x v="0"/>
    <x v="5"/>
    <x v="1"/>
    <n v="50000"/>
  </r>
  <r>
    <x v="469"/>
    <d v="2025-04-21T00:00:00"/>
    <s v="CUST0338"/>
    <s v="P059"/>
    <n v="1"/>
    <n v="75000"/>
    <n v="75000"/>
    <s v="FLASHSALE"/>
    <n v="15000"/>
    <n v="10000"/>
    <n v="70000"/>
    <s v="E-Wallet"/>
    <s v="AnterAja"/>
    <x v="0"/>
    <x v="2"/>
    <s v="Yes"/>
    <n v="60000"/>
    <x v="16"/>
    <x v="5"/>
    <x v="5"/>
    <x v="37"/>
    <x v="0"/>
    <x v="3"/>
    <x v="1"/>
    <n v="60000"/>
  </r>
  <r>
    <x v="470"/>
    <d v="2025-04-21T00:00:00"/>
    <s v="CUST0145"/>
    <s v="P019"/>
    <n v="2"/>
    <n v="500000"/>
    <n v="1000000"/>
    <s v="DISC10"/>
    <n v="100000"/>
    <n v="10000"/>
    <n v="910000"/>
    <s v="Bank Transfer"/>
    <s v="JNE"/>
    <x v="0"/>
    <x v="2"/>
    <s v="Yes"/>
    <n v="900000"/>
    <x v="23"/>
    <x v="2"/>
    <x v="2"/>
    <x v="258"/>
    <x v="0"/>
    <x v="9"/>
    <x v="0"/>
    <n v="900000"/>
  </r>
  <r>
    <x v="471"/>
    <d v="2025-04-21T00:00:00"/>
    <s v="CUST0090"/>
    <s v="P059"/>
    <n v="2"/>
    <n v="75000"/>
    <n v="150000"/>
    <s v="DISC10"/>
    <n v="15000"/>
    <n v="15000"/>
    <n v="150000"/>
    <s v="E-Wallet"/>
    <s v="JNE"/>
    <x v="0"/>
    <x v="2"/>
    <s v="Yes"/>
    <n v="135000"/>
    <x v="16"/>
    <x v="5"/>
    <x v="5"/>
    <x v="88"/>
    <x v="0"/>
    <x v="8"/>
    <x v="2"/>
    <n v="135000"/>
  </r>
  <r>
    <x v="472"/>
    <d v="2025-04-21T00:00:00"/>
    <s v="CUST0210"/>
    <s v="P001"/>
    <n v="1"/>
    <n v="300000"/>
    <n v="300000"/>
    <s v="NONE"/>
    <n v="0"/>
    <n v="15000"/>
    <n v="315000"/>
    <s v="Credit Card"/>
    <s v="AnterAja"/>
    <x v="0"/>
    <x v="2"/>
    <s v="Yes"/>
    <n v="300000"/>
    <x v="26"/>
    <x v="2"/>
    <x v="2"/>
    <x v="230"/>
    <x v="1"/>
    <x v="2"/>
    <x v="0"/>
    <n v="300000"/>
  </r>
  <r>
    <x v="473"/>
    <d v="2025-04-20T00:00:00"/>
    <s v="CUST0330"/>
    <s v="P043"/>
    <n v="1"/>
    <n v="50000"/>
    <n v="50000"/>
    <s v="DISC15"/>
    <n v="7500"/>
    <n v="30000"/>
    <n v="72500"/>
    <s v="Bank Transfer"/>
    <s v="J&amp;T"/>
    <x v="0"/>
    <x v="2"/>
    <s v="Yes"/>
    <n v="42500"/>
    <x v="25"/>
    <x v="2"/>
    <x v="2"/>
    <x v="74"/>
    <x v="1"/>
    <x v="1"/>
    <x v="1"/>
    <n v="42500"/>
  </r>
  <r>
    <x v="474"/>
    <d v="2025-04-20T00:00:00"/>
    <s v="CUST0095"/>
    <s v="P038"/>
    <n v="1"/>
    <n v="35000"/>
    <n v="35000"/>
    <s v="FLASHSALE"/>
    <n v="7000"/>
    <n v="20000"/>
    <n v="48000"/>
    <s v="COD"/>
    <s v="J&amp;T"/>
    <x v="2"/>
    <x v="2"/>
    <s v="No"/>
    <n v="28000"/>
    <x v="46"/>
    <x v="1"/>
    <x v="1"/>
    <x v="259"/>
    <x v="1"/>
    <x v="5"/>
    <x v="1"/>
    <n v="0"/>
  </r>
  <r>
    <x v="475"/>
    <d v="2025-04-20T00:00:00"/>
    <s v="CUST0336"/>
    <s v="P054"/>
    <n v="3"/>
    <n v="100000"/>
    <n v="300000"/>
    <s v="NEWUSER"/>
    <n v="30000"/>
    <n v="30000"/>
    <n v="300000"/>
    <s v="E-Wallet"/>
    <s v="JNE"/>
    <x v="0"/>
    <x v="2"/>
    <s v="Yes"/>
    <n v="270000"/>
    <x v="5"/>
    <x v="0"/>
    <x v="0"/>
    <x v="260"/>
    <x v="0"/>
    <x v="1"/>
    <x v="1"/>
    <n v="270000"/>
  </r>
  <r>
    <x v="476"/>
    <d v="2025-04-20T00:00:00"/>
    <s v="CUST0276"/>
    <s v="P060"/>
    <n v="4"/>
    <n v="150000"/>
    <n v="600000"/>
    <s v="NEWUSER"/>
    <n v="60000"/>
    <n v="30000"/>
    <n v="570000"/>
    <s v="E-Wallet"/>
    <s v="JNE"/>
    <x v="0"/>
    <x v="2"/>
    <s v="Yes"/>
    <n v="540000"/>
    <x v="0"/>
    <x v="0"/>
    <x v="0"/>
    <x v="141"/>
    <x v="0"/>
    <x v="4"/>
    <x v="1"/>
    <n v="540000"/>
  </r>
  <r>
    <x v="477"/>
    <d v="2025-04-20T00:00:00"/>
    <s v="CUST0302"/>
    <s v="P025"/>
    <n v="2"/>
    <n v="100000"/>
    <n v="200000"/>
    <s v="FLASHSALE"/>
    <n v="40000"/>
    <n v="25000"/>
    <n v="185000"/>
    <s v="E-Wallet"/>
    <s v="J&amp;T"/>
    <x v="0"/>
    <x v="2"/>
    <s v="Yes"/>
    <n v="160000"/>
    <x v="53"/>
    <x v="2"/>
    <x v="2"/>
    <x v="194"/>
    <x v="1"/>
    <x v="8"/>
    <x v="1"/>
    <n v="160000"/>
  </r>
  <r>
    <x v="478"/>
    <d v="2025-04-20T00:00:00"/>
    <s v="CUST0278"/>
    <s v="P003"/>
    <n v="4"/>
    <n v="150000"/>
    <n v="600000"/>
    <s v="DISC15"/>
    <n v="90000"/>
    <n v="10000"/>
    <n v="520000"/>
    <s v="Bank Transfer"/>
    <s v="SiCepat"/>
    <x v="0"/>
    <x v="2"/>
    <s v="Yes"/>
    <n v="510000"/>
    <x v="37"/>
    <x v="4"/>
    <x v="4"/>
    <x v="161"/>
    <x v="1"/>
    <x v="1"/>
    <x v="0"/>
    <n v="510000"/>
  </r>
  <r>
    <x v="479"/>
    <d v="2025-04-20T00:00:00"/>
    <s v="CUST0254"/>
    <s v="P024"/>
    <n v="2"/>
    <n v="500000"/>
    <n v="1000000"/>
    <s v="DISC15"/>
    <n v="150000"/>
    <n v="20000"/>
    <n v="870000"/>
    <s v="Bank Transfer"/>
    <s v="SiCepat"/>
    <x v="4"/>
    <x v="2"/>
    <s v="No"/>
    <n v="850000"/>
    <x v="43"/>
    <x v="0"/>
    <x v="0"/>
    <x v="261"/>
    <x v="1"/>
    <x v="7"/>
    <x v="1"/>
    <n v="0"/>
  </r>
  <r>
    <x v="480"/>
    <d v="2025-04-20T00:00:00"/>
    <s v="CUST0115"/>
    <s v="P031"/>
    <n v="1"/>
    <n v="150000"/>
    <n v="150000"/>
    <s v="NONE"/>
    <n v="0"/>
    <n v="15000"/>
    <n v="165000"/>
    <s v="E-Wallet"/>
    <s v="J&amp;T"/>
    <x v="0"/>
    <x v="2"/>
    <s v="Yes"/>
    <n v="150000"/>
    <x v="20"/>
    <x v="2"/>
    <x v="2"/>
    <x v="158"/>
    <x v="0"/>
    <x v="4"/>
    <x v="1"/>
    <n v="150000"/>
  </r>
  <r>
    <x v="481"/>
    <d v="2025-04-20T00:00:00"/>
    <s v="CUST0074"/>
    <s v="P059"/>
    <n v="3"/>
    <n v="75000"/>
    <n v="225000"/>
    <s v="DISC15"/>
    <n v="33750"/>
    <n v="30000"/>
    <n v="221250"/>
    <s v="COD"/>
    <s v="J&amp;T"/>
    <x v="0"/>
    <x v="2"/>
    <s v="Yes"/>
    <n v="191250"/>
    <x v="16"/>
    <x v="5"/>
    <x v="5"/>
    <x v="262"/>
    <x v="1"/>
    <x v="8"/>
    <x v="0"/>
    <n v="191250"/>
  </r>
  <r>
    <x v="482"/>
    <d v="2025-04-19T00:00:00"/>
    <s v="CUST0201"/>
    <s v="P026"/>
    <n v="1"/>
    <n v="200000"/>
    <n v="200000"/>
    <s v="NONE"/>
    <n v="0"/>
    <n v="30000"/>
    <n v="230000"/>
    <s v="Bank Transfer"/>
    <s v="JNE"/>
    <x v="0"/>
    <x v="2"/>
    <s v="Yes"/>
    <n v="200000"/>
    <x v="3"/>
    <x v="1"/>
    <x v="1"/>
    <x v="107"/>
    <x v="1"/>
    <x v="2"/>
    <x v="0"/>
    <n v="200000"/>
  </r>
  <r>
    <x v="483"/>
    <d v="2025-04-19T00:00:00"/>
    <s v="CUST0051"/>
    <s v="P053"/>
    <n v="1"/>
    <n v="75000"/>
    <n v="75000"/>
    <s v="NONE"/>
    <n v="0"/>
    <n v="30000"/>
    <n v="105000"/>
    <s v="E-Wallet"/>
    <s v="SiCepat"/>
    <x v="0"/>
    <x v="2"/>
    <s v="Yes"/>
    <n v="75000"/>
    <x v="27"/>
    <x v="5"/>
    <x v="5"/>
    <x v="263"/>
    <x v="0"/>
    <x v="8"/>
    <x v="0"/>
    <n v="75000"/>
  </r>
  <r>
    <x v="484"/>
    <d v="2025-04-19T00:00:00"/>
    <s v="CUST0116"/>
    <s v="P023"/>
    <n v="1"/>
    <n v="50000"/>
    <n v="50000"/>
    <s v="NONE"/>
    <n v="0"/>
    <n v="10000"/>
    <n v="60000"/>
    <s v="Credit Card"/>
    <s v="JNE"/>
    <x v="1"/>
    <x v="2"/>
    <s v="No"/>
    <n v="50000"/>
    <x v="14"/>
    <x v="5"/>
    <x v="5"/>
    <x v="264"/>
    <x v="0"/>
    <x v="7"/>
    <x v="1"/>
    <n v="0"/>
  </r>
  <r>
    <x v="485"/>
    <d v="2025-04-19T00:00:00"/>
    <s v="CUST0331"/>
    <s v="P001"/>
    <n v="3"/>
    <n v="300000"/>
    <n v="900000"/>
    <s v="DISC10"/>
    <n v="90000"/>
    <n v="15000"/>
    <n v="825000"/>
    <s v="Bank Transfer"/>
    <s v="SiCepat"/>
    <x v="0"/>
    <x v="2"/>
    <s v="Yes"/>
    <n v="810000"/>
    <x v="26"/>
    <x v="2"/>
    <x v="2"/>
    <x v="265"/>
    <x v="1"/>
    <x v="0"/>
    <x v="0"/>
    <n v="810000"/>
  </r>
  <r>
    <x v="486"/>
    <d v="2025-04-19T00:00:00"/>
    <s v="CUST0347"/>
    <s v="P035"/>
    <n v="4"/>
    <n v="200000"/>
    <n v="800000"/>
    <s v="FLASHSALE"/>
    <n v="160000"/>
    <n v="20000"/>
    <n v="660000"/>
    <s v="E-Wallet"/>
    <s v="JNE"/>
    <x v="0"/>
    <x v="2"/>
    <s v="Yes"/>
    <n v="640000"/>
    <x v="41"/>
    <x v="5"/>
    <x v="5"/>
    <x v="48"/>
    <x v="0"/>
    <x v="0"/>
    <x v="1"/>
    <n v="640000"/>
  </r>
  <r>
    <x v="487"/>
    <d v="2025-04-19T00:00:00"/>
    <s v="CUST0337"/>
    <s v="P049"/>
    <n v="2"/>
    <n v="200000"/>
    <n v="400000"/>
    <s v="DISC10"/>
    <n v="40000"/>
    <n v="25000"/>
    <n v="385000"/>
    <s v="Credit Card"/>
    <s v="AnterAja"/>
    <x v="0"/>
    <x v="2"/>
    <s v="Yes"/>
    <n v="360000"/>
    <x v="17"/>
    <x v="2"/>
    <x v="2"/>
    <x v="266"/>
    <x v="0"/>
    <x v="7"/>
    <x v="1"/>
    <n v="360000"/>
  </r>
  <r>
    <x v="488"/>
    <d v="2025-04-19T00:00:00"/>
    <s v="CUST0055"/>
    <s v="P027"/>
    <n v="1"/>
    <n v="200000"/>
    <n v="200000"/>
    <s v="NONE"/>
    <n v="0"/>
    <n v="30000"/>
    <n v="230000"/>
    <s v="E-Wallet"/>
    <s v="J&amp;T"/>
    <x v="2"/>
    <x v="2"/>
    <s v="No"/>
    <n v="200000"/>
    <x v="51"/>
    <x v="4"/>
    <x v="4"/>
    <x v="267"/>
    <x v="1"/>
    <x v="8"/>
    <x v="2"/>
    <n v="0"/>
  </r>
  <r>
    <x v="489"/>
    <d v="2025-04-19T00:00:00"/>
    <s v="CUST0076"/>
    <s v="P020"/>
    <n v="1"/>
    <n v="75000"/>
    <n v="75000"/>
    <s v="NONE"/>
    <n v="0"/>
    <n v="20000"/>
    <n v="95000"/>
    <s v="Credit Card"/>
    <s v="J&amp;T"/>
    <x v="0"/>
    <x v="2"/>
    <s v="Yes"/>
    <n v="75000"/>
    <x v="6"/>
    <x v="1"/>
    <x v="1"/>
    <x v="150"/>
    <x v="1"/>
    <x v="0"/>
    <x v="1"/>
    <n v="75000"/>
  </r>
  <r>
    <x v="490"/>
    <d v="2025-04-19T00:00:00"/>
    <s v="CUST0265"/>
    <s v="P031"/>
    <n v="4"/>
    <n v="150000"/>
    <n v="600000"/>
    <s v="NONE"/>
    <n v="0"/>
    <n v="25000"/>
    <n v="625000"/>
    <s v="Credit Card"/>
    <s v="SiCepat"/>
    <x v="2"/>
    <x v="2"/>
    <s v="No"/>
    <n v="600000"/>
    <x v="20"/>
    <x v="2"/>
    <x v="2"/>
    <x v="268"/>
    <x v="0"/>
    <x v="6"/>
    <x v="1"/>
    <n v="0"/>
  </r>
  <r>
    <x v="491"/>
    <d v="2025-04-19T00:00:00"/>
    <s v="CUST0079"/>
    <s v="P006"/>
    <n v="1"/>
    <n v="500000"/>
    <n v="500000"/>
    <s v="FLASHSALE"/>
    <n v="100000"/>
    <n v="15000"/>
    <n v="415000"/>
    <s v="E-Wallet"/>
    <s v="JNE"/>
    <x v="0"/>
    <x v="2"/>
    <s v="Yes"/>
    <n v="400000"/>
    <x v="59"/>
    <x v="0"/>
    <x v="0"/>
    <x v="70"/>
    <x v="1"/>
    <x v="4"/>
    <x v="1"/>
    <n v="400000"/>
  </r>
  <r>
    <x v="492"/>
    <d v="2025-04-18T00:00:00"/>
    <s v="CUST0161"/>
    <s v="P017"/>
    <n v="1"/>
    <n v="100000"/>
    <n v="100000"/>
    <s v="DISC15"/>
    <n v="15000"/>
    <n v="10000"/>
    <n v="95000"/>
    <s v="COD"/>
    <s v="AnterAja"/>
    <x v="2"/>
    <x v="2"/>
    <s v="No"/>
    <n v="85000"/>
    <x v="39"/>
    <x v="5"/>
    <x v="5"/>
    <x v="99"/>
    <x v="1"/>
    <x v="1"/>
    <x v="0"/>
    <n v="0"/>
  </r>
  <r>
    <x v="493"/>
    <d v="2025-04-18T00:00:00"/>
    <s v="CUST0020"/>
    <s v="P060"/>
    <n v="1"/>
    <n v="150000"/>
    <n v="150000"/>
    <s v="NONE"/>
    <n v="0"/>
    <n v="15000"/>
    <n v="165000"/>
    <s v="E-Wallet"/>
    <s v="AnterAja"/>
    <x v="1"/>
    <x v="2"/>
    <s v="No"/>
    <n v="150000"/>
    <x v="0"/>
    <x v="0"/>
    <x v="0"/>
    <x v="123"/>
    <x v="0"/>
    <x v="3"/>
    <x v="1"/>
    <n v="0"/>
  </r>
  <r>
    <x v="494"/>
    <d v="2025-04-18T00:00:00"/>
    <s v="CUST0188"/>
    <s v="P045"/>
    <n v="1"/>
    <n v="100000"/>
    <n v="100000"/>
    <s v="DISC15"/>
    <n v="15000"/>
    <n v="25000"/>
    <n v="110000"/>
    <s v="E-Wallet"/>
    <s v="J&amp;T"/>
    <x v="4"/>
    <x v="2"/>
    <s v="No"/>
    <n v="85000"/>
    <x v="10"/>
    <x v="4"/>
    <x v="4"/>
    <x v="269"/>
    <x v="1"/>
    <x v="8"/>
    <x v="1"/>
    <n v="0"/>
  </r>
  <r>
    <x v="495"/>
    <d v="2025-04-18T00:00:00"/>
    <s v="CUST0288"/>
    <s v="P003"/>
    <n v="1"/>
    <n v="150000"/>
    <n v="150000"/>
    <s v="NONE"/>
    <n v="0"/>
    <n v="20000"/>
    <n v="170000"/>
    <s v="COD"/>
    <s v="SiCepat"/>
    <x v="1"/>
    <x v="2"/>
    <s v="No"/>
    <n v="150000"/>
    <x v="37"/>
    <x v="4"/>
    <x v="4"/>
    <x v="270"/>
    <x v="0"/>
    <x v="9"/>
    <x v="1"/>
    <n v="0"/>
  </r>
  <r>
    <x v="496"/>
    <d v="2025-04-18T00:00:00"/>
    <s v="CUST0285"/>
    <s v="P059"/>
    <n v="2"/>
    <n v="75000"/>
    <n v="150000"/>
    <s v="FLASHSALE"/>
    <n v="30000"/>
    <n v="15000"/>
    <n v="135000"/>
    <s v="COD"/>
    <s v="JNE"/>
    <x v="4"/>
    <x v="2"/>
    <s v="No"/>
    <n v="120000"/>
    <x v="16"/>
    <x v="5"/>
    <x v="5"/>
    <x v="201"/>
    <x v="1"/>
    <x v="8"/>
    <x v="1"/>
    <n v="0"/>
  </r>
  <r>
    <x v="497"/>
    <d v="2025-04-18T00:00:00"/>
    <s v="CUST0118"/>
    <s v="P041"/>
    <n v="4"/>
    <n v="75000"/>
    <n v="300000"/>
    <s v="NONE"/>
    <n v="0"/>
    <n v="20000"/>
    <n v="320000"/>
    <s v="Bank Transfer"/>
    <s v="J&amp;T"/>
    <x v="0"/>
    <x v="2"/>
    <s v="Yes"/>
    <n v="300000"/>
    <x v="15"/>
    <x v="5"/>
    <x v="5"/>
    <x v="271"/>
    <x v="1"/>
    <x v="7"/>
    <x v="1"/>
    <n v="300000"/>
  </r>
  <r>
    <x v="498"/>
    <d v="2025-04-18T00:00:00"/>
    <s v="CUST0053"/>
    <s v="P023"/>
    <n v="2"/>
    <n v="50000"/>
    <n v="100000"/>
    <s v="NEWUSER"/>
    <n v="10000"/>
    <n v="10000"/>
    <n v="100000"/>
    <s v="COD"/>
    <s v="JNE"/>
    <x v="0"/>
    <x v="2"/>
    <s v="Yes"/>
    <n v="90000"/>
    <x v="14"/>
    <x v="5"/>
    <x v="5"/>
    <x v="168"/>
    <x v="0"/>
    <x v="1"/>
    <x v="1"/>
    <n v="90000"/>
  </r>
  <r>
    <x v="499"/>
    <d v="2025-04-18T00:00:00"/>
    <s v="CUST0004"/>
    <s v="P029"/>
    <n v="4"/>
    <n v="500000"/>
    <n v="2000000"/>
    <s v="DISC10"/>
    <n v="200000"/>
    <n v="10000"/>
    <n v="1810000"/>
    <s v="E-Wallet"/>
    <s v="SiCepat"/>
    <x v="0"/>
    <x v="2"/>
    <s v="Yes"/>
    <n v="1800000"/>
    <x v="35"/>
    <x v="5"/>
    <x v="5"/>
    <x v="272"/>
    <x v="1"/>
    <x v="6"/>
    <x v="2"/>
    <n v="1800000"/>
  </r>
  <r>
    <x v="500"/>
    <d v="2025-04-18T00:00:00"/>
    <s v="CUST0265"/>
    <s v="P013"/>
    <n v="4"/>
    <n v="75000"/>
    <n v="300000"/>
    <s v="DISC15"/>
    <n v="45000"/>
    <n v="25000"/>
    <n v="280000"/>
    <s v="Bank Transfer"/>
    <s v="SiCepat"/>
    <x v="0"/>
    <x v="2"/>
    <s v="Yes"/>
    <n v="255000"/>
    <x v="50"/>
    <x v="2"/>
    <x v="2"/>
    <x v="268"/>
    <x v="0"/>
    <x v="6"/>
    <x v="1"/>
    <n v="255000"/>
  </r>
  <r>
    <x v="501"/>
    <d v="2025-04-18T00:00:00"/>
    <s v="CUST0112"/>
    <s v="P025"/>
    <n v="4"/>
    <n v="100000"/>
    <n v="400000"/>
    <s v="NONE"/>
    <n v="0"/>
    <n v="15000"/>
    <n v="415000"/>
    <s v="Bank Transfer"/>
    <s v="AnterAja"/>
    <x v="0"/>
    <x v="2"/>
    <s v="Yes"/>
    <n v="400000"/>
    <x v="53"/>
    <x v="2"/>
    <x v="2"/>
    <x v="58"/>
    <x v="1"/>
    <x v="9"/>
    <x v="1"/>
    <n v="400000"/>
  </r>
  <r>
    <x v="502"/>
    <d v="2025-04-18T00:00:00"/>
    <s v="CUST0140"/>
    <s v="P018"/>
    <n v="3"/>
    <n v="500000"/>
    <n v="1500000"/>
    <s v="NONE"/>
    <n v="0"/>
    <n v="30000"/>
    <n v="1530000"/>
    <s v="E-Wallet"/>
    <s v="AnterAja"/>
    <x v="0"/>
    <x v="2"/>
    <s v="Yes"/>
    <n v="1500000"/>
    <x v="1"/>
    <x v="0"/>
    <x v="0"/>
    <x v="83"/>
    <x v="1"/>
    <x v="2"/>
    <x v="1"/>
    <n v="1500000"/>
  </r>
  <r>
    <x v="503"/>
    <d v="2025-04-18T00:00:00"/>
    <s v="CUST0044"/>
    <s v="P014"/>
    <n v="1"/>
    <n v="75000"/>
    <n v="75000"/>
    <s v="NEWUSER"/>
    <n v="7500"/>
    <n v="15000"/>
    <n v="82500"/>
    <s v="E-Wallet"/>
    <s v="AnterAja"/>
    <x v="0"/>
    <x v="2"/>
    <s v="Yes"/>
    <n v="67500"/>
    <x v="30"/>
    <x v="1"/>
    <x v="1"/>
    <x v="3"/>
    <x v="0"/>
    <x v="3"/>
    <x v="2"/>
    <n v="67500"/>
  </r>
  <r>
    <x v="504"/>
    <d v="2025-04-18T00:00:00"/>
    <s v="CUST0165"/>
    <s v="P013"/>
    <n v="1"/>
    <n v="75000"/>
    <n v="75000"/>
    <s v="DISC15"/>
    <n v="11250"/>
    <n v="15000"/>
    <n v="78750"/>
    <s v="Credit Card"/>
    <s v="SiCepat"/>
    <x v="1"/>
    <x v="2"/>
    <s v="No"/>
    <n v="63750"/>
    <x v="50"/>
    <x v="2"/>
    <x v="2"/>
    <x v="273"/>
    <x v="0"/>
    <x v="4"/>
    <x v="1"/>
    <n v="0"/>
  </r>
  <r>
    <x v="505"/>
    <d v="2025-04-18T00:00:00"/>
    <s v="CUST0060"/>
    <s v="P034"/>
    <n v="1"/>
    <n v="50000"/>
    <n v="50000"/>
    <s v="NEWUSER"/>
    <n v="5000"/>
    <n v="10000"/>
    <n v="55000"/>
    <s v="Credit Card"/>
    <s v="SiCepat"/>
    <x v="1"/>
    <x v="2"/>
    <s v="No"/>
    <n v="45000"/>
    <x v="42"/>
    <x v="3"/>
    <x v="3"/>
    <x v="80"/>
    <x v="1"/>
    <x v="0"/>
    <x v="1"/>
    <n v="0"/>
  </r>
  <r>
    <x v="506"/>
    <d v="2025-04-17T00:00:00"/>
    <s v="CUST0146"/>
    <s v="P036"/>
    <n v="1"/>
    <n v="150000"/>
    <n v="150000"/>
    <s v="DISC15"/>
    <n v="22500"/>
    <n v="25000"/>
    <n v="152500"/>
    <s v="E-Wallet"/>
    <s v="J&amp;T"/>
    <x v="0"/>
    <x v="2"/>
    <s v="Yes"/>
    <n v="127500"/>
    <x v="2"/>
    <x v="0"/>
    <x v="0"/>
    <x v="160"/>
    <x v="1"/>
    <x v="1"/>
    <x v="2"/>
    <n v="127500"/>
  </r>
  <r>
    <x v="507"/>
    <d v="2025-04-17T00:00:00"/>
    <s v="CUST0191"/>
    <s v="P032"/>
    <n v="1"/>
    <n v="35000"/>
    <n v="35000"/>
    <s v="DISC10"/>
    <n v="3500"/>
    <n v="20000"/>
    <n v="51500"/>
    <s v="E-Wallet"/>
    <s v="J&amp;T"/>
    <x v="0"/>
    <x v="2"/>
    <s v="Yes"/>
    <n v="31500"/>
    <x v="29"/>
    <x v="1"/>
    <x v="1"/>
    <x v="176"/>
    <x v="0"/>
    <x v="5"/>
    <x v="1"/>
    <n v="31500"/>
  </r>
  <r>
    <x v="508"/>
    <d v="2025-04-17T00:00:00"/>
    <s v="CUST0223"/>
    <s v="P016"/>
    <n v="1"/>
    <n v="150000"/>
    <n v="150000"/>
    <s v="NONE"/>
    <n v="0"/>
    <n v="25000"/>
    <n v="175000"/>
    <s v="Credit Card"/>
    <s v="J&amp;T"/>
    <x v="0"/>
    <x v="2"/>
    <s v="Yes"/>
    <n v="150000"/>
    <x v="8"/>
    <x v="3"/>
    <x v="3"/>
    <x v="136"/>
    <x v="0"/>
    <x v="6"/>
    <x v="1"/>
    <n v="150000"/>
  </r>
  <r>
    <x v="509"/>
    <d v="2025-04-16T00:00:00"/>
    <s v="CUST0342"/>
    <s v="P021"/>
    <n v="1"/>
    <n v="200000"/>
    <n v="200000"/>
    <s v="NONE"/>
    <n v="0"/>
    <n v="30000"/>
    <n v="230000"/>
    <s v="COD"/>
    <s v="AnterAja"/>
    <x v="4"/>
    <x v="2"/>
    <s v="No"/>
    <n v="200000"/>
    <x v="32"/>
    <x v="4"/>
    <x v="4"/>
    <x v="11"/>
    <x v="0"/>
    <x v="5"/>
    <x v="1"/>
    <n v="0"/>
  </r>
  <r>
    <x v="510"/>
    <d v="2025-04-16T00:00:00"/>
    <s v="CUST0181"/>
    <s v="P056"/>
    <n v="1"/>
    <n v="100000"/>
    <n v="100000"/>
    <s v="DISC10"/>
    <n v="10000"/>
    <n v="25000"/>
    <n v="115000"/>
    <s v="Credit Card"/>
    <s v="AnterAja"/>
    <x v="0"/>
    <x v="2"/>
    <s v="Yes"/>
    <n v="90000"/>
    <x v="54"/>
    <x v="1"/>
    <x v="1"/>
    <x v="195"/>
    <x v="0"/>
    <x v="8"/>
    <x v="1"/>
    <n v="90000"/>
  </r>
  <r>
    <x v="511"/>
    <d v="2025-04-16T00:00:00"/>
    <s v="CUST0300"/>
    <s v="P010"/>
    <n v="1"/>
    <n v="50000"/>
    <n v="50000"/>
    <s v="NONE"/>
    <n v="0"/>
    <n v="20000"/>
    <n v="70000"/>
    <s v="Credit Card"/>
    <s v="J&amp;T"/>
    <x v="0"/>
    <x v="2"/>
    <s v="Yes"/>
    <n v="50000"/>
    <x v="13"/>
    <x v="3"/>
    <x v="3"/>
    <x v="143"/>
    <x v="1"/>
    <x v="0"/>
    <x v="2"/>
    <n v="50000"/>
  </r>
  <r>
    <x v="512"/>
    <d v="2025-04-16T00:00:00"/>
    <s v="CUST0058"/>
    <s v="P009"/>
    <n v="1"/>
    <n v="300000"/>
    <n v="300000"/>
    <s v="NONE"/>
    <n v="0"/>
    <n v="25000"/>
    <n v="325000"/>
    <s v="Bank Transfer"/>
    <s v="J&amp;T"/>
    <x v="0"/>
    <x v="2"/>
    <s v="Yes"/>
    <n v="300000"/>
    <x v="45"/>
    <x v="4"/>
    <x v="4"/>
    <x v="152"/>
    <x v="0"/>
    <x v="6"/>
    <x v="0"/>
    <n v="300000"/>
  </r>
  <r>
    <x v="513"/>
    <d v="2025-04-16T00:00:00"/>
    <s v="CUST0064"/>
    <s v="P059"/>
    <n v="3"/>
    <n v="75000"/>
    <n v="225000"/>
    <s v="DISC15"/>
    <n v="33750"/>
    <n v="30000"/>
    <n v="221250"/>
    <s v="COD"/>
    <s v="JNE"/>
    <x v="0"/>
    <x v="2"/>
    <s v="Yes"/>
    <n v="191250"/>
    <x v="16"/>
    <x v="5"/>
    <x v="5"/>
    <x v="61"/>
    <x v="1"/>
    <x v="9"/>
    <x v="0"/>
    <n v="191250"/>
  </r>
  <r>
    <x v="514"/>
    <d v="2025-04-16T00:00:00"/>
    <s v="CUST0193"/>
    <s v="P060"/>
    <n v="3"/>
    <n v="150000"/>
    <n v="450000"/>
    <s v="NONE"/>
    <n v="0"/>
    <n v="15000"/>
    <n v="465000"/>
    <s v="COD"/>
    <s v="SiCepat"/>
    <x v="0"/>
    <x v="2"/>
    <s v="Yes"/>
    <n v="450000"/>
    <x v="0"/>
    <x v="0"/>
    <x v="0"/>
    <x v="39"/>
    <x v="0"/>
    <x v="8"/>
    <x v="2"/>
    <n v="450000"/>
  </r>
  <r>
    <x v="515"/>
    <d v="2025-04-16T00:00:00"/>
    <s v="CUST0093"/>
    <s v="P001"/>
    <n v="2"/>
    <n v="300000"/>
    <n v="600000"/>
    <s v="DISC10"/>
    <n v="60000"/>
    <n v="25000"/>
    <n v="565000"/>
    <s v="Credit Card"/>
    <s v="JNE"/>
    <x v="0"/>
    <x v="2"/>
    <s v="Yes"/>
    <n v="540000"/>
    <x v="26"/>
    <x v="2"/>
    <x v="2"/>
    <x v="187"/>
    <x v="1"/>
    <x v="4"/>
    <x v="1"/>
    <n v="540000"/>
  </r>
  <r>
    <x v="516"/>
    <d v="2025-04-15T00:00:00"/>
    <s v="CUST0013"/>
    <s v="P018"/>
    <n v="2"/>
    <n v="500000"/>
    <n v="1000000"/>
    <s v="NONE"/>
    <n v="0"/>
    <n v="20000"/>
    <n v="1020000"/>
    <s v="COD"/>
    <s v="AnterAja"/>
    <x v="1"/>
    <x v="2"/>
    <s v="No"/>
    <n v="1000000"/>
    <x v="1"/>
    <x v="0"/>
    <x v="0"/>
    <x v="198"/>
    <x v="1"/>
    <x v="7"/>
    <x v="2"/>
    <n v="0"/>
  </r>
  <r>
    <x v="517"/>
    <d v="2025-04-15T00:00:00"/>
    <s v="CUST0341"/>
    <s v="P002"/>
    <n v="1"/>
    <n v="100000"/>
    <n v="100000"/>
    <s v="NONE"/>
    <n v="0"/>
    <n v="15000"/>
    <n v="115000"/>
    <s v="E-Wallet"/>
    <s v="SiCepat"/>
    <x v="0"/>
    <x v="2"/>
    <s v="Yes"/>
    <n v="100000"/>
    <x v="38"/>
    <x v="1"/>
    <x v="1"/>
    <x v="274"/>
    <x v="0"/>
    <x v="6"/>
    <x v="1"/>
    <n v="100000"/>
  </r>
  <r>
    <x v="518"/>
    <d v="2025-04-15T00:00:00"/>
    <s v="CUST0189"/>
    <s v="P032"/>
    <n v="3"/>
    <n v="35000"/>
    <n v="105000"/>
    <s v="NONE"/>
    <n v="0"/>
    <n v="25000"/>
    <n v="130000"/>
    <s v="Bank Transfer"/>
    <s v="J&amp;T"/>
    <x v="4"/>
    <x v="2"/>
    <s v="No"/>
    <n v="105000"/>
    <x v="29"/>
    <x v="1"/>
    <x v="1"/>
    <x v="28"/>
    <x v="1"/>
    <x v="7"/>
    <x v="1"/>
    <n v="0"/>
  </r>
  <r>
    <x v="519"/>
    <d v="2025-04-15T00:00:00"/>
    <s v="CUST0259"/>
    <s v="P046"/>
    <n v="4"/>
    <n v="100000"/>
    <n v="400000"/>
    <s v="NONE"/>
    <n v="0"/>
    <n v="30000"/>
    <n v="430000"/>
    <s v="Bank Transfer"/>
    <s v="AnterAja"/>
    <x v="0"/>
    <x v="2"/>
    <s v="Yes"/>
    <n v="400000"/>
    <x v="7"/>
    <x v="3"/>
    <x v="3"/>
    <x v="137"/>
    <x v="1"/>
    <x v="7"/>
    <x v="1"/>
    <n v="400000"/>
  </r>
  <r>
    <x v="520"/>
    <d v="2025-04-15T00:00:00"/>
    <s v="CUST0236"/>
    <s v="P045"/>
    <n v="3"/>
    <n v="100000"/>
    <n v="300000"/>
    <s v="NONE"/>
    <n v="0"/>
    <n v="25000"/>
    <n v="325000"/>
    <s v="Credit Card"/>
    <s v="SiCepat"/>
    <x v="3"/>
    <x v="2"/>
    <s v="No"/>
    <n v="300000"/>
    <x v="10"/>
    <x v="4"/>
    <x v="4"/>
    <x v="233"/>
    <x v="0"/>
    <x v="8"/>
    <x v="1"/>
    <n v="0"/>
  </r>
  <r>
    <x v="521"/>
    <d v="2025-04-14T00:00:00"/>
    <s v="CUST0023"/>
    <s v="P009"/>
    <n v="1"/>
    <n v="300000"/>
    <n v="300000"/>
    <s v="NONE"/>
    <n v="0"/>
    <n v="20000"/>
    <n v="320000"/>
    <s v="E-Wallet"/>
    <s v="J&amp;T"/>
    <x v="0"/>
    <x v="2"/>
    <s v="Yes"/>
    <n v="300000"/>
    <x v="45"/>
    <x v="4"/>
    <x v="4"/>
    <x v="45"/>
    <x v="1"/>
    <x v="3"/>
    <x v="2"/>
    <n v="300000"/>
  </r>
  <r>
    <x v="522"/>
    <d v="2025-04-14T00:00:00"/>
    <s v="CUST0092"/>
    <s v="P058"/>
    <n v="2"/>
    <n v="35000"/>
    <n v="70000"/>
    <s v="NONE"/>
    <n v="0"/>
    <n v="10000"/>
    <n v="80000"/>
    <s v="Bank Transfer"/>
    <s v="SiCepat"/>
    <x v="0"/>
    <x v="2"/>
    <s v="Yes"/>
    <n v="70000"/>
    <x v="24"/>
    <x v="3"/>
    <x v="3"/>
    <x v="204"/>
    <x v="1"/>
    <x v="3"/>
    <x v="2"/>
    <n v="70000"/>
  </r>
  <r>
    <x v="523"/>
    <d v="2025-04-14T00:00:00"/>
    <s v="CUST0248"/>
    <s v="P044"/>
    <n v="1"/>
    <n v="500000"/>
    <n v="500000"/>
    <s v="NONE"/>
    <n v="0"/>
    <n v="10000"/>
    <n v="510000"/>
    <s v="E-Wallet"/>
    <s v="J&amp;T"/>
    <x v="1"/>
    <x v="2"/>
    <s v="No"/>
    <n v="500000"/>
    <x v="47"/>
    <x v="1"/>
    <x v="1"/>
    <x v="133"/>
    <x v="0"/>
    <x v="8"/>
    <x v="1"/>
    <n v="0"/>
  </r>
  <r>
    <x v="524"/>
    <d v="2025-04-14T00:00:00"/>
    <s v="CUST0271"/>
    <s v="P032"/>
    <n v="4"/>
    <n v="35000"/>
    <n v="140000"/>
    <s v="NONE"/>
    <n v="0"/>
    <n v="30000"/>
    <n v="170000"/>
    <s v="COD"/>
    <s v="SiCepat"/>
    <x v="0"/>
    <x v="2"/>
    <s v="Yes"/>
    <n v="140000"/>
    <x v="29"/>
    <x v="1"/>
    <x v="1"/>
    <x v="209"/>
    <x v="1"/>
    <x v="6"/>
    <x v="0"/>
    <n v="140000"/>
  </r>
  <r>
    <x v="525"/>
    <d v="2025-04-14T00:00:00"/>
    <s v="CUST0292"/>
    <s v="P015"/>
    <n v="2"/>
    <n v="500000"/>
    <n v="1000000"/>
    <s v="NONE"/>
    <n v="0"/>
    <n v="30000"/>
    <n v="1030000"/>
    <s v="COD"/>
    <s v="J&amp;T"/>
    <x v="0"/>
    <x v="2"/>
    <s v="Yes"/>
    <n v="1000000"/>
    <x v="19"/>
    <x v="4"/>
    <x v="4"/>
    <x v="33"/>
    <x v="1"/>
    <x v="2"/>
    <x v="0"/>
    <n v="1000000"/>
  </r>
  <r>
    <x v="526"/>
    <d v="2025-04-14T00:00:00"/>
    <s v="CUST0188"/>
    <s v="P051"/>
    <n v="3"/>
    <n v="300000"/>
    <n v="900000"/>
    <s v="NONE"/>
    <n v="0"/>
    <n v="20000"/>
    <n v="920000"/>
    <s v="Bank Transfer"/>
    <s v="SiCepat"/>
    <x v="1"/>
    <x v="2"/>
    <s v="No"/>
    <n v="900000"/>
    <x v="48"/>
    <x v="4"/>
    <x v="4"/>
    <x v="269"/>
    <x v="1"/>
    <x v="8"/>
    <x v="1"/>
    <n v="0"/>
  </r>
  <r>
    <x v="527"/>
    <d v="2025-04-14T00:00:00"/>
    <s v="CUST0034"/>
    <s v="P025"/>
    <n v="2"/>
    <n v="100000"/>
    <n v="200000"/>
    <s v="DISC10"/>
    <n v="20000"/>
    <n v="20000"/>
    <n v="200000"/>
    <s v="E-Wallet"/>
    <s v="J&amp;T"/>
    <x v="0"/>
    <x v="2"/>
    <s v="Yes"/>
    <n v="180000"/>
    <x v="53"/>
    <x v="2"/>
    <x v="2"/>
    <x v="138"/>
    <x v="0"/>
    <x v="8"/>
    <x v="1"/>
    <n v="180000"/>
  </r>
  <r>
    <x v="528"/>
    <d v="2025-04-14T00:00:00"/>
    <s v="CUST0007"/>
    <s v="P027"/>
    <n v="1"/>
    <n v="200000"/>
    <n v="200000"/>
    <s v="NONE"/>
    <n v="0"/>
    <n v="20000"/>
    <n v="220000"/>
    <s v="COD"/>
    <s v="AnterAja"/>
    <x v="0"/>
    <x v="2"/>
    <s v="Yes"/>
    <n v="200000"/>
    <x v="51"/>
    <x v="4"/>
    <x v="4"/>
    <x v="131"/>
    <x v="0"/>
    <x v="5"/>
    <x v="1"/>
    <n v="200000"/>
  </r>
  <r>
    <x v="529"/>
    <d v="2025-04-14T00:00:00"/>
    <s v="CUST0046"/>
    <s v="P044"/>
    <n v="3"/>
    <n v="500000"/>
    <n v="1500000"/>
    <s v="DISC15"/>
    <n v="225000"/>
    <n v="25000"/>
    <n v="1300000"/>
    <s v="E-Wallet"/>
    <s v="SiCepat"/>
    <x v="0"/>
    <x v="2"/>
    <s v="Yes"/>
    <n v="1275000"/>
    <x v="47"/>
    <x v="1"/>
    <x v="1"/>
    <x v="55"/>
    <x v="0"/>
    <x v="1"/>
    <x v="2"/>
    <n v="1275000"/>
  </r>
  <r>
    <x v="530"/>
    <d v="2025-04-14T00:00:00"/>
    <s v="CUST0075"/>
    <s v="P007"/>
    <n v="1"/>
    <n v="150000"/>
    <n v="150000"/>
    <s v="NONE"/>
    <n v="0"/>
    <n v="10000"/>
    <n v="160000"/>
    <s v="COD"/>
    <s v="SiCepat"/>
    <x v="0"/>
    <x v="2"/>
    <s v="Yes"/>
    <n v="150000"/>
    <x v="52"/>
    <x v="2"/>
    <x v="2"/>
    <x v="126"/>
    <x v="1"/>
    <x v="6"/>
    <x v="0"/>
    <n v="150000"/>
  </r>
  <r>
    <x v="531"/>
    <d v="2025-04-13T00:00:00"/>
    <s v="CUST0324"/>
    <s v="P051"/>
    <n v="1"/>
    <n v="300000"/>
    <n v="300000"/>
    <s v="NONE"/>
    <n v="0"/>
    <n v="15000"/>
    <n v="315000"/>
    <s v="Bank Transfer"/>
    <s v="SiCepat"/>
    <x v="0"/>
    <x v="2"/>
    <s v="Yes"/>
    <n v="300000"/>
    <x v="48"/>
    <x v="4"/>
    <x v="4"/>
    <x v="202"/>
    <x v="1"/>
    <x v="6"/>
    <x v="1"/>
    <n v="300000"/>
  </r>
  <r>
    <x v="532"/>
    <d v="2025-04-13T00:00:00"/>
    <s v="CUST0250"/>
    <s v="P005"/>
    <n v="1"/>
    <n v="75000"/>
    <n v="75000"/>
    <s v="NEWUSER"/>
    <n v="7500"/>
    <n v="10000"/>
    <n v="77500"/>
    <s v="Bank Transfer"/>
    <s v="JNE"/>
    <x v="0"/>
    <x v="2"/>
    <s v="Yes"/>
    <n v="67500"/>
    <x v="12"/>
    <x v="5"/>
    <x v="5"/>
    <x v="275"/>
    <x v="0"/>
    <x v="6"/>
    <x v="2"/>
    <n v="67500"/>
  </r>
  <r>
    <x v="533"/>
    <d v="2025-04-13T00:00:00"/>
    <s v="CUST0171"/>
    <s v="P031"/>
    <n v="1"/>
    <n v="150000"/>
    <n v="150000"/>
    <s v="DISC10"/>
    <n v="15000"/>
    <n v="15000"/>
    <n v="150000"/>
    <s v="E-Wallet"/>
    <s v="JNE"/>
    <x v="0"/>
    <x v="2"/>
    <s v="Yes"/>
    <n v="135000"/>
    <x v="20"/>
    <x v="2"/>
    <x v="2"/>
    <x v="10"/>
    <x v="0"/>
    <x v="2"/>
    <x v="1"/>
    <n v="135000"/>
  </r>
  <r>
    <x v="534"/>
    <d v="2025-04-13T00:00:00"/>
    <s v="CUST0317"/>
    <s v="P004"/>
    <n v="1"/>
    <n v="300000"/>
    <n v="300000"/>
    <s v="NONE"/>
    <n v="0"/>
    <n v="30000"/>
    <n v="330000"/>
    <s v="Credit Card"/>
    <s v="AnterAja"/>
    <x v="2"/>
    <x v="2"/>
    <s v="No"/>
    <n v="300000"/>
    <x v="22"/>
    <x v="3"/>
    <x v="3"/>
    <x v="7"/>
    <x v="0"/>
    <x v="2"/>
    <x v="0"/>
    <n v="0"/>
  </r>
  <r>
    <x v="535"/>
    <d v="2025-04-13T00:00:00"/>
    <s v="CUST0297"/>
    <s v="P042"/>
    <n v="1"/>
    <n v="300000"/>
    <n v="300000"/>
    <s v="NONE"/>
    <n v="0"/>
    <n v="10000"/>
    <n v="310000"/>
    <s v="E-Wallet"/>
    <s v="SiCepat"/>
    <x v="0"/>
    <x v="2"/>
    <s v="Yes"/>
    <n v="300000"/>
    <x v="36"/>
    <x v="0"/>
    <x v="0"/>
    <x v="276"/>
    <x v="0"/>
    <x v="3"/>
    <x v="1"/>
    <n v="300000"/>
  </r>
  <r>
    <x v="536"/>
    <d v="2025-04-13T00:00:00"/>
    <s v="CUST0007"/>
    <s v="P059"/>
    <n v="4"/>
    <n v="75000"/>
    <n v="300000"/>
    <s v="DISC10"/>
    <n v="30000"/>
    <n v="10000"/>
    <n v="280000"/>
    <s v="E-Wallet"/>
    <s v="J&amp;T"/>
    <x v="2"/>
    <x v="2"/>
    <s v="No"/>
    <n v="270000"/>
    <x v="16"/>
    <x v="5"/>
    <x v="5"/>
    <x v="131"/>
    <x v="0"/>
    <x v="5"/>
    <x v="1"/>
    <n v="0"/>
  </r>
  <r>
    <x v="537"/>
    <d v="2025-04-12T00:00:00"/>
    <s v="CUST0012"/>
    <s v="P019"/>
    <n v="2"/>
    <n v="500000"/>
    <n v="1000000"/>
    <s v="DISC15"/>
    <n v="150000"/>
    <n v="10000"/>
    <n v="860000"/>
    <s v="COD"/>
    <s v="JNE"/>
    <x v="0"/>
    <x v="2"/>
    <s v="Yes"/>
    <n v="850000"/>
    <x v="23"/>
    <x v="2"/>
    <x v="2"/>
    <x v="197"/>
    <x v="0"/>
    <x v="8"/>
    <x v="1"/>
    <n v="850000"/>
  </r>
  <r>
    <x v="538"/>
    <d v="2025-04-12T00:00:00"/>
    <s v="CUST0192"/>
    <s v="P051"/>
    <n v="3"/>
    <n v="300000"/>
    <n v="900000"/>
    <s v="NONE"/>
    <n v="0"/>
    <n v="10000"/>
    <n v="910000"/>
    <s v="E-Wallet"/>
    <s v="UNKNOWN"/>
    <x v="0"/>
    <x v="2"/>
    <s v="Yes"/>
    <n v="900000"/>
    <x v="48"/>
    <x v="4"/>
    <x v="4"/>
    <x v="277"/>
    <x v="1"/>
    <x v="3"/>
    <x v="1"/>
    <n v="900000"/>
  </r>
  <r>
    <x v="539"/>
    <d v="2025-04-12T00:00:00"/>
    <s v="CUST0146"/>
    <s v="P002"/>
    <n v="1"/>
    <n v="100000"/>
    <n v="100000"/>
    <s v="NONE"/>
    <n v="0"/>
    <n v="10000"/>
    <n v="110000"/>
    <s v="Credit Card"/>
    <s v="JNE"/>
    <x v="0"/>
    <x v="2"/>
    <s v="Yes"/>
    <n v="100000"/>
    <x v="38"/>
    <x v="1"/>
    <x v="1"/>
    <x v="160"/>
    <x v="1"/>
    <x v="1"/>
    <x v="2"/>
    <n v="100000"/>
  </r>
  <r>
    <x v="540"/>
    <d v="2025-04-12T00:00:00"/>
    <s v="CUST0203"/>
    <s v="P027"/>
    <n v="1"/>
    <n v="200000"/>
    <n v="200000"/>
    <s v="NONE"/>
    <n v="0"/>
    <n v="25000"/>
    <n v="225000"/>
    <s v="COD"/>
    <s v="J&amp;T"/>
    <x v="1"/>
    <x v="2"/>
    <s v="No"/>
    <n v="200000"/>
    <x v="51"/>
    <x v="4"/>
    <x v="4"/>
    <x v="120"/>
    <x v="1"/>
    <x v="3"/>
    <x v="0"/>
    <n v="0"/>
  </r>
  <r>
    <x v="541"/>
    <d v="2025-04-12T00:00:00"/>
    <s v="CUST0334"/>
    <s v="P049"/>
    <n v="1"/>
    <n v="200000"/>
    <n v="200000"/>
    <s v="NONE"/>
    <n v="0"/>
    <n v="25000"/>
    <n v="225000"/>
    <s v="E-Wallet"/>
    <s v="SiCepat"/>
    <x v="0"/>
    <x v="2"/>
    <s v="Yes"/>
    <n v="200000"/>
    <x v="17"/>
    <x v="2"/>
    <x v="2"/>
    <x v="208"/>
    <x v="0"/>
    <x v="0"/>
    <x v="1"/>
    <n v="200000"/>
  </r>
  <r>
    <x v="542"/>
    <d v="2025-04-12T00:00:00"/>
    <s v="CUST0120"/>
    <s v="P025"/>
    <n v="3"/>
    <n v="100000"/>
    <n v="300000"/>
    <s v="NEWUSER"/>
    <n v="30000"/>
    <n v="10000"/>
    <n v="280000"/>
    <s v="Bank Transfer"/>
    <s v="JNE"/>
    <x v="0"/>
    <x v="2"/>
    <s v="Yes"/>
    <n v="270000"/>
    <x v="53"/>
    <x v="2"/>
    <x v="2"/>
    <x v="278"/>
    <x v="1"/>
    <x v="4"/>
    <x v="1"/>
    <n v="270000"/>
  </r>
  <r>
    <x v="543"/>
    <d v="2025-04-11T00:00:00"/>
    <s v="CUST0186"/>
    <s v="P004"/>
    <n v="4"/>
    <n v="300000"/>
    <n v="1200000"/>
    <s v="NONE"/>
    <n v="0"/>
    <n v="15000"/>
    <n v="1215000"/>
    <s v="Credit Card"/>
    <s v="UNKNOWN"/>
    <x v="0"/>
    <x v="2"/>
    <s v="Yes"/>
    <n v="1200000"/>
    <x v="22"/>
    <x v="3"/>
    <x v="3"/>
    <x v="13"/>
    <x v="0"/>
    <x v="4"/>
    <x v="2"/>
    <n v="1200000"/>
  </r>
  <r>
    <x v="544"/>
    <d v="2025-04-11T00:00:00"/>
    <s v="CUST0102"/>
    <s v="P049"/>
    <n v="1"/>
    <n v="200000"/>
    <n v="200000"/>
    <s v="FLASHSALE"/>
    <n v="40000"/>
    <n v="15000"/>
    <n v="175000"/>
    <s v="Bank Transfer"/>
    <s v="JNE"/>
    <x v="2"/>
    <x v="2"/>
    <s v="No"/>
    <n v="160000"/>
    <x v="17"/>
    <x v="2"/>
    <x v="2"/>
    <x v="236"/>
    <x v="1"/>
    <x v="2"/>
    <x v="1"/>
    <n v="0"/>
  </r>
  <r>
    <x v="545"/>
    <d v="2025-04-11T00:00:00"/>
    <s v="CUST0213"/>
    <s v="P049"/>
    <n v="4"/>
    <n v="200000"/>
    <n v="800000"/>
    <s v="NONE"/>
    <n v="0"/>
    <n v="30000"/>
    <n v="830000"/>
    <s v="Credit Card"/>
    <s v="JNE"/>
    <x v="0"/>
    <x v="2"/>
    <s v="Yes"/>
    <n v="800000"/>
    <x v="17"/>
    <x v="2"/>
    <x v="2"/>
    <x v="191"/>
    <x v="0"/>
    <x v="5"/>
    <x v="1"/>
    <n v="800000"/>
  </r>
  <r>
    <x v="546"/>
    <d v="2025-04-11T00:00:00"/>
    <s v="CUST0304"/>
    <s v="P039"/>
    <n v="2"/>
    <n v="35000"/>
    <n v="70000"/>
    <s v="NONE"/>
    <n v="0"/>
    <n v="20000"/>
    <n v="90000"/>
    <s v="E-Wallet"/>
    <s v="AnterAja"/>
    <x v="1"/>
    <x v="2"/>
    <s v="No"/>
    <n v="70000"/>
    <x v="11"/>
    <x v="4"/>
    <x v="4"/>
    <x v="157"/>
    <x v="0"/>
    <x v="6"/>
    <x v="2"/>
    <n v="0"/>
  </r>
  <r>
    <x v="547"/>
    <d v="2025-04-11T00:00:00"/>
    <s v="CUST0340"/>
    <s v="P012"/>
    <n v="1"/>
    <n v="300000"/>
    <n v="300000"/>
    <s v="NONE"/>
    <n v="0"/>
    <n v="30000"/>
    <n v="330000"/>
    <s v="Bank Transfer"/>
    <s v="SiCepat"/>
    <x v="0"/>
    <x v="2"/>
    <s v="Yes"/>
    <n v="300000"/>
    <x v="40"/>
    <x v="0"/>
    <x v="0"/>
    <x v="47"/>
    <x v="1"/>
    <x v="7"/>
    <x v="2"/>
    <n v="300000"/>
  </r>
  <r>
    <x v="548"/>
    <d v="2025-04-11T00:00:00"/>
    <s v="CUST0009"/>
    <s v="P053"/>
    <n v="1"/>
    <n v="75000"/>
    <n v="75000"/>
    <s v="NONE"/>
    <n v="0"/>
    <n v="10000"/>
    <n v="85000"/>
    <s v="E-Wallet"/>
    <s v="JNE"/>
    <x v="2"/>
    <x v="2"/>
    <s v="No"/>
    <n v="75000"/>
    <x v="27"/>
    <x v="5"/>
    <x v="5"/>
    <x v="181"/>
    <x v="0"/>
    <x v="3"/>
    <x v="1"/>
    <n v="0"/>
  </r>
  <r>
    <x v="549"/>
    <d v="2025-04-11T00:00:00"/>
    <s v="CUST0003"/>
    <s v="P022"/>
    <n v="3"/>
    <n v="150000"/>
    <n v="450000"/>
    <s v="DISC10"/>
    <n v="45000"/>
    <n v="10000"/>
    <n v="415000"/>
    <s v="Bank Transfer"/>
    <s v="AnterAja"/>
    <x v="3"/>
    <x v="2"/>
    <s v="No"/>
    <n v="405000"/>
    <x v="55"/>
    <x v="3"/>
    <x v="3"/>
    <x v="30"/>
    <x v="1"/>
    <x v="3"/>
    <x v="2"/>
    <n v="0"/>
  </r>
  <r>
    <x v="550"/>
    <d v="2025-04-11T00:00:00"/>
    <s v="CUST0181"/>
    <s v="P036"/>
    <n v="2"/>
    <n v="150000"/>
    <n v="300000"/>
    <s v="NONE"/>
    <n v="0"/>
    <n v="10000"/>
    <n v="310000"/>
    <s v="Bank Transfer"/>
    <s v="J&amp;T"/>
    <x v="0"/>
    <x v="2"/>
    <s v="Yes"/>
    <n v="300000"/>
    <x v="2"/>
    <x v="0"/>
    <x v="0"/>
    <x v="195"/>
    <x v="0"/>
    <x v="8"/>
    <x v="1"/>
    <n v="300000"/>
  </r>
  <r>
    <x v="551"/>
    <d v="2025-04-11T00:00:00"/>
    <s v="CUST0198"/>
    <s v="P045"/>
    <n v="1"/>
    <n v="100000"/>
    <n v="100000"/>
    <s v="NONE"/>
    <n v="0"/>
    <n v="15000"/>
    <n v="115000"/>
    <s v="E-Wallet"/>
    <s v="JNE"/>
    <x v="0"/>
    <x v="2"/>
    <s v="Yes"/>
    <n v="100000"/>
    <x v="10"/>
    <x v="4"/>
    <x v="4"/>
    <x v="119"/>
    <x v="0"/>
    <x v="8"/>
    <x v="0"/>
    <n v="100000"/>
  </r>
  <r>
    <x v="552"/>
    <d v="2025-04-11T00:00:00"/>
    <s v="CUST0105"/>
    <s v="P018"/>
    <n v="1"/>
    <n v="500000"/>
    <n v="500000"/>
    <s v="NONE"/>
    <n v="0"/>
    <n v="25000"/>
    <n v="525000"/>
    <s v="Bank Transfer"/>
    <s v="J&amp;T"/>
    <x v="4"/>
    <x v="2"/>
    <s v="No"/>
    <n v="500000"/>
    <x v="1"/>
    <x v="0"/>
    <x v="0"/>
    <x v="135"/>
    <x v="0"/>
    <x v="8"/>
    <x v="1"/>
    <n v="0"/>
  </r>
  <r>
    <x v="553"/>
    <d v="2025-04-11T00:00:00"/>
    <s v="CUST0201"/>
    <s v="P023"/>
    <n v="3"/>
    <n v="50000"/>
    <n v="150000"/>
    <s v="DISC10"/>
    <n v="15000"/>
    <n v="30000"/>
    <n v="165000"/>
    <s v="Bank Transfer"/>
    <s v="JNE"/>
    <x v="0"/>
    <x v="2"/>
    <s v="Yes"/>
    <n v="135000"/>
    <x v="14"/>
    <x v="5"/>
    <x v="5"/>
    <x v="107"/>
    <x v="1"/>
    <x v="2"/>
    <x v="0"/>
    <n v="135000"/>
  </r>
  <r>
    <x v="554"/>
    <d v="2025-04-10T00:00:00"/>
    <s v="CUST0021"/>
    <s v="P060"/>
    <n v="1"/>
    <n v="150000"/>
    <n v="150000"/>
    <s v="DISC15"/>
    <n v="22500"/>
    <n v="30000"/>
    <n v="157500"/>
    <s v="Bank Transfer"/>
    <s v="J&amp;T"/>
    <x v="0"/>
    <x v="2"/>
    <s v="Yes"/>
    <n v="127500"/>
    <x v="0"/>
    <x v="0"/>
    <x v="0"/>
    <x v="279"/>
    <x v="1"/>
    <x v="8"/>
    <x v="2"/>
    <n v="127500"/>
  </r>
  <r>
    <x v="555"/>
    <d v="2025-04-10T00:00:00"/>
    <s v="CUST0138"/>
    <s v="P035"/>
    <n v="1"/>
    <n v="200000"/>
    <n v="200000"/>
    <s v="DISC10"/>
    <n v="20000"/>
    <n v="30000"/>
    <n v="210000"/>
    <s v="E-Wallet"/>
    <s v="AnterAja"/>
    <x v="2"/>
    <x v="2"/>
    <s v="No"/>
    <n v="180000"/>
    <x v="41"/>
    <x v="5"/>
    <x v="5"/>
    <x v="65"/>
    <x v="0"/>
    <x v="8"/>
    <x v="1"/>
    <n v="0"/>
  </r>
  <r>
    <x v="556"/>
    <d v="2025-04-10T00:00:00"/>
    <s v="CUST0278"/>
    <s v="P010"/>
    <n v="4"/>
    <n v="50000"/>
    <n v="200000"/>
    <s v="DISC15"/>
    <n v="30000"/>
    <n v="25000"/>
    <n v="195000"/>
    <s v="COD"/>
    <s v="AnterAja"/>
    <x v="2"/>
    <x v="2"/>
    <s v="No"/>
    <n v="170000"/>
    <x v="13"/>
    <x v="3"/>
    <x v="3"/>
    <x v="161"/>
    <x v="1"/>
    <x v="1"/>
    <x v="0"/>
    <n v="0"/>
  </r>
  <r>
    <x v="557"/>
    <d v="2025-04-09T00:00:00"/>
    <s v="CUST0072"/>
    <s v="P003"/>
    <n v="3"/>
    <n v="150000"/>
    <n v="450000"/>
    <s v="NONE"/>
    <n v="0"/>
    <n v="20000"/>
    <n v="470000"/>
    <s v="COD"/>
    <s v="J&amp;T"/>
    <x v="1"/>
    <x v="2"/>
    <s v="No"/>
    <n v="450000"/>
    <x v="37"/>
    <x v="4"/>
    <x v="4"/>
    <x v="86"/>
    <x v="1"/>
    <x v="8"/>
    <x v="1"/>
    <n v="0"/>
  </r>
  <r>
    <x v="558"/>
    <d v="2025-04-09T00:00:00"/>
    <s v="CUST0211"/>
    <s v="P044"/>
    <n v="2"/>
    <n v="500000"/>
    <n v="1000000"/>
    <s v="NEWUSER"/>
    <n v="100000"/>
    <n v="30000"/>
    <n v="930000"/>
    <s v="Credit Card"/>
    <s v="SiCepat"/>
    <x v="0"/>
    <x v="2"/>
    <s v="Yes"/>
    <n v="900000"/>
    <x v="47"/>
    <x v="1"/>
    <x v="1"/>
    <x v="171"/>
    <x v="0"/>
    <x v="2"/>
    <x v="1"/>
    <n v="900000"/>
  </r>
  <r>
    <x v="559"/>
    <d v="2025-04-09T00:00:00"/>
    <s v="CUST0238"/>
    <s v="P040"/>
    <n v="1"/>
    <n v="75000"/>
    <n v="75000"/>
    <s v="NEWUSER"/>
    <n v="7500"/>
    <n v="25000"/>
    <n v="92500"/>
    <s v="Bank Transfer"/>
    <s v="AnterAja"/>
    <x v="1"/>
    <x v="2"/>
    <s v="No"/>
    <n v="67500"/>
    <x v="28"/>
    <x v="3"/>
    <x v="3"/>
    <x v="43"/>
    <x v="1"/>
    <x v="9"/>
    <x v="0"/>
    <n v="0"/>
  </r>
  <r>
    <x v="560"/>
    <d v="2025-04-09T00:00:00"/>
    <s v="CUST0011"/>
    <s v="P021"/>
    <n v="2"/>
    <n v="200000"/>
    <n v="400000"/>
    <s v="NONE"/>
    <n v="0"/>
    <n v="15000"/>
    <n v="415000"/>
    <s v="E-Wallet"/>
    <s v="JNE"/>
    <x v="4"/>
    <x v="2"/>
    <s v="No"/>
    <n v="400000"/>
    <x v="32"/>
    <x v="4"/>
    <x v="4"/>
    <x v="169"/>
    <x v="0"/>
    <x v="7"/>
    <x v="0"/>
    <n v="0"/>
  </r>
  <r>
    <x v="561"/>
    <d v="2025-04-09T00:00:00"/>
    <s v="CUST0337"/>
    <s v="P058"/>
    <n v="1"/>
    <n v="35000"/>
    <n v="35000"/>
    <s v="NEWUSER"/>
    <n v="3500"/>
    <n v="10000"/>
    <n v="41500"/>
    <s v="COD"/>
    <s v="JNE"/>
    <x v="0"/>
    <x v="2"/>
    <s v="Yes"/>
    <n v="31500"/>
    <x v="24"/>
    <x v="3"/>
    <x v="3"/>
    <x v="266"/>
    <x v="0"/>
    <x v="7"/>
    <x v="1"/>
    <n v="31500"/>
  </r>
  <r>
    <x v="562"/>
    <d v="2025-04-09T00:00:00"/>
    <s v="CUST0242"/>
    <s v="P030"/>
    <n v="1"/>
    <n v="100000"/>
    <n v="100000"/>
    <s v="NONE"/>
    <n v="0"/>
    <n v="20000"/>
    <n v="120000"/>
    <s v="Bank Transfer"/>
    <s v="SiCepat"/>
    <x v="0"/>
    <x v="2"/>
    <s v="Yes"/>
    <n v="100000"/>
    <x v="33"/>
    <x v="0"/>
    <x v="0"/>
    <x v="49"/>
    <x v="1"/>
    <x v="4"/>
    <x v="0"/>
    <n v="100000"/>
  </r>
  <r>
    <x v="563"/>
    <d v="2025-04-08T00:00:00"/>
    <s v="CUST0109"/>
    <s v="P051"/>
    <n v="1"/>
    <n v="300000"/>
    <n v="300000"/>
    <s v="NONE"/>
    <n v="0"/>
    <n v="20000"/>
    <n v="320000"/>
    <s v="E-Wallet"/>
    <s v="AnterAja"/>
    <x v="0"/>
    <x v="2"/>
    <s v="Yes"/>
    <n v="300000"/>
    <x v="48"/>
    <x v="4"/>
    <x v="4"/>
    <x v="280"/>
    <x v="1"/>
    <x v="0"/>
    <x v="2"/>
    <n v="300000"/>
  </r>
  <r>
    <x v="564"/>
    <d v="2025-04-08T00:00:00"/>
    <s v="CUST0261"/>
    <s v="P045"/>
    <n v="1"/>
    <n v="100000"/>
    <n v="100000"/>
    <s v="NONE"/>
    <n v="0"/>
    <n v="20000"/>
    <n v="120000"/>
    <s v="Credit Card"/>
    <s v="SiCepat"/>
    <x v="0"/>
    <x v="2"/>
    <s v="Yes"/>
    <n v="100000"/>
    <x v="10"/>
    <x v="4"/>
    <x v="4"/>
    <x v="281"/>
    <x v="0"/>
    <x v="2"/>
    <x v="1"/>
    <n v="100000"/>
  </r>
  <r>
    <x v="565"/>
    <d v="2025-04-08T00:00:00"/>
    <s v="CUST0333"/>
    <s v="P055"/>
    <n v="4"/>
    <n v="300000"/>
    <n v="1200000"/>
    <s v="DISC10"/>
    <n v="120000"/>
    <n v="30000"/>
    <n v="1110000"/>
    <s v="E-Wallet"/>
    <s v="JNE"/>
    <x v="0"/>
    <x v="2"/>
    <s v="Yes"/>
    <n v="1080000"/>
    <x v="9"/>
    <x v="2"/>
    <x v="2"/>
    <x v="282"/>
    <x v="0"/>
    <x v="1"/>
    <x v="1"/>
    <n v="1080000"/>
  </r>
  <r>
    <x v="566"/>
    <d v="2025-04-08T00:00:00"/>
    <s v="CUST0313"/>
    <s v="P023"/>
    <n v="2"/>
    <n v="50000"/>
    <n v="100000"/>
    <s v="NONE"/>
    <n v="0"/>
    <n v="30000"/>
    <n v="130000"/>
    <s v="E-Wallet"/>
    <s v="AnterAja"/>
    <x v="0"/>
    <x v="2"/>
    <s v="Yes"/>
    <n v="100000"/>
    <x v="14"/>
    <x v="5"/>
    <x v="5"/>
    <x v="121"/>
    <x v="0"/>
    <x v="3"/>
    <x v="0"/>
    <n v="100000"/>
  </r>
  <r>
    <x v="567"/>
    <d v="2025-04-07T00:00:00"/>
    <s v="CUST0010"/>
    <s v="P050"/>
    <n v="1"/>
    <n v="200000"/>
    <n v="200000"/>
    <s v="DISC10"/>
    <n v="20000"/>
    <n v="15000"/>
    <n v="195000"/>
    <s v="Credit Card"/>
    <s v="AnterAja"/>
    <x v="0"/>
    <x v="2"/>
    <s v="Yes"/>
    <n v="180000"/>
    <x v="34"/>
    <x v="1"/>
    <x v="1"/>
    <x v="192"/>
    <x v="0"/>
    <x v="6"/>
    <x v="1"/>
    <n v="180000"/>
  </r>
  <r>
    <x v="568"/>
    <d v="2025-04-07T00:00:00"/>
    <s v="CUST0164"/>
    <s v="P003"/>
    <n v="1"/>
    <n v="150000"/>
    <n v="150000"/>
    <s v="DISC10"/>
    <n v="15000"/>
    <n v="30000"/>
    <n v="165000"/>
    <s v="Bank Transfer"/>
    <s v="JNE"/>
    <x v="0"/>
    <x v="2"/>
    <s v="Yes"/>
    <n v="135000"/>
    <x v="37"/>
    <x v="4"/>
    <x v="4"/>
    <x v="172"/>
    <x v="0"/>
    <x v="1"/>
    <x v="1"/>
    <n v="135000"/>
  </r>
  <r>
    <x v="569"/>
    <d v="2025-04-07T00:00:00"/>
    <s v="CUST0184"/>
    <s v="P003"/>
    <n v="4"/>
    <n v="150000"/>
    <n v="600000"/>
    <s v="NEWUSER"/>
    <n v="60000"/>
    <n v="10000"/>
    <n v="550000"/>
    <s v="Bank Transfer"/>
    <s v="J&amp;T"/>
    <x v="0"/>
    <x v="2"/>
    <s v="Yes"/>
    <n v="540000"/>
    <x v="37"/>
    <x v="4"/>
    <x v="4"/>
    <x v="253"/>
    <x v="1"/>
    <x v="7"/>
    <x v="1"/>
    <n v="540000"/>
  </r>
  <r>
    <x v="570"/>
    <d v="2025-04-07T00:00:00"/>
    <s v="CUST0245"/>
    <s v="P031"/>
    <n v="1"/>
    <n v="150000"/>
    <n v="150000"/>
    <s v="NONE"/>
    <n v="0"/>
    <n v="30000"/>
    <n v="180000"/>
    <s v="E-Wallet"/>
    <s v="J&amp;T"/>
    <x v="0"/>
    <x v="2"/>
    <s v="Yes"/>
    <n v="150000"/>
    <x v="20"/>
    <x v="2"/>
    <x v="2"/>
    <x v="203"/>
    <x v="0"/>
    <x v="3"/>
    <x v="1"/>
    <n v="150000"/>
  </r>
  <r>
    <x v="571"/>
    <d v="2025-04-07T00:00:00"/>
    <s v="CUST0111"/>
    <s v="P006"/>
    <n v="2"/>
    <n v="500000"/>
    <n v="1000000"/>
    <s v="DISC15"/>
    <n v="150000"/>
    <n v="20000"/>
    <n v="870000"/>
    <s v="COD"/>
    <s v="AnterAja"/>
    <x v="0"/>
    <x v="2"/>
    <s v="Yes"/>
    <n v="850000"/>
    <x v="59"/>
    <x v="0"/>
    <x v="0"/>
    <x v="147"/>
    <x v="0"/>
    <x v="8"/>
    <x v="0"/>
    <n v="850000"/>
  </r>
  <r>
    <x v="572"/>
    <d v="2025-04-06T00:00:00"/>
    <s v="CUST0103"/>
    <s v="P060"/>
    <n v="3"/>
    <n v="150000"/>
    <n v="450000"/>
    <s v="DISC15"/>
    <n v="67500"/>
    <n v="20000"/>
    <n v="402500"/>
    <s v="COD"/>
    <s v="SiCepat"/>
    <x v="0"/>
    <x v="2"/>
    <s v="Yes"/>
    <n v="382500"/>
    <x v="0"/>
    <x v="0"/>
    <x v="0"/>
    <x v="165"/>
    <x v="0"/>
    <x v="2"/>
    <x v="1"/>
    <n v="382500"/>
  </r>
  <r>
    <x v="573"/>
    <d v="2025-04-06T00:00:00"/>
    <s v="CUST0012"/>
    <s v="P008"/>
    <n v="2"/>
    <n v="150000"/>
    <n v="300000"/>
    <s v="NONE"/>
    <n v="0"/>
    <n v="30000"/>
    <n v="330000"/>
    <s v="Bank Transfer"/>
    <s v="JNE"/>
    <x v="0"/>
    <x v="2"/>
    <s v="Yes"/>
    <n v="300000"/>
    <x v="18"/>
    <x v="1"/>
    <x v="1"/>
    <x v="197"/>
    <x v="0"/>
    <x v="8"/>
    <x v="1"/>
    <n v="300000"/>
  </r>
  <r>
    <x v="574"/>
    <d v="2025-04-06T00:00:00"/>
    <s v="CUST0346"/>
    <s v="P052"/>
    <n v="3"/>
    <n v="200000"/>
    <n v="600000"/>
    <s v="DISC10"/>
    <n v="60000"/>
    <n v="25000"/>
    <n v="565000"/>
    <s v="E-Wallet"/>
    <s v="JNE"/>
    <x v="2"/>
    <x v="2"/>
    <s v="No"/>
    <n v="540000"/>
    <x v="56"/>
    <x v="3"/>
    <x v="3"/>
    <x v="24"/>
    <x v="0"/>
    <x v="1"/>
    <x v="1"/>
    <n v="0"/>
  </r>
  <r>
    <x v="575"/>
    <d v="2025-04-06T00:00:00"/>
    <s v="CUST0288"/>
    <s v="P053"/>
    <n v="1"/>
    <n v="75000"/>
    <n v="75000"/>
    <s v="NONE"/>
    <n v="0"/>
    <n v="10000"/>
    <n v="85000"/>
    <s v="Bank Transfer"/>
    <s v="J&amp;T"/>
    <x v="4"/>
    <x v="2"/>
    <s v="No"/>
    <n v="75000"/>
    <x v="27"/>
    <x v="5"/>
    <x v="5"/>
    <x v="270"/>
    <x v="0"/>
    <x v="9"/>
    <x v="1"/>
    <n v="0"/>
  </r>
  <r>
    <x v="576"/>
    <d v="2025-04-05T00:00:00"/>
    <s v="CUST0254"/>
    <s v="P053"/>
    <n v="3"/>
    <n v="75000"/>
    <n v="225000"/>
    <s v="DISC10"/>
    <n v="22500"/>
    <n v="30000"/>
    <n v="232500"/>
    <s v="E-Wallet"/>
    <s v="AnterAja"/>
    <x v="0"/>
    <x v="2"/>
    <s v="Yes"/>
    <n v="202500"/>
    <x v="27"/>
    <x v="5"/>
    <x v="5"/>
    <x v="261"/>
    <x v="1"/>
    <x v="7"/>
    <x v="1"/>
    <n v="202500"/>
  </r>
  <r>
    <x v="577"/>
    <d v="2025-04-05T00:00:00"/>
    <s v="CUST0011"/>
    <s v="P004"/>
    <n v="1"/>
    <n v="300000"/>
    <n v="300000"/>
    <s v="NONE"/>
    <n v="0"/>
    <n v="15000"/>
    <n v="315000"/>
    <s v="E-Wallet"/>
    <s v="JNE"/>
    <x v="0"/>
    <x v="2"/>
    <s v="Yes"/>
    <n v="300000"/>
    <x v="22"/>
    <x v="3"/>
    <x v="3"/>
    <x v="169"/>
    <x v="0"/>
    <x v="7"/>
    <x v="0"/>
    <n v="300000"/>
  </r>
  <r>
    <x v="578"/>
    <d v="2025-04-05T00:00:00"/>
    <s v="CUST0311"/>
    <s v="P013"/>
    <n v="2"/>
    <n v="75000"/>
    <n v="150000"/>
    <s v="NONE"/>
    <n v="0"/>
    <n v="10000"/>
    <n v="160000"/>
    <s v="E-Wallet"/>
    <s v="AnterAja"/>
    <x v="0"/>
    <x v="2"/>
    <s v="Yes"/>
    <n v="150000"/>
    <x v="50"/>
    <x v="2"/>
    <x v="2"/>
    <x v="4"/>
    <x v="0"/>
    <x v="2"/>
    <x v="2"/>
    <n v="150000"/>
  </r>
  <r>
    <x v="579"/>
    <d v="2025-04-05T00:00:00"/>
    <s v="CUST0223"/>
    <s v="P009"/>
    <n v="2"/>
    <n v="300000"/>
    <n v="600000"/>
    <s v="NONE"/>
    <n v="0"/>
    <n v="30000"/>
    <n v="630000"/>
    <s v="E-Wallet"/>
    <s v="J&amp;T"/>
    <x v="0"/>
    <x v="2"/>
    <s v="Yes"/>
    <n v="600000"/>
    <x v="45"/>
    <x v="4"/>
    <x v="4"/>
    <x v="136"/>
    <x v="0"/>
    <x v="6"/>
    <x v="1"/>
    <n v="600000"/>
  </r>
  <r>
    <x v="580"/>
    <d v="2025-04-05T00:00:00"/>
    <s v="CUST0297"/>
    <s v="P017"/>
    <n v="4"/>
    <n v="100000"/>
    <n v="400000"/>
    <s v="DISC15"/>
    <n v="60000"/>
    <n v="20000"/>
    <n v="360000"/>
    <s v="Bank Transfer"/>
    <s v="SiCepat"/>
    <x v="0"/>
    <x v="2"/>
    <s v="Yes"/>
    <n v="340000"/>
    <x v="39"/>
    <x v="5"/>
    <x v="5"/>
    <x v="276"/>
    <x v="0"/>
    <x v="3"/>
    <x v="1"/>
    <n v="340000"/>
  </r>
  <r>
    <x v="581"/>
    <d v="2025-04-05T00:00:00"/>
    <s v="CUST0056"/>
    <s v="P032"/>
    <n v="2"/>
    <n v="35000"/>
    <n v="70000"/>
    <s v="NONE"/>
    <n v="0"/>
    <n v="10000"/>
    <n v="80000"/>
    <s v="Bank Transfer"/>
    <s v="JNE"/>
    <x v="0"/>
    <x v="2"/>
    <s v="Yes"/>
    <n v="70000"/>
    <x v="29"/>
    <x v="1"/>
    <x v="1"/>
    <x v="283"/>
    <x v="0"/>
    <x v="3"/>
    <x v="0"/>
    <n v="70000"/>
  </r>
  <r>
    <x v="582"/>
    <d v="2025-04-04T00:00:00"/>
    <s v="CUST0304"/>
    <s v="P055"/>
    <n v="1"/>
    <n v="300000"/>
    <n v="300000"/>
    <s v="FLASHSALE"/>
    <n v="60000"/>
    <n v="30000"/>
    <n v="270000"/>
    <s v="E-Wallet"/>
    <s v="AnterAja"/>
    <x v="4"/>
    <x v="2"/>
    <s v="No"/>
    <n v="240000"/>
    <x v="9"/>
    <x v="2"/>
    <x v="2"/>
    <x v="157"/>
    <x v="0"/>
    <x v="6"/>
    <x v="2"/>
    <n v="0"/>
  </r>
  <r>
    <x v="583"/>
    <d v="2025-04-04T00:00:00"/>
    <s v="CUST0149"/>
    <s v="P048"/>
    <n v="4"/>
    <n v="300000"/>
    <n v="1200000"/>
    <s v="FLASHSALE"/>
    <n v="240000"/>
    <n v="15000"/>
    <n v="975000"/>
    <s v="Bank Transfer"/>
    <s v="SiCepat"/>
    <x v="0"/>
    <x v="2"/>
    <s v="Yes"/>
    <n v="960000"/>
    <x v="21"/>
    <x v="0"/>
    <x v="0"/>
    <x v="284"/>
    <x v="0"/>
    <x v="1"/>
    <x v="1"/>
    <n v="960000"/>
  </r>
  <r>
    <x v="584"/>
    <d v="2025-04-04T00:00:00"/>
    <s v="CUST0261"/>
    <s v="P034"/>
    <n v="3"/>
    <n v="50000"/>
    <n v="150000"/>
    <s v="NEWUSER"/>
    <n v="15000"/>
    <n v="30000"/>
    <n v="165000"/>
    <s v="Bank Transfer"/>
    <s v="J&amp;T"/>
    <x v="0"/>
    <x v="2"/>
    <s v="Yes"/>
    <n v="135000"/>
    <x v="42"/>
    <x v="3"/>
    <x v="3"/>
    <x v="281"/>
    <x v="0"/>
    <x v="2"/>
    <x v="1"/>
    <n v="135000"/>
  </r>
  <r>
    <x v="585"/>
    <d v="2025-04-04T00:00:00"/>
    <s v="CUST0194"/>
    <s v="P032"/>
    <n v="1"/>
    <n v="35000"/>
    <n v="35000"/>
    <s v="FLASHSALE"/>
    <n v="7000"/>
    <n v="30000"/>
    <n v="58000"/>
    <s v="COD"/>
    <s v="AnterAja"/>
    <x v="0"/>
    <x v="2"/>
    <s v="Yes"/>
    <n v="28000"/>
    <x v="29"/>
    <x v="1"/>
    <x v="1"/>
    <x v="285"/>
    <x v="1"/>
    <x v="8"/>
    <x v="2"/>
    <n v="28000"/>
  </r>
  <r>
    <x v="586"/>
    <d v="2025-04-04T00:00:00"/>
    <s v="CUST0076"/>
    <s v="P035"/>
    <n v="1"/>
    <n v="200000"/>
    <n v="200000"/>
    <s v="NONE"/>
    <n v="0"/>
    <n v="25000"/>
    <n v="225000"/>
    <s v="E-Wallet"/>
    <s v="JNE"/>
    <x v="0"/>
    <x v="2"/>
    <s v="Yes"/>
    <n v="200000"/>
    <x v="41"/>
    <x v="5"/>
    <x v="5"/>
    <x v="150"/>
    <x v="1"/>
    <x v="0"/>
    <x v="1"/>
    <n v="200000"/>
  </r>
  <r>
    <x v="587"/>
    <d v="2025-04-03T00:00:00"/>
    <s v="CUST0266"/>
    <s v="P012"/>
    <n v="3"/>
    <n v="300000"/>
    <n v="900000"/>
    <s v="DISC10"/>
    <n v="90000"/>
    <n v="10000"/>
    <n v="820000"/>
    <s v="E-Wallet"/>
    <s v="AnterAja"/>
    <x v="0"/>
    <x v="2"/>
    <s v="Yes"/>
    <n v="810000"/>
    <x v="40"/>
    <x v="0"/>
    <x v="0"/>
    <x v="116"/>
    <x v="0"/>
    <x v="7"/>
    <x v="2"/>
    <n v="810000"/>
  </r>
  <r>
    <x v="588"/>
    <d v="2025-04-03T00:00:00"/>
    <s v="CUST0309"/>
    <s v="P008"/>
    <n v="4"/>
    <n v="150000"/>
    <n v="600000"/>
    <s v="DISC10"/>
    <n v="60000"/>
    <n v="25000"/>
    <n v="565000"/>
    <s v="E-Wallet"/>
    <s v="SiCepat"/>
    <x v="0"/>
    <x v="2"/>
    <s v="Yes"/>
    <n v="540000"/>
    <x v="18"/>
    <x v="1"/>
    <x v="1"/>
    <x v="100"/>
    <x v="1"/>
    <x v="0"/>
    <x v="1"/>
    <n v="540000"/>
  </r>
  <r>
    <x v="589"/>
    <d v="2025-04-03T00:00:00"/>
    <s v="CUST0154"/>
    <s v="P018"/>
    <n v="3"/>
    <n v="500000"/>
    <n v="1500000"/>
    <s v="DISC10"/>
    <n v="150000"/>
    <n v="30000"/>
    <n v="1380000"/>
    <s v="Bank Transfer"/>
    <s v="J&amp;T"/>
    <x v="2"/>
    <x v="2"/>
    <s v="No"/>
    <n v="1350000"/>
    <x v="1"/>
    <x v="0"/>
    <x v="0"/>
    <x v="110"/>
    <x v="1"/>
    <x v="3"/>
    <x v="1"/>
    <n v="0"/>
  </r>
  <r>
    <x v="590"/>
    <d v="2025-04-03T00:00:00"/>
    <s v="CUST0239"/>
    <s v="P013"/>
    <n v="1"/>
    <n v="75000"/>
    <n v="75000"/>
    <s v="NONE"/>
    <n v="0"/>
    <n v="15000"/>
    <n v="90000"/>
    <s v="COD"/>
    <s v="SiCepat"/>
    <x v="0"/>
    <x v="2"/>
    <s v="Yes"/>
    <n v="75000"/>
    <x v="50"/>
    <x v="2"/>
    <x v="2"/>
    <x v="127"/>
    <x v="1"/>
    <x v="4"/>
    <x v="0"/>
    <n v="75000"/>
  </r>
  <r>
    <x v="591"/>
    <d v="2025-04-03T00:00:00"/>
    <s v="CUST0142"/>
    <s v="P050"/>
    <n v="2"/>
    <n v="200000"/>
    <n v="400000"/>
    <s v="DISC15"/>
    <n v="60000"/>
    <n v="25000"/>
    <n v="365000"/>
    <s v="Bank Transfer"/>
    <s v="SiCepat"/>
    <x v="2"/>
    <x v="2"/>
    <s v="No"/>
    <n v="340000"/>
    <x v="34"/>
    <x v="1"/>
    <x v="1"/>
    <x v="286"/>
    <x v="0"/>
    <x v="5"/>
    <x v="0"/>
    <n v="0"/>
  </r>
  <r>
    <x v="592"/>
    <d v="2025-04-03T00:00:00"/>
    <s v="CUST0336"/>
    <s v="P038"/>
    <n v="2"/>
    <n v="35000"/>
    <n v="70000"/>
    <s v="NONE"/>
    <n v="0"/>
    <n v="10000"/>
    <n v="80000"/>
    <s v="Bank Transfer"/>
    <s v="JNE"/>
    <x v="0"/>
    <x v="2"/>
    <s v="Yes"/>
    <n v="70000"/>
    <x v="46"/>
    <x v="1"/>
    <x v="1"/>
    <x v="260"/>
    <x v="0"/>
    <x v="1"/>
    <x v="1"/>
    <n v="70000"/>
  </r>
  <r>
    <x v="593"/>
    <d v="2025-04-03T00:00:00"/>
    <s v="CUST0105"/>
    <s v="P036"/>
    <n v="1"/>
    <n v="150000"/>
    <n v="150000"/>
    <s v="NONE"/>
    <n v="0"/>
    <n v="10000"/>
    <n v="160000"/>
    <s v="Bank Transfer"/>
    <s v="SiCepat"/>
    <x v="0"/>
    <x v="2"/>
    <s v="Yes"/>
    <n v="150000"/>
    <x v="2"/>
    <x v="0"/>
    <x v="0"/>
    <x v="135"/>
    <x v="0"/>
    <x v="8"/>
    <x v="1"/>
    <n v="150000"/>
  </r>
  <r>
    <x v="594"/>
    <d v="2025-04-03T00:00:00"/>
    <s v="CUST0094"/>
    <s v="P007"/>
    <n v="1"/>
    <n v="150000"/>
    <n v="150000"/>
    <s v="NONE"/>
    <n v="0"/>
    <n v="25000"/>
    <n v="175000"/>
    <s v="COD"/>
    <s v="JNE"/>
    <x v="3"/>
    <x v="2"/>
    <s v="No"/>
    <n v="150000"/>
    <x v="52"/>
    <x v="2"/>
    <x v="2"/>
    <x v="221"/>
    <x v="1"/>
    <x v="5"/>
    <x v="1"/>
    <n v="0"/>
  </r>
  <r>
    <x v="595"/>
    <d v="2025-04-03T00:00:00"/>
    <s v="CUST0103"/>
    <s v="P060"/>
    <n v="1"/>
    <n v="150000"/>
    <n v="150000"/>
    <s v="NONE"/>
    <n v="0"/>
    <n v="15000"/>
    <n v="165000"/>
    <s v="E-Wallet"/>
    <s v="AnterAja"/>
    <x v="0"/>
    <x v="2"/>
    <s v="Yes"/>
    <n v="150000"/>
    <x v="0"/>
    <x v="0"/>
    <x v="0"/>
    <x v="165"/>
    <x v="0"/>
    <x v="2"/>
    <x v="1"/>
    <n v="150000"/>
  </r>
  <r>
    <x v="596"/>
    <d v="2025-04-03T00:00:00"/>
    <s v="CUST0088"/>
    <s v="P016"/>
    <n v="1"/>
    <n v="150000"/>
    <n v="150000"/>
    <s v="NEWUSER"/>
    <n v="15000"/>
    <n v="20000"/>
    <n v="155000"/>
    <s v="Bank Transfer"/>
    <s v="AnterAja"/>
    <x v="1"/>
    <x v="2"/>
    <s v="No"/>
    <n v="135000"/>
    <x v="8"/>
    <x v="3"/>
    <x v="3"/>
    <x v="14"/>
    <x v="1"/>
    <x v="7"/>
    <x v="0"/>
    <n v="0"/>
  </r>
  <r>
    <x v="597"/>
    <d v="2025-04-03T00:00:00"/>
    <s v="CUST0244"/>
    <s v="P038"/>
    <n v="1"/>
    <n v="35000"/>
    <n v="35000"/>
    <s v="NONE"/>
    <n v="0"/>
    <n v="20000"/>
    <n v="55000"/>
    <s v="COD"/>
    <s v="J&amp;T"/>
    <x v="0"/>
    <x v="2"/>
    <s v="Yes"/>
    <n v="35000"/>
    <x v="46"/>
    <x v="1"/>
    <x v="1"/>
    <x v="104"/>
    <x v="0"/>
    <x v="6"/>
    <x v="1"/>
    <n v="35000"/>
  </r>
  <r>
    <x v="598"/>
    <d v="2025-04-03T00:00:00"/>
    <s v="CUST0321"/>
    <s v="P004"/>
    <n v="2"/>
    <n v="300000"/>
    <n v="600000"/>
    <s v="DISC15"/>
    <n v="90000"/>
    <n v="10000"/>
    <n v="520000"/>
    <s v="E-Wallet"/>
    <s v="SiCepat"/>
    <x v="1"/>
    <x v="2"/>
    <s v="No"/>
    <n v="510000"/>
    <x v="22"/>
    <x v="3"/>
    <x v="3"/>
    <x v="50"/>
    <x v="0"/>
    <x v="4"/>
    <x v="2"/>
    <n v="0"/>
  </r>
  <r>
    <x v="599"/>
    <d v="2025-04-02T00:00:00"/>
    <s v="CUST0021"/>
    <s v="P050"/>
    <n v="4"/>
    <n v="200000"/>
    <n v="800000"/>
    <s v="NONE"/>
    <n v="0"/>
    <n v="30000"/>
    <n v="830000"/>
    <s v="COD"/>
    <s v="SiCepat"/>
    <x v="2"/>
    <x v="2"/>
    <s v="No"/>
    <n v="800000"/>
    <x v="34"/>
    <x v="1"/>
    <x v="1"/>
    <x v="279"/>
    <x v="1"/>
    <x v="8"/>
    <x v="2"/>
    <n v="0"/>
  </r>
  <r>
    <x v="600"/>
    <d v="2025-04-02T00:00:00"/>
    <s v="CUST0270"/>
    <s v="P027"/>
    <n v="2"/>
    <n v="200000"/>
    <n v="400000"/>
    <s v="DISC10"/>
    <n v="40000"/>
    <n v="15000"/>
    <n v="375000"/>
    <s v="COD"/>
    <s v="J&amp;T"/>
    <x v="0"/>
    <x v="2"/>
    <s v="Yes"/>
    <n v="360000"/>
    <x v="51"/>
    <x v="4"/>
    <x v="4"/>
    <x v="206"/>
    <x v="0"/>
    <x v="4"/>
    <x v="0"/>
    <n v="360000"/>
  </r>
  <r>
    <x v="601"/>
    <d v="2025-04-02T00:00:00"/>
    <s v="CUST0134"/>
    <s v="P016"/>
    <n v="2"/>
    <n v="150000"/>
    <n v="300000"/>
    <s v="NONE"/>
    <n v="0"/>
    <n v="10000"/>
    <n v="310000"/>
    <s v="Credit Card"/>
    <s v="SiCepat"/>
    <x v="0"/>
    <x v="2"/>
    <s v="Yes"/>
    <n v="300000"/>
    <x v="8"/>
    <x v="3"/>
    <x v="3"/>
    <x v="60"/>
    <x v="1"/>
    <x v="1"/>
    <x v="0"/>
    <n v="300000"/>
  </r>
  <r>
    <x v="602"/>
    <d v="2025-04-02T00:00:00"/>
    <s v="CUST0235"/>
    <s v="P011"/>
    <n v="4"/>
    <n v="75000"/>
    <n v="300000"/>
    <s v="NONE"/>
    <n v="0"/>
    <n v="25000"/>
    <n v="325000"/>
    <s v="Credit Card"/>
    <s v="J&amp;T"/>
    <x v="1"/>
    <x v="2"/>
    <s v="No"/>
    <n v="300000"/>
    <x v="57"/>
    <x v="5"/>
    <x v="5"/>
    <x v="185"/>
    <x v="0"/>
    <x v="5"/>
    <x v="2"/>
    <n v="0"/>
  </r>
  <r>
    <x v="603"/>
    <d v="2025-04-02T00:00:00"/>
    <s v="CUST0296"/>
    <s v="P034"/>
    <n v="4"/>
    <n v="50000"/>
    <n v="200000"/>
    <s v="DISC10"/>
    <n v="20000"/>
    <n v="30000"/>
    <n v="210000"/>
    <s v="E-Wallet"/>
    <s v="SiCepat"/>
    <x v="1"/>
    <x v="2"/>
    <s v="No"/>
    <n v="180000"/>
    <x v="42"/>
    <x v="3"/>
    <x v="3"/>
    <x v="64"/>
    <x v="1"/>
    <x v="0"/>
    <x v="1"/>
    <n v="0"/>
  </r>
  <r>
    <x v="604"/>
    <d v="2025-04-02T00:00:00"/>
    <s v="CUST0279"/>
    <s v="P014"/>
    <n v="3"/>
    <n v="75000"/>
    <n v="225000"/>
    <s v="NONE"/>
    <n v="0"/>
    <n v="15000"/>
    <n v="240000"/>
    <s v="Credit Card"/>
    <s v="SiCepat"/>
    <x v="0"/>
    <x v="2"/>
    <s v="Yes"/>
    <n v="225000"/>
    <x v="30"/>
    <x v="1"/>
    <x v="1"/>
    <x v="287"/>
    <x v="0"/>
    <x v="3"/>
    <x v="1"/>
    <n v="225000"/>
  </r>
  <r>
    <x v="605"/>
    <d v="2025-04-02T00:00:00"/>
    <s v="CUST0286"/>
    <s v="P018"/>
    <n v="2"/>
    <n v="500000"/>
    <n v="1000000"/>
    <s v="NONE"/>
    <n v="0"/>
    <n v="25000"/>
    <n v="1025000"/>
    <s v="Bank Transfer"/>
    <s v="SiCepat"/>
    <x v="1"/>
    <x v="2"/>
    <s v="No"/>
    <n v="1000000"/>
    <x v="1"/>
    <x v="0"/>
    <x v="0"/>
    <x v="76"/>
    <x v="1"/>
    <x v="0"/>
    <x v="0"/>
    <n v="0"/>
  </r>
  <r>
    <x v="606"/>
    <d v="2025-04-02T00:00:00"/>
    <s v="CUST0192"/>
    <s v="P013"/>
    <n v="1"/>
    <n v="75000"/>
    <n v="75000"/>
    <s v="NONE"/>
    <n v="0"/>
    <n v="20000"/>
    <n v="95000"/>
    <s v="COD"/>
    <s v="JNE"/>
    <x v="0"/>
    <x v="2"/>
    <s v="Yes"/>
    <n v="75000"/>
    <x v="50"/>
    <x v="2"/>
    <x v="2"/>
    <x v="277"/>
    <x v="1"/>
    <x v="3"/>
    <x v="1"/>
    <n v="75000"/>
  </r>
  <r>
    <x v="607"/>
    <d v="2025-04-01T00:00:00"/>
    <s v="CUST0216"/>
    <s v="P013"/>
    <n v="1"/>
    <n v="75000"/>
    <n v="75000"/>
    <s v="DISC10"/>
    <n v="7500"/>
    <n v="30000"/>
    <n v="97500"/>
    <s v="E-Wallet"/>
    <s v="AnterAja"/>
    <x v="0"/>
    <x v="2"/>
    <s v="Yes"/>
    <n v="67500"/>
    <x v="50"/>
    <x v="2"/>
    <x v="2"/>
    <x v="109"/>
    <x v="0"/>
    <x v="4"/>
    <x v="1"/>
    <n v="67500"/>
  </r>
  <r>
    <x v="608"/>
    <d v="2025-04-01T00:00:00"/>
    <s v="CUST0022"/>
    <s v="P034"/>
    <n v="3"/>
    <n v="50000"/>
    <n v="150000"/>
    <s v="NONE"/>
    <n v="0"/>
    <n v="25000"/>
    <n v="175000"/>
    <s v="COD"/>
    <s v="JNE"/>
    <x v="1"/>
    <x v="2"/>
    <s v="No"/>
    <n v="150000"/>
    <x v="42"/>
    <x v="3"/>
    <x v="3"/>
    <x v="54"/>
    <x v="0"/>
    <x v="8"/>
    <x v="0"/>
    <n v="0"/>
  </r>
  <r>
    <x v="609"/>
    <d v="2025-04-01T00:00:00"/>
    <s v="CUST0167"/>
    <s v="P015"/>
    <n v="1"/>
    <n v="500000"/>
    <n v="500000"/>
    <s v="FLASHSALE"/>
    <n v="100000"/>
    <n v="15000"/>
    <n v="415000"/>
    <s v="E-Wallet"/>
    <s v="JNE"/>
    <x v="0"/>
    <x v="2"/>
    <s v="Yes"/>
    <n v="400000"/>
    <x v="19"/>
    <x v="4"/>
    <x v="4"/>
    <x v="288"/>
    <x v="1"/>
    <x v="8"/>
    <x v="0"/>
    <n v="400000"/>
  </r>
  <r>
    <x v="610"/>
    <d v="2025-03-31T00:00:00"/>
    <s v="CUST0104"/>
    <s v="P009"/>
    <n v="4"/>
    <n v="300000"/>
    <n v="1200000"/>
    <s v="DISC10"/>
    <n v="120000"/>
    <n v="25000"/>
    <n v="1105000"/>
    <s v="COD"/>
    <s v="J&amp;T"/>
    <x v="2"/>
    <x v="3"/>
    <s v="No"/>
    <n v="1080000"/>
    <x v="45"/>
    <x v="4"/>
    <x v="4"/>
    <x v="62"/>
    <x v="0"/>
    <x v="0"/>
    <x v="1"/>
    <n v="0"/>
  </r>
  <r>
    <x v="611"/>
    <d v="2025-03-31T00:00:00"/>
    <s v="CUST0144"/>
    <s v="P006"/>
    <n v="1"/>
    <n v="500000"/>
    <n v="500000"/>
    <s v="DISC15"/>
    <n v="75000"/>
    <n v="25000"/>
    <n v="450000"/>
    <s v="E-Wallet"/>
    <s v="AnterAja"/>
    <x v="2"/>
    <x v="3"/>
    <s v="No"/>
    <n v="425000"/>
    <x v="59"/>
    <x v="0"/>
    <x v="0"/>
    <x v="238"/>
    <x v="1"/>
    <x v="6"/>
    <x v="1"/>
    <n v="0"/>
  </r>
  <r>
    <x v="612"/>
    <d v="2025-03-31T00:00:00"/>
    <s v="CUST0208"/>
    <s v="P036"/>
    <n v="2"/>
    <n v="150000"/>
    <n v="300000"/>
    <s v="NONE"/>
    <n v="0"/>
    <n v="15000"/>
    <n v="315000"/>
    <s v="Credit Card"/>
    <s v="JNE"/>
    <x v="0"/>
    <x v="3"/>
    <s v="Yes"/>
    <n v="300000"/>
    <x v="2"/>
    <x v="0"/>
    <x v="0"/>
    <x v="289"/>
    <x v="0"/>
    <x v="2"/>
    <x v="1"/>
    <n v="300000"/>
  </r>
  <r>
    <x v="613"/>
    <d v="2025-03-31T00:00:00"/>
    <s v="CUST0230"/>
    <s v="P044"/>
    <n v="1"/>
    <n v="500000"/>
    <n v="500000"/>
    <s v="NONE"/>
    <n v="0"/>
    <n v="30000"/>
    <n v="530000"/>
    <s v="Bank Transfer"/>
    <s v="SiCepat"/>
    <x v="0"/>
    <x v="3"/>
    <s v="Yes"/>
    <n v="500000"/>
    <x v="47"/>
    <x v="1"/>
    <x v="1"/>
    <x v="243"/>
    <x v="0"/>
    <x v="9"/>
    <x v="2"/>
    <n v="500000"/>
  </r>
  <r>
    <x v="614"/>
    <d v="2025-03-31T00:00:00"/>
    <s v="CUST0059"/>
    <s v="P019"/>
    <n v="2"/>
    <n v="500000"/>
    <n v="1000000"/>
    <s v="NONE"/>
    <n v="0"/>
    <n v="15000"/>
    <n v="1015000"/>
    <s v="Bank Transfer"/>
    <s v="AnterAja"/>
    <x v="0"/>
    <x v="3"/>
    <s v="Yes"/>
    <n v="1000000"/>
    <x v="23"/>
    <x v="2"/>
    <x v="2"/>
    <x v="63"/>
    <x v="0"/>
    <x v="2"/>
    <x v="0"/>
    <n v="1000000"/>
  </r>
  <r>
    <x v="615"/>
    <d v="2025-03-30T00:00:00"/>
    <s v="CUST0329"/>
    <s v="P004"/>
    <n v="3"/>
    <n v="300000"/>
    <n v="900000"/>
    <s v="NONE"/>
    <n v="0"/>
    <n v="25000"/>
    <n v="925000"/>
    <s v="E-Wallet"/>
    <s v="AnterAja"/>
    <x v="1"/>
    <x v="3"/>
    <s v="No"/>
    <n v="900000"/>
    <x v="22"/>
    <x v="3"/>
    <x v="3"/>
    <x v="290"/>
    <x v="1"/>
    <x v="0"/>
    <x v="2"/>
    <n v="0"/>
  </r>
  <r>
    <x v="616"/>
    <d v="2025-03-30T00:00:00"/>
    <s v="CUST0022"/>
    <s v="P028"/>
    <n v="2"/>
    <n v="50000"/>
    <n v="100000"/>
    <s v="DISC15"/>
    <n v="15000"/>
    <n v="20000"/>
    <n v="105000"/>
    <s v="Bank Transfer"/>
    <s v="JNE"/>
    <x v="2"/>
    <x v="3"/>
    <s v="No"/>
    <n v="85000"/>
    <x v="31"/>
    <x v="3"/>
    <x v="3"/>
    <x v="54"/>
    <x v="0"/>
    <x v="8"/>
    <x v="0"/>
    <n v="0"/>
  </r>
  <r>
    <x v="617"/>
    <d v="2025-03-30T00:00:00"/>
    <s v="CUST0072"/>
    <s v="P055"/>
    <n v="1"/>
    <n v="300000"/>
    <n v="300000"/>
    <s v="NEWUSER"/>
    <n v="30000"/>
    <n v="20000"/>
    <n v="290000"/>
    <s v="Bank Transfer"/>
    <s v="SiCepat"/>
    <x v="0"/>
    <x v="3"/>
    <s v="Yes"/>
    <n v="270000"/>
    <x v="9"/>
    <x v="2"/>
    <x v="2"/>
    <x v="86"/>
    <x v="1"/>
    <x v="8"/>
    <x v="1"/>
    <n v="270000"/>
  </r>
  <r>
    <x v="618"/>
    <d v="2025-03-30T00:00:00"/>
    <s v="CUST0198"/>
    <s v="P026"/>
    <n v="1"/>
    <n v="200000"/>
    <n v="200000"/>
    <s v="NONE"/>
    <n v="0"/>
    <n v="20000"/>
    <n v="220000"/>
    <s v="Credit Card"/>
    <s v="JNE"/>
    <x v="0"/>
    <x v="3"/>
    <s v="Yes"/>
    <n v="200000"/>
    <x v="3"/>
    <x v="1"/>
    <x v="1"/>
    <x v="119"/>
    <x v="0"/>
    <x v="8"/>
    <x v="0"/>
    <n v="200000"/>
  </r>
  <r>
    <x v="619"/>
    <d v="2025-03-30T00:00:00"/>
    <s v="CUST0316"/>
    <s v="P026"/>
    <n v="4"/>
    <n v="200000"/>
    <n v="800000"/>
    <s v="NONE"/>
    <n v="0"/>
    <n v="10000"/>
    <n v="810000"/>
    <s v="E-Wallet"/>
    <s v="J&amp;T"/>
    <x v="0"/>
    <x v="3"/>
    <s v="Yes"/>
    <n v="800000"/>
    <x v="3"/>
    <x v="1"/>
    <x v="1"/>
    <x v="183"/>
    <x v="0"/>
    <x v="5"/>
    <x v="1"/>
    <n v="800000"/>
  </r>
  <r>
    <x v="620"/>
    <d v="2025-03-30T00:00:00"/>
    <s v="CUST0125"/>
    <s v="P049"/>
    <n v="2"/>
    <n v="200000"/>
    <n v="400000"/>
    <s v="NONE"/>
    <n v="0"/>
    <n v="10000"/>
    <n v="410000"/>
    <s v="Bank Transfer"/>
    <s v="J&amp;T"/>
    <x v="0"/>
    <x v="3"/>
    <s v="Yes"/>
    <n v="400000"/>
    <x v="17"/>
    <x v="2"/>
    <x v="2"/>
    <x v="94"/>
    <x v="1"/>
    <x v="3"/>
    <x v="1"/>
    <n v="400000"/>
  </r>
  <r>
    <x v="621"/>
    <d v="2025-03-29T00:00:00"/>
    <s v="CUST0161"/>
    <s v="P049"/>
    <n v="2"/>
    <n v="200000"/>
    <n v="400000"/>
    <s v="NONE"/>
    <n v="0"/>
    <n v="10000"/>
    <n v="410000"/>
    <s v="Credit Card"/>
    <s v="AnterAja"/>
    <x v="0"/>
    <x v="3"/>
    <s v="Yes"/>
    <n v="400000"/>
    <x v="17"/>
    <x v="2"/>
    <x v="2"/>
    <x v="99"/>
    <x v="1"/>
    <x v="1"/>
    <x v="0"/>
    <n v="400000"/>
  </r>
  <r>
    <x v="622"/>
    <d v="2025-03-29T00:00:00"/>
    <s v="CUST0294"/>
    <s v="P060"/>
    <n v="1"/>
    <n v="150000"/>
    <n v="150000"/>
    <s v="DISC10"/>
    <n v="15000"/>
    <n v="30000"/>
    <n v="165000"/>
    <s v="Bank Transfer"/>
    <s v="SiCepat"/>
    <x v="0"/>
    <x v="3"/>
    <s v="Yes"/>
    <n v="135000"/>
    <x v="0"/>
    <x v="0"/>
    <x v="0"/>
    <x v="22"/>
    <x v="0"/>
    <x v="1"/>
    <x v="0"/>
    <n v="135000"/>
  </r>
  <r>
    <x v="623"/>
    <d v="2025-03-29T00:00:00"/>
    <s v="CUST0303"/>
    <s v="P040"/>
    <n v="1"/>
    <n v="75000"/>
    <n v="75000"/>
    <s v="DISC15"/>
    <n v="11250"/>
    <n v="20000"/>
    <n v="83750"/>
    <s v="Credit Card"/>
    <s v="AnterAja"/>
    <x v="0"/>
    <x v="3"/>
    <s v="Yes"/>
    <n v="63750"/>
    <x v="28"/>
    <x v="3"/>
    <x v="3"/>
    <x v="291"/>
    <x v="1"/>
    <x v="4"/>
    <x v="1"/>
    <n v="63750"/>
  </r>
  <r>
    <x v="624"/>
    <d v="2025-03-29T00:00:00"/>
    <s v="CUST0204"/>
    <s v="P016"/>
    <n v="4"/>
    <n v="150000"/>
    <n v="600000"/>
    <s v="NONE"/>
    <n v="0"/>
    <n v="30000"/>
    <n v="630000"/>
    <s v="Credit Card"/>
    <s v="AnterAja"/>
    <x v="0"/>
    <x v="3"/>
    <s v="Yes"/>
    <n v="600000"/>
    <x v="8"/>
    <x v="3"/>
    <x v="3"/>
    <x v="82"/>
    <x v="1"/>
    <x v="5"/>
    <x v="1"/>
    <n v="600000"/>
  </r>
  <r>
    <x v="625"/>
    <d v="2025-03-29T00:00:00"/>
    <s v="CUST0217"/>
    <s v="P001"/>
    <n v="4"/>
    <n v="300000"/>
    <n v="1200000"/>
    <s v="DISC15"/>
    <n v="180000"/>
    <n v="15000"/>
    <n v="1035000"/>
    <s v="E-Wallet"/>
    <s v="JNE"/>
    <x v="0"/>
    <x v="3"/>
    <s v="Yes"/>
    <n v="1020000"/>
    <x v="26"/>
    <x v="2"/>
    <x v="2"/>
    <x v="292"/>
    <x v="1"/>
    <x v="7"/>
    <x v="1"/>
    <n v="1020000"/>
  </r>
  <r>
    <x v="626"/>
    <d v="2025-03-29T00:00:00"/>
    <s v="CUST0194"/>
    <s v="P048"/>
    <n v="1"/>
    <n v="300000"/>
    <n v="300000"/>
    <s v="NEWUSER"/>
    <n v="30000"/>
    <n v="30000"/>
    <n v="300000"/>
    <s v="Credit Card"/>
    <s v="SiCepat"/>
    <x v="2"/>
    <x v="3"/>
    <s v="No"/>
    <n v="270000"/>
    <x v="21"/>
    <x v="0"/>
    <x v="0"/>
    <x v="285"/>
    <x v="1"/>
    <x v="8"/>
    <x v="2"/>
    <n v="0"/>
  </r>
  <r>
    <x v="627"/>
    <d v="2025-03-29T00:00:00"/>
    <s v="CUST0259"/>
    <s v="P052"/>
    <n v="1"/>
    <n v="200000"/>
    <n v="200000"/>
    <s v="NONE"/>
    <n v="0"/>
    <n v="15000"/>
    <n v="215000"/>
    <s v="E-Wallet"/>
    <s v="JNE"/>
    <x v="0"/>
    <x v="3"/>
    <s v="Yes"/>
    <n v="200000"/>
    <x v="56"/>
    <x v="3"/>
    <x v="3"/>
    <x v="137"/>
    <x v="1"/>
    <x v="7"/>
    <x v="1"/>
    <n v="200000"/>
  </r>
  <r>
    <x v="628"/>
    <d v="2025-03-28T00:00:00"/>
    <s v="CUST0298"/>
    <s v="P044"/>
    <n v="3"/>
    <n v="500000"/>
    <n v="1500000"/>
    <s v="NONE"/>
    <n v="0"/>
    <n v="10000"/>
    <n v="1510000"/>
    <s v="Bank Transfer"/>
    <s v="JNE"/>
    <x v="3"/>
    <x v="3"/>
    <s v="No"/>
    <n v="1500000"/>
    <x v="47"/>
    <x v="1"/>
    <x v="1"/>
    <x v="293"/>
    <x v="0"/>
    <x v="9"/>
    <x v="1"/>
    <n v="0"/>
  </r>
  <r>
    <x v="629"/>
    <d v="2025-03-28T00:00:00"/>
    <s v="CUST0176"/>
    <s v="P055"/>
    <n v="1"/>
    <n v="300000"/>
    <n v="300000"/>
    <s v="NONE"/>
    <n v="0"/>
    <n v="10000"/>
    <n v="310000"/>
    <s v="Credit Card"/>
    <s v="SiCepat"/>
    <x v="0"/>
    <x v="3"/>
    <s v="Yes"/>
    <n v="300000"/>
    <x v="9"/>
    <x v="2"/>
    <x v="2"/>
    <x v="85"/>
    <x v="0"/>
    <x v="7"/>
    <x v="2"/>
    <n v="300000"/>
  </r>
  <r>
    <x v="630"/>
    <d v="2025-03-28T00:00:00"/>
    <s v="CUST0142"/>
    <s v="P007"/>
    <n v="3"/>
    <n v="150000"/>
    <n v="450000"/>
    <s v="DISC10"/>
    <n v="45000"/>
    <n v="25000"/>
    <n v="430000"/>
    <s v="Bank Transfer"/>
    <s v="JNE"/>
    <x v="0"/>
    <x v="3"/>
    <s v="Yes"/>
    <n v="405000"/>
    <x v="52"/>
    <x v="2"/>
    <x v="2"/>
    <x v="286"/>
    <x v="0"/>
    <x v="5"/>
    <x v="0"/>
    <n v="405000"/>
  </r>
  <r>
    <x v="631"/>
    <d v="2025-03-28T00:00:00"/>
    <s v="CUST0148"/>
    <s v="P037"/>
    <n v="3"/>
    <n v="100000"/>
    <n v="300000"/>
    <s v="NONE"/>
    <n v="0"/>
    <n v="15000"/>
    <n v="315000"/>
    <s v="E-Wallet"/>
    <s v="JNE"/>
    <x v="0"/>
    <x v="3"/>
    <s v="Yes"/>
    <n v="300000"/>
    <x v="4"/>
    <x v="2"/>
    <x v="2"/>
    <x v="98"/>
    <x v="0"/>
    <x v="4"/>
    <x v="1"/>
    <n v="300000"/>
  </r>
  <r>
    <x v="632"/>
    <d v="2025-03-28T00:00:00"/>
    <s v="CUST0056"/>
    <s v="P049"/>
    <n v="2"/>
    <n v="200000"/>
    <n v="400000"/>
    <s v="NONE"/>
    <n v="0"/>
    <n v="30000"/>
    <n v="430000"/>
    <s v="E-Wallet"/>
    <s v="JNE"/>
    <x v="0"/>
    <x v="3"/>
    <s v="Yes"/>
    <n v="400000"/>
    <x v="17"/>
    <x v="2"/>
    <x v="2"/>
    <x v="283"/>
    <x v="0"/>
    <x v="3"/>
    <x v="0"/>
    <n v="400000"/>
  </r>
  <r>
    <x v="633"/>
    <d v="2025-03-28T00:00:00"/>
    <s v="CUST0201"/>
    <s v="P017"/>
    <n v="2"/>
    <n v="100000"/>
    <n v="200000"/>
    <s v="DISC10"/>
    <n v="20000"/>
    <n v="15000"/>
    <n v="195000"/>
    <s v="COD"/>
    <s v="SiCepat"/>
    <x v="1"/>
    <x v="3"/>
    <s v="No"/>
    <n v="180000"/>
    <x v="39"/>
    <x v="5"/>
    <x v="5"/>
    <x v="107"/>
    <x v="1"/>
    <x v="2"/>
    <x v="0"/>
    <n v="0"/>
  </r>
  <r>
    <x v="634"/>
    <d v="2025-03-28T00:00:00"/>
    <s v="CUST0196"/>
    <s v="P052"/>
    <n v="4"/>
    <n v="200000"/>
    <n v="800000"/>
    <s v="NONE"/>
    <n v="0"/>
    <n v="20000"/>
    <n v="820000"/>
    <s v="COD"/>
    <s v="JNE"/>
    <x v="0"/>
    <x v="3"/>
    <s v="Yes"/>
    <n v="800000"/>
    <x v="56"/>
    <x v="3"/>
    <x v="3"/>
    <x v="227"/>
    <x v="1"/>
    <x v="1"/>
    <x v="1"/>
    <n v="800000"/>
  </r>
  <r>
    <x v="635"/>
    <d v="2025-03-28T00:00:00"/>
    <s v="CUST0021"/>
    <s v="P055"/>
    <n v="2"/>
    <n v="300000"/>
    <n v="600000"/>
    <s v="NONE"/>
    <n v="0"/>
    <n v="15000"/>
    <n v="615000"/>
    <s v="COD"/>
    <s v="SiCepat"/>
    <x v="0"/>
    <x v="3"/>
    <s v="Yes"/>
    <n v="600000"/>
    <x v="9"/>
    <x v="2"/>
    <x v="2"/>
    <x v="279"/>
    <x v="1"/>
    <x v="8"/>
    <x v="2"/>
    <n v="600000"/>
  </r>
  <r>
    <x v="636"/>
    <d v="2025-03-28T00:00:00"/>
    <s v="CUST0280"/>
    <s v="P034"/>
    <n v="4"/>
    <n v="50000"/>
    <n v="200000"/>
    <s v="DISC10"/>
    <n v="20000"/>
    <n v="30000"/>
    <n v="210000"/>
    <s v="COD"/>
    <s v="J&amp;T"/>
    <x v="2"/>
    <x v="3"/>
    <s v="No"/>
    <n v="180000"/>
    <x v="42"/>
    <x v="3"/>
    <x v="3"/>
    <x v="164"/>
    <x v="0"/>
    <x v="4"/>
    <x v="0"/>
    <n v="0"/>
  </r>
  <r>
    <x v="637"/>
    <d v="2025-03-27T00:00:00"/>
    <s v="CUST0303"/>
    <s v="P004"/>
    <n v="2"/>
    <n v="300000"/>
    <n v="600000"/>
    <s v="DISC15"/>
    <n v="90000"/>
    <n v="30000"/>
    <n v="540000"/>
    <s v="Credit Card"/>
    <s v="AnterAja"/>
    <x v="0"/>
    <x v="3"/>
    <s v="Yes"/>
    <n v="510000"/>
    <x v="22"/>
    <x v="3"/>
    <x v="3"/>
    <x v="291"/>
    <x v="1"/>
    <x v="4"/>
    <x v="1"/>
    <n v="510000"/>
  </r>
  <r>
    <x v="638"/>
    <d v="2025-03-27T00:00:00"/>
    <s v="CUST0149"/>
    <s v="P044"/>
    <n v="1"/>
    <n v="500000"/>
    <n v="500000"/>
    <s v="DISC10"/>
    <n v="50000"/>
    <n v="10000"/>
    <n v="460000"/>
    <s v="COD"/>
    <s v="SiCepat"/>
    <x v="0"/>
    <x v="3"/>
    <s v="Yes"/>
    <n v="450000"/>
    <x v="47"/>
    <x v="1"/>
    <x v="1"/>
    <x v="284"/>
    <x v="0"/>
    <x v="1"/>
    <x v="1"/>
    <n v="450000"/>
  </r>
  <r>
    <x v="639"/>
    <d v="2025-03-27T00:00:00"/>
    <s v="CUST0228"/>
    <s v="P017"/>
    <n v="3"/>
    <n v="100000"/>
    <n v="300000"/>
    <s v="NONE"/>
    <n v="0"/>
    <n v="20000"/>
    <n v="320000"/>
    <s v="E-Wallet"/>
    <s v="JNE"/>
    <x v="1"/>
    <x v="3"/>
    <s v="No"/>
    <n v="300000"/>
    <x v="39"/>
    <x v="5"/>
    <x v="5"/>
    <x v="26"/>
    <x v="1"/>
    <x v="1"/>
    <x v="1"/>
    <n v="0"/>
  </r>
  <r>
    <x v="640"/>
    <d v="2025-03-27T00:00:00"/>
    <s v="CUST0128"/>
    <s v="P026"/>
    <n v="3"/>
    <n v="200000"/>
    <n v="600000"/>
    <s v="NONE"/>
    <n v="0"/>
    <n v="30000"/>
    <n v="630000"/>
    <s v="Bank Transfer"/>
    <s v="JNE"/>
    <x v="0"/>
    <x v="3"/>
    <s v="Yes"/>
    <n v="600000"/>
    <x v="3"/>
    <x v="1"/>
    <x v="1"/>
    <x v="90"/>
    <x v="1"/>
    <x v="3"/>
    <x v="1"/>
    <n v="600000"/>
  </r>
  <r>
    <x v="641"/>
    <d v="2025-03-27T00:00:00"/>
    <s v="CUST0013"/>
    <s v="P055"/>
    <n v="1"/>
    <n v="300000"/>
    <n v="300000"/>
    <s v="FLASHSALE"/>
    <n v="60000"/>
    <n v="30000"/>
    <n v="270000"/>
    <s v="E-Wallet"/>
    <s v="J&amp;T"/>
    <x v="2"/>
    <x v="3"/>
    <s v="No"/>
    <n v="240000"/>
    <x v="9"/>
    <x v="2"/>
    <x v="2"/>
    <x v="198"/>
    <x v="1"/>
    <x v="7"/>
    <x v="2"/>
    <n v="0"/>
  </r>
  <r>
    <x v="642"/>
    <d v="2025-03-26T00:00:00"/>
    <s v="CUST0008"/>
    <s v="P028"/>
    <n v="2"/>
    <n v="50000"/>
    <n v="100000"/>
    <s v="NONE"/>
    <n v="0"/>
    <n v="20000"/>
    <n v="120000"/>
    <s v="E-Wallet"/>
    <s v="SiCepat"/>
    <x v="0"/>
    <x v="3"/>
    <s v="Yes"/>
    <n v="100000"/>
    <x v="31"/>
    <x v="3"/>
    <x v="3"/>
    <x v="244"/>
    <x v="1"/>
    <x v="0"/>
    <x v="1"/>
    <n v="100000"/>
  </r>
  <r>
    <x v="643"/>
    <d v="2025-03-26T00:00:00"/>
    <s v="CUST0189"/>
    <s v="P031"/>
    <n v="1"/>
    <n v="150000"/>
    <n v="150000"/>
    <s v="NONE"/>
    <n v="0"/>
    <n v="15000"/>
    <n v="165000"/>
    <s v="Credit Card"/>
    <s v="SiCepat"/>
    <x v="3"/>
    <x v="3"/>
    <s v="No"/>
    <n v="150000"/>
    <x v="20"/>
    <x v="2"/>
    <x v="2"/>
    <x v="28"/>
    <x v="1"/>
    <x v="7"/>
    <x v="1"/>
    <n v="0"/>
  </r>
  <r>
    <x v="644"/>
    <d v="2025-03-26T00:00:00"/>
    <s v="CUST0049"/>
    <s v="P047"/>
    <n v="3"/>
    <n v="500000"/>
    <n v="1500000"/>
    <s v="NONE"/>
    <n v="0"/>
    <n v="30000"/>
    <n v="1530000"/>
    <s v="COD"/>
    <s v="JNE"/>
    <x v="4"/>
    <x v="3"/>
    <s v="No"/>
    <n v="1500000"/>
    <x v="49"/>
    <x v="5"/>
    <x v="5"/>
    <x v="21"/>
    <x v="0"/>
    <x v="1"/>
    <x v="0"/>
    <n v="0"/>
  </r>
  <r>
    <x v="645"/>
    <d v="2025-03-26T00:00:00"/>
    <s v="CUST0273"/>
    <s v="P016"/>
    <n v="2"/>
    <n v="150000"/>
    <n v="300000"/>
    <s v="NONE"/>
    <n v="0"/>
    <n v="15000"/>
    <n v="315000"/>
    <s v="COD"/>
    <s v="J&amp;T"/>
    <x v="0"/>
    <x v="3"/>
    <s v="Yes"/>
    <n v="300000"/>
    <x v="8"/>
    <x v="3"/>
    <x v="3"/>
    <x v="173"/>
    <x v="0"/>
    <x v="1"/>
    <x v="2"/>
    <n v="300000"/>
  </r>
  <r>
    <x v="646"/>
    <d v="2025-03-26T00:00:00"/>
    <s v="CUST0267"/>
    <s v="P005"/>
    <n v="1"/>
    <n v="75000"/>
    <n v="75000"/>
    <s v="DISC10"/>
    <n v="7500"/>
    <n v="30000"/>
    <n v="97500"/>
    <s v="E-Wallet"/>
    <s v="SiCepat"/>
    <x v="0"/>
    <x v="3"/>
    <s v="Yes"/>
    <n v="67500"/>
    <x v="12"/>
    <x v="5"/>
    <x v="5"/>
    <x v="247"/>
    <x v="1"/>
    <x v="1"/>
    <x v="0"/>
    <n v="67500"/>
  </r>
  <r>
    <x v="647"/>
    <d v="2025-03-26T00:00:00"/>
    <s v="CUST0139"/>
    <s v="P039"/>
    <n v="1"/>
    <n v="35000"/>
    <n v="35000"/>
    <s v="NONE"/>
    <n v="0"/>
    <n v="15000"/>
    <n v="50000"/>
    <s v="E-Wallet"/>
    <s v="J&amp;T"/>
    <x v="0"/>
    <x v="3"/>
    <s v="Yes"/>
    <n v="35000"/>
    <x v="11"/>
    <x v="4"/>
    <x v="4"/>
    <x v="256"/>
    <x v="1"/>
    <x v="2"/>
    <x v="0"/>
    <n v="35000"/>
  </r>
  <r>
    <x v="648"/>
    <d v="2025-03-25T00:00:00"/>
    <s v="CUST0088"/>
    <s v="P050"/>
    <n v="3"/>
    <n v="200000"/>
    <n v="600000"/>
    <s v="NONE"/>
    <n v="0"/>
    <n v="30000"/>
    <n v="630000"/>
    <s v="Credit Card"/>
    <s v="JNE"/>
    <x v="1"/>
    <x v="3"/>
    <s v="No"/>
    <n v="600000"/>
    <x v="34"/>
    <x v="1"/>
    <x v="1"/>
    <x v="14"/>
    <x v="1"/>
    <x v="7"/>
    <x v="0"/>
    <n v="0"/>
  </r>
  <r>
    <x v="649"/>
    <d v="2025-03-25T00:00:00"/>
    <s v="CUST0281"/>
    <s v="P040"/>
    <n v="3"/>
    <n v="75000"/>
    <n v="225000"/>
    <s v="DISC15"/>
    <n v="33750"/>
    <n v="20000"/>
    <n v="211250"/>
    <s v="E-Wallet"/>
    <s v="AnterAja"/>
    <x v="4"/>
    <x v="3"/>
    <s v="No"/>
    <n v="191250"/>
    <x v="28"/>
    <x v="3"/>
    <x v="3"/>
    <x v="46"/>
    <x v="1"/>
    <x v="5"/>
    <x v="0"/>
    <n v="0"/>
  </r>
  <r>
    <x v="650"/>
    <d v="2025-03-25T00:00:00"/>
    <s v="CUST0116"/>
    <s v="P022"/>
    <n v="2"/>
    <n v="150000"/>
    <n v="300000"/>
    <s v="DISC15"/>
    <n v="45000"/>
    <n v="15000"/>
    <n v="270000"/>
    <s v="E-Wallet"/>
    <s v="J&amp;T"/>
    <x v="2"/>
    <x v="3"/>
    <s v="No"/>
    <n v="255000"/>
    <x v="55"/>
    <x v="3"/>
    <x v="3"/>
    <x v="264"/>
    <x v="0"/>
    <x v="7"/>
    <x v="1"/>
    <n v="0"/>
  </r>
  <r>
    <x v="651"/>
    <d v="2025-03-25T00:00:00"/>
    <s v="CUST0085"/>
    <s v="P053"/>
    <n v="3"/>
    <n v="75000"/>
    <n v="225000"/>
    <s v="DISC15"/>
    <n v="33750"/>
    <n v="20000"/>
    <n v="211250"/>
    <s v="COD"/>
    <s v="J&amp;T"/>
    <x v="0"/>
    <x v="3"/>
    <s v="Yes"/>
    <n v="191250"/>
    <x v="27"/>
    <x v="5"/>
    <x v="5"/>
    <x v="294"/>
    <x v="0"/>
    <x v="2"/>
    <x v="1"/>
    <n v="191250"/>
  </r>
  <r>
    <x v="652"/>
    <d v="2025-03-25T00:00:00"/>
    <s v="CUST0129"/>
    <s v="P054"/>
    <n v="4"/>
    <n v="100000"/>
    <n v="400000"/>
    <s v="NONE"/>
    <n v="0"/>
    <n v="10000"/>
    <n v="410000"/>
    <s v="Bank Transfer"/>
    <s v="J&amp;T"/>
    <x v="0"/>
    <x v="3"/>
    <s v="Yes"/>
    <n v="400000"/>
    <x v="5"/>
    <x v="0"/>
    <x v="0"/>
    <x v="212"/>
    <x v="1"/>
    <x v="2"/>
    <x v="2"/>
    <n v="400000"/>
  </r>
  <r>
    <x v="653"/>
    <d v="2025-03-25T00:00:00"/>
    <s v="CUST0089"/>
    <s v="P015"/>
    <n v="2"/>
    <n v="500000"/>
    <n v="1000000"/>
    <s v="DISC10"/>
    <n v="100000"/>
    <n v="15000"/>
    <n v="915000"/>
    <s v="E-Wallet"/>
    <s v="JNE"/>
    <x v="0"/>
    <x v="3"/>
    <s v="Yes"/>
    <n v="900000"/>
    <x v="19"/>
    <x v="4"/>
    <x v="4"/>
    <x v="193"/>
    <x v="1"/>
    <x v="7"/>
    <x v="2"/>
    <n v="900000"/>
  </r>
  <r>
    <x v="654"/>
    <d v="2025-03-25T00:00:00"/>
    <s v="CUST0045"/>
    <s v="P044"/>
    <n v="1"/>
    <n v="500000"/>
    <n v="500000"/>
    <s v="DISC15"/>
    <n v="75000"/>
    <n v="15000"/>
    <n v="440000"/>
    <s v="COD"/>
    <s v="AnterAja"/>
    <x v="0"/>
    <x v="3"/>
    <s v="Yes"/>
    <n v="425000"/>
    <x v="47"/>
    <x v="1"/>
    <x v="1"/>
    <x v="78"/>
    <x v="0"/>
    <x v="6"/>
    <x v="0"/>
    <n v="425000"/>
  </r>
  <r>
    <x v="655"/>
    <d v="2025-03-25T00:00:00"/>
    <s v="CUST0052"/>
    <s v="P003"/>
    <n v="1"/>
    <n v="150000"/>
    <n v="150000"/>
    <s v="NONE"/>
    <n v="0"/>
    <n v="30000"/>
    <n v="180000"/>
    <s v="E-Wallet"/>
    <s v="JNE"/>
    <x v="0"/>
    <x v="3"/>
    <s v="Yes"/>
    <n v="150000"/>
    <x v="37"/>
    <x v="4"/>
    <x v="4"/>
    <x v="113"/>
    <x v="1"/>
    <x v="7"/>
    <x v="1"/>
    <n v="150000"/>
  </r>
  <r>
    <x v="656"/>
    <d v="2025-03-24T00:00:00"/>
    <s v="CUST0025"/>
    <s v="P004"/>
    <n v="2"/>
    <n v="300000"/>
    <n v="600000"/>
    <s v="DISC15"/>
    <n v="90000"/>
    <n v="20000"/>
    <n v="530000"/>
    <s v="Credit Card"/>
    <s v="J&amp;T"/>
    <x v="0"/>
    <x v="3"/>
    <s v="Yes"/>
    <n v="510000"/>
    <x v="22"/>
    <x v="3"/>
    <x v="3"/>
    <x v="189"/>
    <x v="1"/>
    <x v="4"/>
    <x v="0"/>
    <n v="510000"/>
  </r>
  <r>
    <x v="657"/>
    <d v="2025-03-24T00:00:00"/>
    <s v="CUST0093"/>
    <s v="P053"/>
    <n v="1"/>
    <n v="75000"/>
    <n v="75000"/>
    <s v="NONE"/>
    <n v="0"/>
    <n v="30000"/>
    <n v="105000"/>
    <s v="Bank Transfer"/>
    <s v="SiCepat"/>
    <x v="0"/>
    <x v="3"/>
    <s v="Yes"/>
    <n v="75000"/>
    <x v="27"/>
    <x v="5"/>
    <x v="5"/>
    <x v="187"/>
    <x v="1"/>
    <x v="4"/>
    <x v="1"/>
    <n v="75000"/>
  </r>
  <r>
    <x v="658"/>
    <d v="2025-03-24T00:00:00"/>
    <s v="CUST0228"/>
    <s v="P051"/>
    <n v="1"/>
    <n v="300000"/>
    <n v="300000"/>
    <s v="NONE"/>
    <n v="0"/>
    <n v="30000"/>
    <n v="330000"/>
    <s v="E-Wallet"/>
    <s v="AnterAja"/>
    <x v="0"/>
    <x v="3"/>
    <s v="Yes"/>
    <n v="300000"/>
    <x v="48"/>
    <x v="4"/>
    <x v="4"/>
    <x v="26"/>
    <x v="1"/>
    <x v="1"/>
    <x v="1"/>
    <n v="300000"/>
  </r>
  <r>
    <x v="659"/>
    <d v="2025-03-23T00:00:00"/>
    <s v="CUST0223"/>
    <s v="P030"/>
    <n v="2"/>
    <n v="100000"/>
    <n v="200000"/>
    <s v="DISC10"/>
    <n v="20000"/>
    <n v="20000"/>
    <n v="200000"/>
    <s v="E-Wallet"/>
    <s v="J&amp;T"/>
    <x v="1"/>
    <x v="3"/>
    <s v="No"/>
    <n v="180000"/>
    <x v="33"/>
    <x v="0"/>
    <x v="0"/>
    <x v="136"/>
    <x v="0"/>
    <x v="6"/>
    <x v="1"/>
    <n v="0"/>
  </r>
  <r>
    <x v="660"/>
    <d v="2025-03-23T00:00:00"/>
    <s v="CUST0333"/>
    <s v="P016"/>
    <n v="1"/>
    <n v="150000"/>
    <n v="150000"/>
    <s v="DISC15"/>
    <n v="22500"/>
    <n v="10000"/>
    <n v="137500"/>
    <s v="E-Wallet"/>
    <s v="SiCepat"/>
    <x v="0"/>
    <x v="3"/>
    <s v="Yes"/>
    <n v="127500"/>
    <x v="8"/>
    <x v="3"/>
    <x v="3"/>
    <x v="282"/>
    <x v="0"/>
    <x v="1"/>
    <x v="1"/>
    <n v="127500"/>
  </r>
  <r>
    <x v="661"/>
    <d v="2025-03-23T00:00:00"/>
    <s v="CUST0005"/>
    <s v="P020"/>
    <n v="4"/>
    <n v="75000"/>
    <n v="300000"/>
    <s v="NONE"/>
    <n v="0"/>
    <n v="25000"/>
    <n v="325000"/>
    <s v="E-Wallet"/>
    <s v="J&amp;T"/>
    <x v="2"/>
    <x v="3"/>
    <s v="No"/>
    <n v="300000"/>
    <x v="6"/>
    <x v="1"/>
    <x v="1"/>
    <x v="178"/>
    <x v="1"/>
    <x v="5"/>
    <x v="1"/>
    <n v="0"/>
  </r>
  <r>
    <x v="662"/>
    <d v="2025-03-23T00:00:00"/>
    <s v="CUST0075"/>
    <s v="P054"/>
    <n v="2"/>
    <n v="100000"/>
    <n v="200000"/>
    <s v="NONE"/>
    <n v="0"/>
    <n v="10000"/>
    <n v="210000"/>
    <s v="Bank Transfer"/>
    <s v="SiCepat"/>
    <x v="2"/>
    <x v="3"/>
    <s v="No"/>
    <n v="200000"/>
    <x v="5"/>
    <x v="0"/>
    <x v="0"/>
    <x v="126"/>
    <x v="1"/>
    <x v="6"/>
    <x v="0"/>
    <n v="0"/>
  </r>
  <r>
    <x v="663"/>
    <d v="2025-03-23T00:00:00"/>
    <s v="CUST0129"/>
    <s v="P030"/>
    <n v="3"/>
    <n v="100000"/>
    <n v="300000"/>
    <s v="NONE"/>
    <n v="0"/>
    <n v="25000"/>
    <n v="325000"/>
    <s v="COD"/>
    <s v="JNE"/>
    <x v="0"/>
    <x v="3"/>
    <s v="Yes"/>
    <n v="300000"/>
    <x v="33"/>
    <x v="0"/>
    <x v="0"/>
    <x v="212"/>
    <x v="1"/>
    <x v="2"/>
    <x v="2"/>
    <n v="300000"/>
  </r>
  <r>
    <x v="664"/>
    <d v="2025-03-23T00:00:00"/>
    <s v="CUST0202"/>
    <s v="P024"/>
    <n v="2"/>
    <n v="500000"/>
    <n v="1000000"/>
    <s v="NONE"/>
    <n v="0"/>
    <n v="20000"/>
    <n v="1020000"/>
    <s v="Credit Card"/>
    <s v="JNE"/>
    <x v="0"/>
    <x v="3"/>
    <s v="Yes"/>
    <n v="1000000"/>
    <x v="43"/>
    <x v="0"/>
    <x v="0"/>
    <x v="295"/>
    <x v="0"/>
    <x v="5"/>
    <x v="1"/>
    <n v="1000000"/>
  </r>
  <r>
    <x v="665"/>
    <d v="2025-03-23T00:00:00"/>
    <s v="CUST0067"/>
    <s v="P010"/>
    <n v="1"/>
    <n v="50000"/>
    <n v="50000"/>
    <s v="NONE"/>
    <n v="0"/>
    <n v="10000"/>
    <n v="60000"/>
    <s v="Bank Transfer"/>
    <s v="JNE"/>
    <x v="1"/>
    <x v="3"/>
    <s v="No"/>
    <n v="50000"/>
    <x v="13"/>
    <x v="3"/>
    <x v="3"/>
    <x v="296"/>
    <x v="0"/>
    <x v="4"/>
    <x v="0"/>
    <n v="0"/>
  </r>
  <r>
    <x v="666"/>
    <d v="2025-03-23T00:00:00"/>
    <s v="CUST0108"/>
    <s v="P005"/>
    <n v="1"/>
    <n v="75000"/>
    <n v="75000"/>
    <s v="NONE"/>
    <n v="0"/>
    <n v="25000"/>
    <n v="100000"/>
    <s v="E-Wallet"/>
    <s v="SiCepat"/>
    <x v="0"/>
    <x v="3"/>
    <s v="Yes"/>
    <n v="75000"/>
    <x v="12"/>
    <x v="5"/>
    <x v="5"/>
    <x v="66"/>
    <x v="1"/>
    <x v="0"/>
    <x v="1"/>
    <n v="75000"/>
  </r>
  <r>
    <x v="667"/>
    <d v="2025-03-22T00:00:00"/>
    <s v="CUST0084"/>
    <s v="P041"/>
    <n v="1"/>
    <n v="75000"/>
    <n v="75000"/>
    <s v="FLASHSALE"/>
    <n v="15000"/>
    <n v="10000"/>
    <n v="70000"/>
    <s v="COD"/>
    <s v="SiCepat"/>
    <x v="0"/>
    <x v="3"/>
    <s v="Yes"/>
    <n v="60000"/>
    <x v="15"/>
    <x v="5"/>
    <x v="5"/>
    <x v="297"/>
    <x v="0"/>
    <x v="9"/>
    <x v="1"/>
    <n v="60000"/>
  </r>
  <r>
    <x v="668"/>
    <d v="2025-03-22T00:00:00"/>
    <s v="CUST0271"/>
    <s v="P036"/>
    <n v="2"/>
    <n v="150000"/>
    <n v="300000"/>
    <s v="NONE"/>
    <n v="0"/>
    <n v="15000"/>
    <n v="315000"/>
    <s v="Bank Transfer"/>
    <s v="AnterAja"/>
    <x v="0"/>
    <x v="3"/>
    <s v="Yes"/>
    <n v="300000"/>
    <x v="2"/>
    <x v="0"/>
    <x v="0"/>
    <x v="209"/>
    <x v="1"/>
    <x v="6"/>
    <x v="0"/>
    <n v="300000"/>
  </r>
  <r>
    <x v="669"/>
    <d v="2025-03-22T00:00:00"/>
    <s v="CUST0297"/>
    <s v="P019"/>
    <n v="2"/>
    <n v="500000"/>
    <n v="1000000"/>
    <s v="FLASHSALE"/>
    <n v="200000"/>
    <n v="25000"/>
    <n v="825000"/>
    <s v="COD"/>
    <s v="SiCepat"/>
    <x v="1"/>
    <x v="3"/>
    <s v="No"/>
    <n v="800000"/>
    <x v="23"/>
    <x v="2"/>
    <x v="2"/>
    <x v="276"/>
    <x v="0"/>
    <x v="3"/>
    <x v="1"/>
    <n v="0"/>
  </r>
  <r>
    <x v="670"/>
    <d v="2025-03-22T00:00:00"/>
    <s v="CUST0194"/>
    <s v="P029"/>
    <n v="2"/>
    <n v="500000"/>
    <n v="1000000"/>
    <s v="NONE"/>
    <n v="0"/>
    <n v="25000"/>
    <n v="1025000"/>
    <s v="E-Wallet"/>
    <s v="SiCepat"/>
    <x v="2"/>
    <x v="3"/>
    <s v="No"/>
    <n v="1000000"/>
    <x v="35"/>
    <x v="5"/>
    <x v="5"/>
    <x v="285"/>
    <x v="1"/>
    <x v="8"/>
    <x v="2"/>
    <n v="0"/>
  </r>
  <r>
    <x v="671"/>
    <d v="2025-03-22T00:00:00"/>
    <s v="CUST0273"/>
    <s v="P053"/>
    <n v="1"/>
    <n v="75000"/>
    <n v="75000"/>
    <s v="NONE"/>
    <n v="0"/>
    <n v="15000"/>
    <n v="90000"/>
    <s v="Bank Transfer"/>
    <s v="SiCepat"/>
    <x v="3"/>
    <x v="3"/>
    <s v="No"/>
    <n v="75000"/>
    <x v="27"/>
    <x v="5"/>
    <x v="5"/>
    <x v="173"/>
    <x v="0"/>
    <x v="1"/>
    <x v="2"/>
    <n v="0"/>
  </r>
  <r>
    <x v="672"/>
    <d v="2025-03-22T00:00:00"/>
    <s v="CUST0095"/>
    <s v="P012"/>
    <n v="4"/>
    <n v="300000"/>
    <n v="1200000"/>
    <s v="NONE"/>
    <n v="0"/>
    <n v="25000"/>
    <n v="1225000"/>
    <s v="E-Wallet"/>
    <s v="SiCepat"/>
    <x v="0"/>
    <x v="3"/>
    <s v="Yes"/>
    <n v="1200000"/>
    <x v="40"/>
    <x v="0"/>
    <x v="0"/>
    <x v="259"/>
    <x v="1"/>
    <x v="5"/>
    <x v="1"/>
    <n v="1200000"/>
  </r>
  <r>
    <x v="673"/>
    <d v="2025-03-22T00:00:00"/>
    <s v="CUST0036"/>
    <s v="P003"/>
    <n v="1"/>
    <n v="150000"/>
    <n v="150000"/>
    <s v="NONE"/>
    <n v="0"/>
    <n v="25000"/>
    <n v="175000"/>
    <s v="Credit Card"/>
    <s v="AnterAja"/>
    <x v="0"/>
    <x v="3"/>
    <s v="Yes"/>
    <n v="150000"/>
    <x v="37"/>
    <x v="4"/>
    <x v="4"/>
    <x v="167"/>
    <x v="0"/>
    <x v="1"/>
    <x v="1"/>
    <n v="150000"/>
  </r>
  <r>
    <x v="674"/>
    <d v="2025-03-21T00:00:00"/>
    <s v="CUST0007"/>
    <s v="P052"/>
    <n v="3"/>
    <n v="200000"/>
    <n v="600000"/>
    <s v="NONE"/>
    <n v="0"/>
    <n v="20000"/>
    <n v="620000"/>
    <s v="E-Wallet"/>
    <s v="J&amp;T"/>
    <x v="0"/>
    <x v="3"/>
    <s v="Yes"/>
    <n v="600000"/>
    <x v="56"/>
    <x v="3"/>
    <x v="3"/>
    <x v="131"/>
    <x v="0"/>
    <x v="5"/>
    <x v="1"/>
    <n v="600000"/>
  </r>
  <r>
    <x v="675"/>
    <d v="2025-03-21T00:00:00"/>
    <s v="CUST0168"/>
    <s v="P028"/>
    <n v="1"/>
    <n v="50000"/>
    <n v="50000"/>
    <s v="NEWUSER"/>
    <n v="5000"/>
    <n v="10000"/>
    <n v="55000"/>
    <s v="Bank Transfer"/>
    <s v="JNE"/>
    <x v="0"/>
    <x v="3"/>
    <s v="Yes"/>
    <n v="45000"/>
    <x v="31"/>
    <x v="3"/>
    <x v="3"/>
    <x v="31"/>
    <x v="0"/>
    <x v="1"/>
    <x v="0"/>
    <n v="45000"/>
  </r>
  <r>
    <x v="676"/>
    <d v="2025-03-21T00:00:00"/>
    <s v="CUST0083"/>
    <s v="P042"/>
    <n v="1"/>
    <n v="300000"/>
    <n v="300000"/>
    <s v="DISC15"/>
    <n v="45000"/>
    <n v="25000"/>
    <n v="280000"/>
    <s v="COD"/>
    <s v="SiCepat"/>
    <x v="0"/>
    <x v="3"/>
    <s v="Yes"/>
    <n v="255000"/>
    <x v="36"/>
    <x v="0"/>
    <x v="0"/>
    <x v="166"/>
    <x v="0"/>
    <x v="6"/>
    <x v="2"/>
    <n v="255000"/>
  </r>
  <r>
    <x v="677"/>
    <d v="2025-03-21T00:00:00"/>
    <s v="CUST0314"/>
    <s v="P019"/>
    <n v="1"/>
    <n v="500000"/>
    <n v="500000"/>
    <s v="DISC10"/>
    <n v="50000"/>
    <n v="25000"/>
    <n v="475000"/>
    <s v="E-Wallet"/>
    <s v="AnterAja"/>
    <x v="0"/>
    <x v="3"/>
    <s v="Yes"/>
    <n v="450000"/>
    <x v="23"/>
    <x v="2"/>
    <x v="2"/>
    <x v="32"/>
    <x v="0"/>
    <x v="4"/>
    <x v="2"/>
    <n v="450000"/>
  </r>
  <r>
    <x v="678"/>
    <d v="2025-03-21T00:00:00"/>
    <s v="CUST0139"/>
    <s v="P055"/>
    <n v="2"/>
    <n v="300000"/>
    <n v="600000"/>
    <s v="DISC10"/>
    <n v="60000"/>
    <n v="15000"/>
    <n v="555000"/>
    <s v="COD"/>
    <s v="J&amp;T"/>
    <x v="0"/>
    <x v="3"/>
    <s v="Yes"/>
    <n v="540000"/>
    <x v="9"/>
    <x v="2"/>
    <x v="2"/>
    <x v="256"/>
    <x v="1"/>
    <x v="2"/>
    <x v="0"/>
    <n v="540000"/>
  </r>
  <r>
    <x v="679"/>
    <d v="2025-03-21T00:00:00"/>
    <s v="CUST0011"/>
    <s v="P033"/>
    <n v="3"/>
    <n v="100000"/>
    <n v="300000"/>
    <s v="NONE"/>
    <n v="0"/>
    <n v="25000"/>
    <n v="325000"/>
    <s v="Credit Card"/>
    <s v="JNE"/>
    <x v="0"/>
    <x v="3"/>
    <s v="Yes"/>
    <n v="300000"/>
    <x v="58"/>
    <x v="4"/>
    <x v="4"/>
    <x v="169"/>
    <x v="0"/>
    <x v="7"/>
    <x v="0"/>
    <n v="300000"/>
  </r>
  <r>
    <x v="680"/>
    <d v="2025-03-21T00:00:00"/>
    <s v="CUST0068"/>
    <s v="P054"/>
    <n v="3"/>
    <n v="100000"/>
    <n v="300000"/>
    <s v="FLASHSALE"/>
    <n v="60000"/>
    <n v="20000"/>
    <n v="260000"/>
    <s v="Bank Transfer"/>
    <s v="JNE"/>
    <x v="0"/>
    <x v="3"/>
    <s v="Yes"/>
    <n v="240000"/>
    <x v="5"/>
    <x v="0"/>
    <x v="0"/>
    <x v="298"/>
    <x v="1"/>
    <x v="5"/>
    <x v="0"/>
    <n v="240000"/>
  </r>
  <r>
    <x v="681"/>
    <d v="2025-03-21T00:00:00"/>
    <s v="CUST0041"/>
    <s v="P054"/>
    <n v="3"/>
    <n v="100000"/>
    <n v="300000"/>
    <s v="FLASHSALE"/>
    <n v="60000"/>
    <n v="20000"/>
    <n v="260000"/>
    <s v="E-Wallet"/>
    <s v="SiCepat"/>
    <x v="0"/>
    <x v="3"/>
    <s v="Yes"/>
    <n v="240000"/>
    <x v="5"/>
    <x v="0"/>
    <x v="0"/>
    <x v="299"/>
    <x v="1"/>
    <x v="8"/>
    <x v="1"/>
    <n v="240000"/>
  </r>
  <r>
    <x v="682"/>
    <d v="2025-03-21T00:00:00"/>
    <s v="CUST0071"/>
    <s v="P027"/>
    <n v="3"/>
    <n v="200000"/>
    <n v="600000"/>
    <s v="NONE"/>
    <n v="0"/>
    <n v="25000"/>
    <n v="625000"/>
    <s v="Credit Card"/>
    <s v="AnterAja"/>
    <x v="0"/>
    <x v="3"/>
    <s v="Yes"/>
    <n v="600000"/>
    <x v="51"/>
    <x v="4"/>
    <x v="4"/>
    <x v="117"/>
    <x v="0"/>
    <x v="2"/>
    <x v="1"/>
    <n v="600000"/>
  </r>
  <r>
    <x v="683"/>
    <d v="2025-03-21T00:00:00"/>
    <s v="CUST0203"/>
    <s v="P032"/>
    <n v="2"/>
    <n v="35000"/>
    <n v="70000"/>
    <s v="NONE"/>
    <n v="0"/>
    <n v="25000"/>
    <n v="95000"/>
    <s v="COD"/>
    <s v="JNE"/>
    <x v="0"/>
    <x v="3"/>
    <s v="Yes"/>
    <n v="70000"/>
    <x v="29"/>
    <x v="1"/>
    <x v="1"/>
    <x v="120"/>
    <x v="1"/>
    <x v="3"/>
    <x v="0"/>
    <n v="70000"/>
  </r>
  <r>
    <x v="684"/>
    <d v="2025-03-20T00:00:00"/>
    <s v="CUST0020"/>
    <s v="P029"/>
    <n v="1"/>
    <n v="500000"/>
    <n v="500000"/>
    <s v="NONE"/>
    <n v="0"/>
    <n v="20000"/>
    <n v="520000"/>
    <s v="E-Wallet"/>
    <s v="SiCepat"/>
    <x v="0"/>
    <x v="3"/>
    <s v="Yes"/>
    <n v="500000"/>
    <x v="35"/>
    <x v="5"/>
    <x v="5"/>
    <x v="123"/>
    <x v="0"/>
    <x v="3"/>
    <x v="1"/>
    <n v="500000"/>
  </r>
  <r>
    <x v="685"/>
    <d v="2025-03-20T00:00:00"/>
    <s v="CUST0079"/>
    <s v="P006"/>
    <n v="1"/>
    <n v="500000"/>
    <n v="500000"/>
    <s v="DISC15"/>
    <n v="75000"/>
    <n v="30000"/>
    <n v="455000"/>
    <s v="Credit Card"/>
    <s v="AnterAja"/>
    <x v="0"/>
    <x v="3"/>
    <s v="Yes"/>
    <n v="425000"/>
    <x v="59"/>
    <x v="0"/>
    <x v="0"/>
    <x v="70"/>
    <x v="1"/>
    <x v="4"/>
    <x v="1"/>
    <n v="425000"/>
  </r>
  <r>
    <x v="686"/>
    <d v="2025-03-20T00:00:00"/>
    <s v="CUST0086"/>
    <s v="P059"/>
    <n v="3"/>
    <n v="75000"/>
    <n v="225000"/>
    <s v="DISC15"/>
    <n v="33750"/>
    <n v="30000"/>
    <n v="221250"/>
    <s v="E-Wallet"/>
    <s v="SiCepat"/>
    <x v="0"/>
    <x v="3"/>
    <s v="Yes"/>
    <n v="191250"/>
    <x v="16"/>
    <x v="5"/>
    <x v="5"/>
    <x v="19"/>
    <x v="1"/>
    <x v="4"/>
    <x v="0"/>
    <n v="191250"/>
  </r>
  <r>
    <x v="687"/>
    <d v="2025-03-19T00:00:00"/>
    <s v="CUST0130"/>
    <s v="P009"/>
    <n v="4"/>
    <n v="300000"/>
    <n v="1200000"/>
    <s v="NONE"/>
    <n v="0"/>
    <n v="30000"/>
    <n v="1230000"/>
    <s v="Bank Transfer"/>
    <s v="JNE"/>
    <x v="0"/>
    <x v="3"/>
    <s v="Yes"/>
    <n v="1200000"/>
    <x v="45"/>
    <x v="4"/>
    <x v="4"/>
    <x v="300"/>
    <x v="0"/>
    <x v="4"/>
    <x v="2"/>
    <n v="1200000"/>
  </r>
  <r>
    <x v="688"/>
    <d v="2025-03-19T00:00:00"/>
    <s v="CUST0202"/>
    <s v="P046"/>
    <n v="2"/>
    <n v="100000"/>
    <n v="200000"/>
    <s v="NONE"/>
    <n v="0"/>
    <n v="25000"/>
    <n v="225000"/>
    <s v="E-Wallet"/>
    <s v="J&amp;T"/>
    <x v="0"/>
    <x v="3"/>
    <s v="Yes"/>
    <n v="200000"/>
    <x v="7"/>
    <x v="3"/>
    <x v="3"/>
    <x v="295"/>
    <x v="0"/>
    <x v="5"/>
    <x v="1"/>
    <n v="200000"/>
  </r>
  <r>
    <x v="689"/>
    <d v="2025-03-19T00:00:00"/>
    <s v="CUST0222"/>
    <s v="P041"/>
    <n v="2"/>
    <n v="75000"/>
    <n v="150000"/>
    <s v="DISC15"/>
    <n v="22500"/>
    <n v="10000"/>
    <n v="137500"/>
    <s v="COD"/>
    <s v="J&amp;T"/>
    <x v="0"/>
    <x v="3"/>
    <s v="Yes"/>
    <n v="127500"/>
    <x v="15"/>
    <x v="5"/>
    <x v="5"/>
    <x v="87"/>
    <x v="0"/>
    <x v="7"/>
    <x v="0"/>
    <n v="127500"/>
  </r>
  <r>
    <x v="690"/>
    <d v="2025-03-19T00:00:00"/>
    <s v="CUST0194"/>
    <s v="P029"/>
    <n v="4"/>
    <n v="500000"/>
    <n v="2000000"/>
    <s v="NONE"/>
    <n v="0"/>
    <n v="30000"/>
    <n v="2030000"/>
    <s v="E-Wallet"/>
    <s v="JNE"/>
    <x v="4"/>
    <x v="3"/>
    <s v="No"/>
    <n v="2000000"/>
    <x v="35"/>
    <x v="5"/>
    <x v="5"/>
    <x v="285"/>
    <x v="1"/>
    <x v="8"/>
    <x v="2"/>
    <n v="0"/>
  </r>
  <r>
    <x v="691"/>
    <d v="2025-03-19T00:00:00"/>
    <s v="CUST0349"/>
    <s v="P034"/>
    <n v="1"/>
    <n v="50000"/>
    <n v="50000"/>
    <s v="NONE"/>
    <n v="0"/>
    <n v="10000"/>
    <n v="60000"/>
    <s v="COD"/>
    <s v="SiCepat"/>
    <x v="0"/>
    <x v="3"/>
    <s v="Yes"/>
    <n v="50000"/>
    <x v="42"/>
    <x v="3"/>
    <x v="3"/>
    <x v="205"/>
    <x v="0"/>
    <x v="3"/>
    <x v="1"/>
    <n v="50000"/>
  </r>
  <r>
    <x v="692"/>
    <d v="2025-03-19T00:00:00"/>
    <s v="CUST0016"/>
    <s v="P007"/>
    <n v="1"/>
    <n v="150000"/>
    <n v="150000"/>
    <s v="DISC10"/>
    <n v="15000"/>
    <n v="10000"/>
    <n v="145000"/>
    <s v="Bank Transfer"/>
    <s v="JNE"/>
    <x v="2"/>
    <x v="3"/>
    <s v="No"/>
    <n v="135000"/>
    <x v="52"/>
    <x v="2"/>
    <x v="2"/>
    <x v="130"/>
    <x v="0"/>
    <x v="7"/>
    <x v="1"/>
    <n v="0"/>
  </r>
  <r>
    <x v="693"/>
    <d v="2025-03-19T00:00:00"/>
    <s v="CUST0272"/>
    <s v="P019"/>
    <n v="1"/>
    <n v="500000"/>
    <n v="500000"/>
    <s v="NEWUSER"/>
    <n v="50000"/>
    <n v="15000"/>
    <n v="465000"/>
    <s v="E-Wallet"/>
    <s v="JNE"/>
    <x v="4"/>
    <x v="3"/>
    <s v="No"/>
    <n v="450000"/>
    <x v="23"/>
    <x v="2"/>
    <x v="2"/>
    <x v="301"/>
    <x v="1"/>
    <x v="4"/>
    <x v="1"/>
    <n v="0"/>
  </r>
  <r>
    <x v="694"/>
    <d v="2025-03-19T00:00:00"/>
    <s v="CUST0075"/>
    <s v="P042"/>
    <n v="3"/>
    <n v="300000"/>
    <n v="900000"/>
    <s v="DISC10"/>
    <n v="90000"/>
    <n v="30000"/>
    <n v="840000"/>
    <s v="E-Wallet"/>
    <s v="AnterAja"/>
    <x v="0"/>
    <x v="3"/>
    <s v="Yes"/>
    <n v="810000"/>
    <x v="36"/>
    <x v="0"/>
    <x v="0"/>
    <x v="126"/>
    <x v="1"/>
    <x v="6"/>
    <x v="0"/>
    <n v="810000"/>
  </r>
  <r>
    <x v="695"/>
    <d v="2025-03-19T00:00:00"/>
    <s v="CUST0348"/>
    <s v="P058"/>
    <n v="2"/>
    <n v="35000"/>
    <n v="70000"/>
    <s v="NEWUSER"/>
    <n v="7000"/>
    <n v="15000"/>
    <n v="78000"/>
    <s v="COD"/>
    <s v="SiCepat"/>
    <x v="0"/>
    <x v="3"/>
    <s v="Yes"/>
    <n v="63000"/>
    <x v="24"/>
    <x v="3"/>
    <x v="3"/>
    <x v="302"/>
    <x v="0"/>
    <x v="0"/>
    <x v="1"/>
    <n v="63000"/>
  </r>
  <r>
    <x v="696"/>
    <d v="2025-03-19T00:00:00"/>
    <s v="CUST0091"/>
    <s v="P023"/>
    <n v="3"/>
    <n v="50000"/>
    <n v="150000"/>
    <s v="DISC10"/>
    <n v="15000"/>
    <n v="25000"/>
    <n v="160000"/>
    <s v="Credit Card"/>
    <s v="SiCepat"/>
    <x v="2"/>
    <x v="3"/>
    <s v="No"/>
    <n v="135000"/>
    <x v="14"/>
    <x v="5"/>
    <x v="5"/>
    <x v="303"/>
    <x v="1"/>
    <x v="9"/>
    <x v="1"/>
    <n v="0"/>
  </r>
  <r>
    <x v="697"/>
    <d v="2025-03-18T00:00:00"/>
    <s v="CUST0059"/>
    <s v="P047"/>
    <n v="3"/>
    <n v="500000"/>
    <n v="1500000"/>
    <s v="DISC15"/>
    <n v="225000"/>
    <n v="30000"/>
    <n v="1305000"/>
    <s v="E-Wallet"/>
    <s v="AnterAja"/>
    <x v="0"/>
    <x v="3"/>
    <s v="Yes"/>
    <n v="1275000"/>
    <x v="49"/>
    <x v="5"/>
    <x v="5"/>
    <x v="63"/>
    <x v="0"/>
    <x v="2"/>
    <x v="0"/>
    <n v="1275000"/>
  </r>
  <r>
    <x v="698"/>
    <d v="2025-03-18T00:00:00"/>
    <s v="CUST0116"/>
    <s v="P026"/>
    <n v="3"/>
    <n v="200000"/>
    <n v="600000"/>
    <s v="DISC15"/>
    <n v="90000"/>
    <n v="15000"/>
    <n v="525000"/>
    <s v="COD"/>
    <s v="J&amp;T"/>
    <x v="0"/>
    <x v="3"/>
    <s v="Yes"/>
    <n v="510000"/>
    <x v="3"/>
    <x v="1"/>
    <x v="1"/>
    <x v="264"/>
    <x v="0"/>
    <x v="7"/>
    <x v="1"/>
    <n v="510000"/>
  </r>
  <r>
    <x v="699"/>
    <d v="2025-03-18T00:00:00"/>
    <s v="CUST0132"/>
    <s v="P026"/>
    <n v="1"/>
    <n v="200000"/>
    <n v="200000"/>
    <s v="NONE"/>
    <n v="0"/>
    <n v="30000"/>
    <n v="230000"/>
    <s v="Bank Transfer"/>
    <s v="AnterAja"/>
    <x v="0"/>
    <x v="3"/>
    <s v="Yes"/>
    <n v="200000"/>
    <x v="3"/>
    <x v="1"/>
    <x v="1"/>
    <x v="155"/>
    <x v="1"/>
    <x v="1"/>
    <x v="1"/>
    <n v="200000"/>
  </r>
  <r>
    <x v="700"/>
    <d v="2025-03-18T00:00:00"/>
    <s v="CUST0207"/>
    <s v="P018"/>
    <n v="1"/>
    <n v="500000"/>
    <n v="500000"/>
    <s v="NONE"/>
    <n v="0"/>
    <n v="15000"/>
    <n v="515000"/>
    <s v="Credit Card"/>
    <s v="SiCepat"/>
    <x v="4"/>
    <x v="3"/>
    <s v="No"/>
    <n v="500000"/>
    <x v="1"/>
    <x v="0"/>
    <x v="0"/>
    <x v="182"/>
    <x v="0"/>
    <x v="8"/>
    <x v="1"/>
    <n v="0"/>
  </r>
  <r>
    <x v="701"/>
    <d v="2025-03-18T00:00:00"/>
    <s v="CUST0246"/>
    <s v="P002"/>
    <n v="1"/>
    <n v="100000"/>
    <n v="100000"/>
    <s v="DISC15"/>
    <n v="15000"/>
    <n v="25000"/>
    <n v="110000"/>
    <s v="Credit Card"/>
    <s v="SiCepat"/>
    <x v="0"/>
    <x v="3"/>
    <s v="Yes"/>
    <n v="85000"/>
    <x v="38"/>
    <x v="1"/>
    <x v="1"/>
    <x v="304"/>
    <x v="1"/>
    <x v="6"/>
    <x v="0"/>
    <n v="85000"/>
  </r>
  <r>
    <x v="702"/>
    <d v="2025-03-18T00:00:00"/>
    <s v="CUST0055"/>
    <s v="P051"/>
    <n v="3"/>
    <n v="300000"/>
    <n v="900000"/>
    <s v="NONE"/>
    <n v="0"/>
    <n v="10000"/>
    <n v="910000"/>
    <s v="E-Wallet"/>
    <s v="JNE"/>
    <x v="2"/>
    <x v="3"/>
    <s v="No"/>
    <n v="900000"/>
    <x v="48"/>
    <x v="4"/>
    <x v="4"/>
    <x v="267"/>
    <x v="1"/>
    <x v="8"/>
    <x v="2"/>
    <n v="0"/>
  </r>
  <r>
    <x v="703"/>
    <d v="2025-03-18T00:00:00"/>
    <s v="CUST0272"/>
    <s v="P041"/>
    <n v="1"/>
    <n v="75000"/>
    <n v="75000"/>
    <s v="DISC15"/>
    <n v="11250"/>
    <n v="25000"/>
    <n v="88750"/>
    <s v="Bank Transfer"/>
    <s v="J&amp;T"/>
    <x v="0"/>
    <x v="3"/>
    <s v="Yes"/>
    <n v="63750"/>
    <x v="15"/>
    <x v="5"/>
    <x v="5"/>
    <x v="301"/>
    <x v="1"/>
    <x v="4"/>
    <x v="1"/>
    <n v="63750"/>
  </r>
  <r>
    <x v="704"/>
    <d v="2025-03-18T00:00:00"/>
    <s v="CUST0332"/>
    <s v="P047"/>
    <n v="1"/>
    <n v="500000"/>
    <n v="500000"/>
    <s v="NONE"/>
    <n v="0"/>
    <n v="15000"/>
    <n v="515000"/>
    <s v="COD"/>
    <s v="SiCepat"/>
    <x v="0"/>
    <x v="3"/>
    <s v="Yes"/>
    <n v="500000"/>
    <x v="49"/>
    <x v="5"/>
    <x v="5"/>
    <x v="18"/>
    <x v="1"/>
    <x v="2"/>
    <x v="1"/>
    <n v="500000"/>
  </r>
  <r>
    <x v="705"/>
    <d v="2025-03-18T00:00:00"/>
    <s v="CUST0135"/>
    <s v="P008"/>
    <n v="2"/>
    <n v="150000"/>
    <n v="300000"/>
    <s v="DISC10"/>
    <n v="30000"/>
    <n v="20000"/>
    <n v="290000"/>
    <s v="Credit Card"/>
    <s v="AnterAja"/>
    <x v="0"/>
    <x v="3"/>
    <s v="Yes"/>
    <n v="270000"/>
    <x v="18"/>
    <x v="1"/>
    <x v="1"/>
    <x v="305"/>
    <x v="1"/>
    <x v="4"/>
    <x v="1"/>
    <n v="270000"/>
  </r>
  <r>
    <x v="706"/>
    <d v="2025-03-17T00:00:00"/>
    <s v="CUST0328"/>
    <s v="P025"/>
    <n v="3"/>
    <n v="100000"/>
    <n v="300000"/>
    <s v="DISC15"/>
    <n v="45000"/>
    <n v="30000"/>
    <n v="285000"/>
    <s v="Credit Card"/>
    <s v="SiCepat"/>
    <x v="4"/>
    <x v="3"/>
    <s v="No"/>
    <n v="255000"/>
    <x v="53"/>
    <x v="2"/>
    <x v="2"/>
    <x v="159"/>
    <x v="1"/>
    <x v="8"/>
    <x v="2"/>
    <n v="0"/>
  </r>
  <r>
    <x v="707"/>
    <d v="2025-03-17T00:00:00"/>
    <s v="CUST0174"/>
    <s v="P047"/>
    <n v="4"/>
    <n v="500000"/>
    <n v="2000000"/>
    <s v="NONE"/>
    <n v="0"/>
    <n v="30000"/>
    <n v="2030000"/>
    <s v="COD"/>
    <s v="JNE"/>
    <x v="0"/>
    <x v="3"/>
    <s v="Yes"/>
    <n v="2000000"/>
    <x v="49"/>
    <x v="5"/>
    <x v="5"/>
    <x v="306"/>
    <x v="0"/>
    <x v="7"/>
    <x v="0"/>
    <n v="2000000"/>
  </r>
  <r>
    <x v="708"/>
    <d v="2025-03-17T00:00:00"/>
    <s v="CUST0282"/>
    <s v="P051"/>
    <n v="1"/>
    <n v="300000"/>
    <n v="300000"/>
    <s v="FLASHSALE"/>
    <n v="60000"/>
    <n v="30000"/>
    <n v="270000"/>
    <s v="E-Wallet"/>
    <s v="SiCepat"/>
    <x v="0"/>
    <x v="3"/>
    <s v="Yes"/>
    <n v="240000"/>
    <x v="48"/>
    <x v="4"/>
    <x v="4"/>
    <x v="307"/>
    <x v="0"/>
    <x v="6"/>
    <x v="2"/>
    <n v="240000"/>
  </r>
  <r>
    <x v="709"/>
    <d v="2025-03-17T00:00:00"/>
    <s v="CUST0170"/>
    <s v="P013"/>
    <n v="1"/>
    <n v="75000"/>
    <n v="75000"/>
    <s v="NONE"/>
    <n v="0"/>
    <n v="30000"/>
    <n v="105000"/>
    <s v="Bank Transfer"/>
    <s v="SiCepat"/>
    <x v="0"/>
    <x v="3"/>
    <s v="Yes"/>
    <n v="75000"/>
    <x v="50"/>
    <x v="2"/>
    <x v="2"/>
    <x v="2"/>
    <x v="1"/>
    <x v="2"/>
    <x v="1"/>
    <n v="75000"/>
  </r>
  <r>
    <x v="710"/>
    <d v="2025-03-17T00:00:00"/>
    <s v="CUST0121"/>
    <s v="P042"/>
    <n v="1"/>
    <n v="300000"/>
    <n v="300000"/>
    <s v="NONE"/>
    <n v="0"/>
    <n v="20000"/>
    <n v="320000"/>
    <s v="Bank Transfer"/>
    <s v="JNE"/>
    <x v="0"/>
    <x v="3"/>
    <s v="Yes"/>
    <n v="300000"/>
    <x v="36"/>
    <x v="0"/>
    <x v="0"/>
    <x v="214"/>
    <x v="1"/>
    <x v="9"/>
    <x v="1"/>
    <n v="300000"/>
  </r>
  <r>
    <x v="711"/>
    <d v="2025-03-17T00:00:00"/>
    <s v="CUST0247"/>
    <s v="P029"/>
    <n v="1"/>
    <n v="500000"/>
    <n v="500000"/>
    <s v="DISC10"/>
    <n v="50000"/>
    <n v="30000"/>
    <n v="480000"/>
    <s v="E-Wallet"/>
    <s v="J&amp;T"/>
    <x v="0"/>
    <x v="3"/>
    <s v="Yes"/>
    <n v="450000"/>
    <x v="35"/>
    <x v="5"/>
    <x v="5"/>
    <x v="151"/>
    <x v="0"/>
    <x v="8"/>
    <x v="0"/>
    <n v="450000"/>
  </r>
  <r>
    <x v="712"/>
    <d v="2025-03-17T00:00:00"/>
    <s v="CUST0108"/>
    <s v="P028"/>
    <n v="1"/>
    <n v="50000"/>
    <n v="50000"/>
    <s v="NONE"/>
    <n v="0"/>
    <n v="15000"/>
    <n v="65000"/>
    <s v="Credit Card"/>
    <s v="J&amp;T"/>
    <x v="0"/>
    <x v="3"/>
    <s v="Yes"/>
    <n v="50000"/>
    <x v="31"/>
    <x v="3"/>
    <x v="3"/>
    <x v="66"/>
    <x v="1"/>
    <x v="0"/>
    <x v="1"/>
    <n v="50000"/>
  </r>
  <r>
    <x v="713"/>
    <d v="2025-03-17T00:00:00"/>
    <s v="CUST0249"/>
    <s v="P019"/>
    <n v="1"/>
    <n v="500000"/>
    <n v="500000"/>
    <s v="NEWUSER"/>
    <n v="50000"/>
    <n v="10000"/>
    <n v="460000"/>
    <s v="COD"/>
    <s v="SiCepat"/>
    <x v="2"/>
    <x v="3"/>
    <s v="No"/>
    <n v="450000"/>
    <x v="23"/>
    <x v="2"/>
    <x v="2"/>
    <x v="101"/>
    <x v="0"/>
    <x v="7"/>
    <x v="1"/>
    <n v="0"/>
  </r>
  <r>
    <x v="714"/>
    <d v="2025-03-17T00:00:00"/>
    <s v="CUST0345"/>
    <s v="P008"/>
    <n v="1"/>
    <n v="150000"/>
    <n v="150000"/>
    <s v="NONE"/>
    <n v="0"/>
    <n v="25000"/>
    <n v="175000"/>
    <s v="Credit Card"/>
    <s v="SiCepat"/>
    <x v="1"/>
    <x v="3"/>
    <s v="No"/>
    <n v="150000"/>
    <x v="18"/>
    <x v="1"/>
    <x v="1"/>
    <x v="51"/>
    <x v="0"/>
    <x v="8"/>
    <x v="1"/>
    <n v="0"/>
  </r>
  <r>
    <x v="715"/>
    <d v="2025-03-17T00:00:00"/>
    <s v="CUST0197"/>
    <s v="P038"/>
    <n v="3"/>
    <n v="35000"/>
    <n v="105000"/>
    <s v="DISC10"/>
    <n v="10500"/>
    <n v="25000"/>
    <n v="119500"/>
    <s v="E-Wallet"/>
    <s v="AnterAja"/>
    <x v="1"/>
    <x v="3"/>
    <s v="No"/>
    <n v="94500"/>
    <x v="46"/>
    <x v="1"/>
    <x v="1"/>
    <x v="106"/>
    <x v="1"/>
    <x v="3"/>
    <x v="1"/>
    <n v="0"/>
  </r>
  <r>
    <x v="716"/>
    <d v="2025-03-16T00:00:00"/>
    <s v="CUST0045"/>
    <s v="P004"/>
    <n v="1"/>
    <n v="300000"/>
    <n v="300000"/>
    <s v="NONE"/>
    <n v="0"/>
    <n v="20000"/>
    <n v="320000"/>
    <s v="Bank Transfer"/>
    <s v="AnterAja"/>
    <x v="0"/>
    <x v="3"/>
    <s v="Yes"/>
    <n v="300000"/>
    <x v="22"/>
    <x v="3"/>
    <x v="3"/>
    <x v="78"/>
    <x v="0"/>
    <x v="6"/>
    <x v="0"/>
    <n v="300000"/>
  </r>
  <r>
    <x v="717"/>
    <d v="2025-03-16T00:00:00"/>
    <s v="CUST0283"/>
    <s v="P012"/>
    <n v="1"/>
    <n v="300000"/>
    <n v="300000"/>
    <s v="NONE"/>
    <n v="0"/>
    <n v="20000"/>
    <n v="320000"/>
    <s v="E-Wallet"/>
    <s v="AnterAja"/>
    <x v="4"/>
    <x v="3"/>
    <s v="No"/>
    <n v="300000"/>
    <x v="40"/>
    <x v="0"/>
    <x v="0"/>
    <x v="225"/>
    <x v="1"/>
    <x v="2"/>
    <x v="1"/>
    <n v="0"/>
  </r>
  <r>
    <x v="718"/>
    <d v="2025-03-16T00:00:00"/>
    <s v="CUST0305"/>
    <s v="P007"/>
    <n v="3"/>
    <n v="150000"/>
    <n v="450000"/>
    <s v="NONE"/>
    <n v="0"/>
    <n v="15000"/>
    <n v="465000"/>
    <s v="E-Wallet"/>
    <s v="JNE"/>
    <x v="0"/>
    <x v="3"/>
    <s v="Yes"/>
    <n v="450000"/>
    <x v="52"/>
    <x v="2"/>
    <x v="2"/>
    <x v="92"/>
    <x v="1"/>
    <x v="7"/>
    <x v="1"/>
    <n v="450000"/>
  </r>
  <r>
    <x v="719"/>
    <d v="2025-03-16T00:00:00"/>
    <s v="CUST0298"/>
    <s v="P053"/>
    <n v="1"/>
    <n v="75000"/>
    <n v="75000"/>
    <s v="NONE"/>
    <n v="0"/>
    <n v="10000"/>
    <n v="85000"/>
    <s v="Credit Card"/>
    <s v="JNE"/>
    <x v="0"/>
    <x v="3"/>
    <s v="Yes"/>
    <n v="75000"/>
    <x v="27"/>
    <x v="5"/>
    <x v="5"/>
    <x v="293"/>
    <x v="0"/>
    <x v="9"/>
    <x v="1"/>
    <n v="75000"/>
  </r>
  <r>
    <x v="720"/>
    <d v="2025-03-16T00:00:00"/>
    <s v="CUST0279"/>
    <s v="P034"/>
    <n v="1"/>
    <n v="50000"/>
    <n v="50000"/>
    <s v="DISC15"/>
    <n v="7500"/>
    <n v="10000"/>
    <n v="52500"/>
    <s v="COD"/>
    <s v="JNE"/>
    <x v="0"/>
    <x v="3"/>
    <s v="Yes"/>
    <n v="42500"/>
    <x v="42"/>
    <x v="3"/>
    <x v="3"/>
    <x v="287"/>
    <x v="0"/>
    <x v="3"/>
    <x v="1"/>
    <n v="42500"/>
  </r>
  <r>
    <x v="721"/>
    <d v="2025-03-16T00:00:00"/>
    <s v="CUST0207"/>
    <s v="P008"/>
    <n v="1"/>
    <n v="150000"/>
    <n v="150000"/>
    <s v="NONE"/>
    <n v="0"/>
    <n v="20000"/>
    <n v="170000"/>
    <s v="Bank Transfer"/>
    <s v="J&amp;T"/>
    <x v="0"/>
    <x v="3"/>
    <s v="Yes"/>
    <n v="150000"/>
    <x v="18"/>
    <x v="1"/>
    <x v="1"/>
    <x v="182"/>
    <x v="0"/>
    <x v="8"/>
    <x v="1"/>
    <n v="150000"/>
  </r>
  <r>
    <x v="722"/>
    <d v="2025-03-16T00:00:00"/>
    <s v="CUST0029"/>
    <s v="P002"/>
    <n v="2"/>
    <n v="100000"/>
    <n v="200000"/>
    <s v="DISC15"/>
    <n v="30000"/>
    <n v="25000"/>
    <n v="195000"/>
    <s v="Bank Transfer"/>
    <s v="JNE"/>
    <x v="0"/>
    <x v="3"/>
    <s v="Yes"/>
    <n v="170000"/>
    <x v="38"/>
    <x v="1"/>
    <x v="1"/>
    <x v="27"/>
    <x v="0"/>
    <x v="3"/>
    <x v="1"/>
    <n v="170000"/>
  </r>
  <r>
    <x v="723"/>
    <d v="2025-03-16T00:00:00"/>
    <s v="CUST0163"/>
    <s v="P043"/>
    <n v="2"/>
    <n v="50000"/>
    <n v="100000"/>
    <s v="NONE"/>
    <n v="0"/>
    <n v="30000"/>
    <n v="130000"/>
    <s v="Bank Transfer"/>
    <s v="SiCepat"/>
    <x v="2"/>
    <x v="3"/>
    <s v="No"/>
    <n v="100000"/>
    <x v="25"/>
    <x v="2"/>
    <x v="2"/>
    <x v="207"/>
    <x v="0"/>
    <x v="2"/>
    <x v="0"/>
    <n v="0"/>
  </r>
  <r>
    <x v="724"/>
    <d v="2025-03-15T00:00:00"/>
    <s v="CUST0175"/>
    <s v="P042"/>
    <n v="1"/>
    <n v="300000"/>
    <n v="300000"/>
    <s v="NEWUSER"/>
    <n v="30000"/>
    <n v="15000"/>
    <n v="285000"/>
    <s v="E-Wallet"/>
    <s v="JNE"/>
    <x v="0"/>
    <x v="3"/>
    <s v="Yes"/>
    <n v="270000"/>
    <x v="36"/>
    <x v="0"/>
    <x v="0"/>
    <x v="251"/>
    <x v="0"/>
    <x v="5"/>
    <x v="1"/>
    <n v="270000"/>
  </r>
  <r>
    <x v="725"/>
    <d v="2025-03-15T00:00:00"/>
    <s v="CUST0073"/>
    <s v="P052"/>
    <n v="4"/>
    <n v="200000"/>
    <n v="800000"/>
    <s v="DISC10"/>
    <n v="80000"/>
    <n v="30000"/>
    <n v="750000"/>
    <s v="E-Wallet"/>
    <s v="SiCepat"/>
    <x v="0"/>
    <x v="3"/>
    <s v="Yes"/>
    <n v="720000"/>
    <x v="56"/>
    <x v="3"/>
    <x v="3"/>
    <x v="308"/>
    <x v="1"/>
    <x v="9"/>
    <x v="0"/>
    <n v="720000"/>
  </r>
  <r>
    <x v="726"/>
    <d v="2025-03-15T00:00:00"/>
    <s v="CUST0025"/>
    <s v="P037"/>
    <n v="1"/>
    <n v="100000"/>
    <n v="100000"/>
    <s v="NONE"/>
    <n v="0"/>
    <n v="10000"/>
    <n v="110000"/>
    <s v="Bank Transfer"/>
    <s v="AnterAja"/>
    <x v="0"/>
    <x v="3"/>
    <s v="Yes"/>
    <n v="100000"/>
    <x v="4"/>
    <x v="2"/>
    <x v="2"/>
    <x v="189"/>
    <x v="1"/>
    <x v="4"/>
    <x v="0"/>
    <n v="100000"/>
  </r>
  <r>
    <x v="727"/>
    <d v="2025-03-15T00:00:00"/>
    <s v="CUST0216"/>
    <s v="P012"/>
    <n v="1"/>
    <n v="300000"/>
    <n v="300000"/>
    <s v="NONE"/>
    <n v="0"/>
    <n v="10000"/>
    <n v="310000"/>
    <s v="Bank Transfer"/>
    <s v="JNE"/>
    <x v="0"/>
    <x v="3"/>
    <s v="Yes"/>
    <n v="300000"/>
    <x v="40"/>
    <x v="0"/>
    <x v="0"/>
    <x v="109"/>
    <x v="0"/>
    <x v="4"/>
    <x v="1"/>
    <n v="300000"/>
  </r>
  <r>
    <x v="728"/>
    <d v="2025-03-14T00:00:00"/>
    <s v="CUST0248"/>
    <s v="P028"/>
    <n v="1"/>
    <n v="50000"/>
    <n v="50000"/>
    <s v="DISC15"/>
    <n v="7500"/>
    <n v="10000"/>
    <n v="52500"/>
    <s v="Credit Card"/>
    <s v="J&amp;T"/>
    <x v="0"/>
    <x v="3"/>
    <s v="Yes"/>
    <n v="42500"/>
    <x v="31"/>
    <x v="3"/>
    <x v="3"/>
    <x v="133"/>
    <x v="0"/>
    <x v="8"/>
    <x v="1"/>
    <n v="42500"/>
  </r>
  <r>
    <x v="729"/>
    <d v="2025-03-14T00:00:00"/>
    <s v="CUST0015"/>
    <s v="P004"/>
    <n v="4"/>
    <n v="300000"/>
    <n v="1200000"/>
    <s v="FLASHSALE"/>
    <n v="240000"/>
    <n v="20000"/>
    <n v="980000"/>
    <s v="E-Wallet"/>
    <s v="J&amp;T"/>
    <x v="1"/>
    <x v="3"/>
    <s v="No"/>
    <n v="960000"/>
    <x v="22"/>
    <x v="3"/>
    <x v="3"/>
    <x v="309"/>
    <x v="1"/>
    <x v="1"/>
    <x v="0"/>
    <n v="0"/>
  </r>
  <r>
    <x v="730"/>
    <d v="2025-03-14T00:00:00"/>
    <s v="CUST0026"/>
    <s v="P018"/>
    <n v="2"/>
    <n v="500000"/>
    <n v="1000000"/>
    <s v="NONE"/>
    <n v="0"/>
    <n v="20000"/>
    <n v="1020000"/>
    <s v="E-Wallet"/>
    <s v="AnterAja"/>
    <x v="0"/>
    <x v="3"/>
    <s v="Yes"/>
    <n v="1000000"/>
    <x v="1"/>
    <x v="0"/>
    <x v="0"/>
    <x v="115"/>
    <x v="1"/>
    <x v="0"/>
    <x v="1"/>
    <n v="1000000"/>
  </r>
  <r>
    <x v="731"/>
    <d v="2025-03-14T00:00:00"/>
    <s v="CUST0176"/>
    <s v="P010"/>
    <n v="1"/>
    <n v="50000"/>
    <n v="50000"/>
    <s v="NONE"/>
    <n v="0"/>
    <n v="30000"/>
    <n v="80000"/>
    <s v="Bank Transfer"/>
    <s v="JNE"/>
    <x v="0"/>
    <x v="3"/>
    <s v="Yes"/>
    <n v="50000"/>
    <x v="13"/>
    <x v="3"/>
    <x v="3"/>
    <x v="85"/>
    <x v="0"/>
    <x v="7"/>
    <x v="2"/>
    <n v="50000"/>
  </r>
  <r>
    <x v="732"/>
    <d v="2025-03-13T00:00:00"/>
    <s v="CUST0054"/>
    <s v="P057"/>
    <n v="4"/>
    <n v="500000"/>
    <n v="2000000"/>
    <s v="NONE"/>
    <n v="0"/>
    <n v="15000"/>
    <n v="2015000"/>
    <s v="COD"/>
    <s v="AnterAja"/>
    <x v="0"/>
    <x v="3"/>
    <s v="Yes"/>
    <n v="2000000"/>
    <x v="44"/>
    <x v="4"/>
    <x v="4"/>
    <x v="129"/>
    <x v="0"/>
    <x v="4"/>
    <x v="1"/>
    <n v="2000000"/>
  </r>
  <r>
    <x v="733"/>
    <d v="2025-03-13T00:00:00"/>
    <s v="CUST0327"/>
    <s v="P034"/>
    <n v="2"/>
    <n v="50000"/>
    <n v="100000"/>
    <s v="NEWUSER"/>
    <n v="10000"/>
    <n v="10000"/>
    <n v="100000"/>
    <s v="COD"/>
    <s v="AnterAja"/>
    <x v="0"/>
    <x v="3"/>
    <s v="Yes"/>
    <n v="90000"/>
    <x v="42"/>
    <x v="3"/>
    <x v="3"/>
    <x v="255"/>
    <x v="1"/>
    <x v="9"/>
    <x v="1"/>
    <n v="90000"/>
  </r>
  <r>
    <x v="734"/>
    <d v="2025-03-12T00:00:00"/>
    <s v="CUST0257"/>
    <s v="P032"/>
    <n v="2"/>
    <n v="35000"/>
    <n v="70000"/>
    <s v="NEWUSER"/>
    <n v="7000"/>
    <n v="30000"/>
    <n v="93000"/>
    <s v="E-Wallet"/>
    <s v="AnterAja"/>
    <x v="0"/>
    <x v="3"/>
    <s v="Yes"/>
    <n v="63000"/>
    <x v="29"/>
    <x v="1"/>
    <x v="1"/>
    <x v="215"/>
    <x v="1"/>
    <x v="6"/>
    <x v="0"/>
    <n v="63000"/>
  </r>
  <r>
    <x v="735"/>
    <d v="2025-03-12T00:00:00"/>
    <s v="CUST0086"/>
    <s v="P055"/>
    <n v="1"/>
    <n v="300000"/>
    <n v="300000"/>
    <s v="NONE"/>
    <n v="0"/>
    <n v="20000"/>
    <n v="320000"/>
    <s v="Bank Transfer"/>
    <s v="J&amp;T"/>
    <x v="0"/>
    <x v="3"/>
    <s v="Yes"/>
    <n v="300000"/>
    <x v="9"/>
    <x v="2"/>
    <x v="2"/>
    <x v="19"/>
    <x v="1"/>
    <x v="4"/>
    <x v="0"/>
    <n v="300000"/>
  </r>
  <r>
    <x v="736"/>
    <d v="2025-03-12T00:00:00"/>
    <s v="CUST0180"/>
    <s v="P060"/>
    <n v="2"/>
    <n v="150000"/>
    <n v="300000"/>
    <s v="DISC15"/>
    <n v="45000"/>
    <n v="25000"/>
    <n v="280000"/>
    <s v="E-Wallet"/>
    <s v="AnterAja"/>
    <x v="0"/>
    <x v="3"/>
    <s v="Yes"/>
    <n v="255000"/>
    <x v="0"/>
    <x v="0"/>
    <x v="0"/>
    <x v="79"/>
    <x v="0"/>
    <x v="2"/>
    <x v="1"/>
    <n v="255000"/>
  </r>
  <r>
    <x v="737"/>
    <d v="2025-03-12T00:00:00"/>
    <s v="CUST0109"/>
    <s v="P001"/>
    <n v="2"/>
    <n v="300000"/>
    <n v="600000"/>
    <s v="DISC10"/>
    <n v="60000"/>
    <n v="20000"/>
    <n v="560000"/>
    <s v="Credit Card"/>
    <s v="AnterAja"/>
    <x v="2"/>
    <x v="3"/>
    <s v="No"/>
    <n v="540000"/>
    <x v="26"/>
    <x v="2"/>
    <x v="2"/>
    <x v="280"/>
    <x v="1"/>
    <x v="0"/>
    <x v="2"/>
    <n v="0"/>
  </r>
  <r>
    <x v="738"/>
    <d v="2025-03-12T00:00:00"/>
    <s v="CUST0248"/>
    <s v="P018"/>
    <n v="1"/>
    <n v="500000"/>
    <n v="500000"/>
    <s v="DISC10"/>
    <n v="50000"/>
    <n v="10000"/>
    <n v="460000"/>
    <s v="E-Wallet"/>
    <s v="J&amp;T"/>
    <x v="0"/>
    <x v="3"/>
    <s v="Yes"/>
    <n v="450000"/>
    <x v="1"/>
    <x v="0"/>
    <x v="0"/>
    <x v="133"/>
    <x v="0"/>
    <x v="8"/>
    <x v="1"/>
    <n v="450000"/>
  </r>
  <r>
    <x v="739"/>
    <d v="2025-03-12T00:00:00"/>
    <s v="CUST0090"/>
    <s v="P034"/>
    <n v="3"/>
    <n v="50000"/>
    <n v="150000"/>
    <s v="NONE"/>
    <n v="0"/>
    <n v="20000"/>
    <n v="170000"/>
    <s v="E-Wallet"/>
    <s v="JNE"/>
    <x v="1"/>
    <x v="3"/>
    <s v="No"/>
    <n v="150000"/>
    <x v="42"/>
    <x v="3"/>
    <x v="3"/>
    <x v="88"/>
    <x v="0"/>
    <x v="8"/>
    <x v="2"/>
    <n v="0"/>
  </r>
  <r>
    <x v="740"/>
    <d v="2025-03-12T00:00:00"/>
    <s v="CUST0242"/>
    <s v="P026"/>
    <n v="3"/>
    <n v="200000"/>
    <n v="600000"/>
    <s v="DISC15"/>
    <n v="90000"/>
    <n v="10000"/>
    <n v="520000"/>
    <s v="Credit Card"/>
    <s v="J&amp;T"/>
    <x v="0"/>
    <x v="3"/>
    <s v="Yes"/>
    <n v="510000"/>
    <x v="3"/>
    <x v="1"/>
    <x v="1"/>
    <x v="49"/>
    <x v="1"/>
    <x v="4"/>
    <x v="0"/>
    <n v="510000"/>
  </r>
  <r>
    <x v="741"/>
    <d v="2025-03-12T00:00:00"/>
    <s v="CUST0047"/>
    <s v="P057"/>
    <n v="4"/>
    <n v="500000"/>
    <n v="2000000"/>
    <s v="FLASHSALE"/>
    <n v="400000"/>
    <n v="25000"/>
    <n v="1625000"/>
    <s v="Bank Transfer"/>
    <s v="JNE"/>
    <x v="0"/>
    <x v="3"/>
    <s v="Yes"/>
    <n v="1600000"/>
    <x v="44"/>
    <x v="4"/>
    <x v="4"/>
    <x v="232"/>
    <x v="0"/>
    <x v="9"/>
    <x v="2"/>
    <n v="1600000"/>
  </r>
  <r>
    <x v="742"/>
    <d v="2025-03-12T00:00:00"/>
    <s v="CUST0171"/>
    <s v="P058"/>
    <n v="3"/>
    <n v="35000"/>
    <n v="105000"/>
    <s v="FLASHSALE"/>
    <n v="21000"/>
    <n v="30000"/>
    <n v="114000"/>
    <s v="E-Wallet"/>
    <s v="AnterAja"/>
    <x v="1"/>
    <x v="3"/>
    <s v="No"/>
    <n v="84000"/>
    <x v="24"/>
    <x v="3"/>
    <x v="3"/>
    <x v="10"/>
    <x v="0"/>
    <x v="2"/>
    <x v="1"/>
    <n v="0"/>
  </r>
  <r>
    <x v="743"/>
    <d v="2025-03-11T00:00:00"/>
    <s v="CUST0044"/>
    <s v="P009"/>
    <n v="2"/>
    <n v="300000"/>
    <n v="600000"/>
    <s v="FLASHSALE"/>
    <n v="120000"/>
    <n v="10000"/>
    <n v="490000"/>
    <s v="Bank Transfer"/>
    <s v="J&amp;T"/>
    <x v="1"/>
    <x v="3"/>
    <s v="No"/>
    <n v="480000"/>
    <x v="45"/>
    <x v="4"/>
    <x v="4"/>
    <x v="3"/>
    <x v="0"/>
    <x v="3"/>
    <x v="2"/>
    <n v="0"/>
  </r>
  <r>
    <x v="744"/>
    <d v="2025-03-11T00:00:00"/>
    <s v="CUST0247"/>
    <s v="P048"/>
    <n v="1"/>
    <n v="300000"/>
    <n v="300000"/>
    <s v="NONE"/>
    <n v="0"/>
    <n v="30000"/>
    <n v="330000"/>
    <s v="E-Wallet"/>
    <s v="JNE"/>
    <x v="2"/>
    <x v="3"/>
    <s v="No"/>
    <n v="300000"/>
    <x v="21"/>
    <x v="0"/>
    <x v="0"/>
    <x v="151"/>
    <x v="0"/>
    <x v="8"/>
    <x v="0"/>
    <n v="0"/>
  </r>
  <r>
    <x v="745"/>
    <d v="2025-03-11T00:00:00"/>
    <s v="CUST0133"/>
    <s v="P023"/>
    <n v="1"/>
    <n v="50000"/>
    <n v="50000"/>
    <s v="NONE"/>
    <n v="0"/>
    <n v="20000"/>
    <n v="70000"/>
    <s v="COD"/>
    <s v="J&amp;T"/>
    <x v="3"/>
    <x v="3"/>
    <s v="No"/>
    <n v="50000"/>
    <x v="14"/>
    <x v="5"/>
    <x v="5"/>
    <x v="310"/>
    <x v="1"/>
    <x v="2"/>
    <x v="0"/>
    <n v="0"/>
  </r>
  <r>
    <x v="746"/>
    <d v="2025-03-11T00:00:00"/>
    <s v="CUST0017"/>
    <s v="P060"/>
    <n v="1"/>
    <n v="150000"/>
    <n v="150000"/>
    <s v="NONE"/>
    <n v="0"/>
    <n v="15000"/>
    <n v="165000"/>
    <s v="COD"/>
    <s v="SiCepat"/>
    <x v="0"/>
    <x v="3"/>
    <s v="Yes"/>
    <n v="150000"/>
    <x v="0"/>
    <x v="0"/>
    <x v="0"/>
    <x v="145"/>
    <x v="0"/>
    <x v="9"/>
    <x v="1"/>
    <n v="150000"/>
  </r>
  <r>
    <x v="747"/>
    <d v="2025-03-11T00:00:00"/>
    <s v="CUST0017"/>
    <s v="P048"/>
    <n v="1"/>
    <n v="300000"/>
    <n v="300000"/>
    <s v="DISC10"/>
    <n v="30000"/>
    <n v="10000"/>
    <n v="280000"/>
    <s v="Bank Transfer"/>
    <s v="JNE"/>
    <x v="0"/>
    <x v="3"/>
    <s v="Yes"/>
    <n v="270000"/>
    <x v="21"/>
    <x v="0"/>
    <x v="0"/>
    <x v="145"/>
    <x v="0"/>
    <x v="9"/>
    <x v="1"/>
    <n v="270000"/>
  </r>
  <r>
    <x v="748"/>
    <d v="2025-03-10T00:00:00"/>
    <s v="CUST0190"/>
    <s v="P052"/>
    <n v="1"/>
    <n v="200000"/>
    <n v="200000"/>
    <s v="NEWUSER"/>
    <n v="20000"/>
    <n v="25000"/>
    <n v="205000"/>
    <s v="E-Wallet"/>
    <s v="JNE"/>
    <x v="0"/>
    <x v="3"/>
    <s v="Yes"/>
    <n v="180000"/>
    <x v="56"/>
    <x v="3"/>
    <x v="3"/>
    <x v="84"/>
    <x v="1"/>
    <x v="9"/>
    <x v="2"/>
    <n v="180000"/>
  </r>
  <r>
    <x v="749"/>
    <d v="2025-03-10T00:00:00"/>
    <s v="CUST0069"/>
    <s v="P020"/>
    <n v="1"/>
    <n v="75000"/>
    <n v="75000"/>
    <s v="NEWUSER"/>
    <n v="7500"/>
    <n v="15000"/>
    <n v="82500"/>
    <s v="Bank Transfer"/>
    <s v="JNE"/>
    <x v="0"/>
    <x v="3"/>
    <s v="Yes"/>
    <n v="67500"/>
    <x v="6"/>
    <x v="1"/>
    <x v="1"/>
    <x v="118"/>
    <x v="0"/>
    <x v="2"/>
    <x v="2"/>
    <n v="67500"/>
  </r>
  <r>
    <x v="750"/>
    <d v="2025-03-10T00:00:00"/>
    <s v="CUST0234"/>
    <s v="P001"/>
    <n v="4"/>
    <n v="300000"/>
    <n v="1200000"/>
    <s v="NONE"/>
    <n v="0"/>
    <n v="20000"/>
    <n v="1220000"/>
    <s v="Bank Transfer"/>
    <s v="SiCepat"/>
    <x v="0"/>
    <x v="3"/>
    <s v="Yes"/>
    <n v="1200000"/>
    <x v="26"/>
    <x v="2"/>
    <x v="2"/>
    <x v="196"/>
    <x v="0"/>
    <x v="7"/>
    <x v="0"/>
    <n v="1200000"/>
  </r>
  <r>
    <x v="751"/>
    <d v="2025-03-10T00:00:00"/>
    <s v="CUST0055"/>
    <s v="P010"/>
    <n v="1"/>
    <n v="50000"/>
    <n v="50000"/>
    <s v="DISC10"/>
    <n v="5000"/>
    <n v="20000"/>
    <n v="65000"/>
    <s v="Bank Transfer"/>
    <s v="J&amp;T"/>
    <x v="0"/>
    <x v="3"/>
    <s v="Yes"/>
    <n v="45000"/>
    <x v="13"/>
    <x v="3"/>
    <x v="3"/>
    <x v="267"/>
    <x v="1"/>
    <x v="8"/>
    <x v="2"/>
    <n v="45000"/>
  </r>
  <r>
    <x v="752"/>
    <d v="2025-03-10T00:00:00"/>
    <s v="CUST0219"/>
    <s v="P013"/>
    <n v="1"/>
    <n v="75000"/>
    <n v="75000"/>
    <s v="FLASHSALE"/>
    <n v="15000"/>
    <n v="20000"/>
    <n v="80000"/>
    <s v="COD"/>
    <s v="AnterAja"/>
    <x v="0"/>
    <x v="3"/>
    <s v="Yes"/>
    <n v="60000"/>
    <x v="50"/>
    <x v="2"/>
    <x v="2"/>
    <x v="1"/>
    <x v="1"/>
    <x v="1"/>
    <x v="1"/>
    <n v="60000"/>
  </r>
  <r>
    <x v="753"/>
    <d v="2025-03-10T00:00:00"/>
    <s v="CUST0265"/>
    <s v="P002"/>
    <n v="1"/>
    <n v="100000"/>
    <n v="100000"/>
    <s v="NONE"/>
    <n v="0"/>
    <n v="25000"/>
    <n v="125000"/>
    <s v="COD"/>
    <s v="J&amp;T"/>
    <x v="0"/>
    <x v="3"/>
    <s v="Yes"/>
    <n v="100000"/>
    <x v="38"/>
    <x v="1"/>
    <x v="1"/>
    <x v="268"/>
    <x v="0"/>
    <x v="6"/>
    <x v="1"/>
    <n v="100000"/>
  </r>
  <r>
    <x v="754"/>
    <d v="2025-03-10T00:00:00"/>
    <s v="CUST0120"/>
    <s v="P003"/>
    <n v="2"/>
    <n v="150000"/>
    <n v="300000"/>
    <s v="DISC15"/>
    <n v="45000"/>
    <n v="25000"/>
    <n v="280000"/>
    <s v="Bank Transfer"/>
    <s v="J&amp;T"/>
    <x v="1"/>
    <x v="3"/>
    <s v="No"/>
    <n v="255000"/>
    <x v="37"/>
    <x v="4"/>
    <x v="4"/>
    <x v="278"/>
    <x v="1"/>
    <x v="4"/>
    <x v="1"/>
    <n v="0"/>
  </r>
  <r>
    <x v="755"/>
    <d v="2025-03-09T00:00:00"/>
    <s v="CUST0219"/>
    <s v="P017"/>
    <n v="2"/>
    <n v="100000"/>
    <n v="200000"/>
    <s v="NONE"/>
    <n v="0"/>
    <n v="20000"/>
    <n v="220000"/>
    <s v="E-Wallet"/>
    <s v="JNE"/>
    <x v="0"/>
    <x v="3"/>
    <s v="Yes"/>
    <n v="200000"/>
    <x v="39"/>
    <x v="5"/>
    <x v="5"/>
    <x v="1"/>
    <x v="1"/>
    <x v="1"/>
    <x v="1"/>
    <n v="200000"/>
  </r>
  <r>
    <x v="756"/>
    <d v="2025-03-09T00:00:00"/>
    <s v="CUST0302"/>
    <s v="P057"/>
    <n v="1"/>
    <n v="500000"/>
    <n v="500000"/>
    <s v="DISC15"/>
    <n v="75000"/>
    <n v="30000"/>
    <n v="455000"/>
    <s v="COD"/>
    <s v="J&amp;T"/>
    <x v="0"/>
    <x v="3"/>
    <s v="Yes"/>
    <n v="425000"/>
    <x v="44"/>
    <x v="4"/>
    <x v="4"/>
    <x v="194"/>
    <x v="1"/>
    <x v="8"/>
    <x v="1"/>
    <n v="425000"/>
  </r>
  <r>
    <x v="757"/>
    <d v="2025-03-09T00:00:00"/>
    <s v="CUST0015"/>
    <s v="P025"/>
    <n v="2"/>
    <n v="100000"/>
    <n v="200000"/>
    <s v="DISC15"/>
    <n v="30000"/>
    <n v="25000"/>
    <n v="195000"/>
    <s v="COD"/>
    <s v="JNE"/>
    <x v="4"/>
    <x v="3"/>
    <s v="No"/>
    <n v="170000"/>
    <x v="53"/>
    <x v="2"/>
    <x v="2"/>
    <x v="309"/>
    <x v="1"/>
    <x v="1"/>
    <x v="0"/>
    <n v="0"/>
  </r>
  <r>
    <x v="758"/>
    <d v="2025-03-09T00:00:00"/>
    <s v="CUST0168"/>
    <s v="P048"/>
    <n v="3"/>
    <n v="300000"/>
    <n v="900000"/>
    <s v="DISC15"/>
    <n v="135000"/>
    <n v="25000"/>
    <n v="790000"/>
    <s v="E-Wallet"/>
    <s v="JNE"/>
    <x v="0"/>
    <x v="3"/>
    <s v="Yes"/>
    <n v="765000"/>
    <x v="21"/>
    <x v="0"/>
    <x v="0"/>
    <x v="31"/>
    <x v="0"/>
    <x v="1"/>
    <x v="0"/>
    <n v="765000"/>
  </r>
  <r>
    <x v="759"/>
    <d v="2025-03-09T00:00:00"/>
    <s v="CUST0186"/>
    <s v="P006"/>
    <n v="1"/>
    <n v="500000"/>
    <n v="500000"/>
    <s v="DISC10"/>
    <n v="50000"/>
    <n v="10000"/>
    <n v="460000"/>
    <s v="E-Wallet"/>
    <s v="J&amp;T"/>
    <x v="0"/>
    <x v="3"/>
    <s v="Yes"/>
    <n v="450000"/>
    <x v="59"/>
    <x v="0"/>
    <x v="0"/>
    <x v="13"/>
    <x v="0"/>
    <x v="4"/>
    <x v="2"/>
    <n v="450000"/>
  </r>
  <r>
    <x v="760"/>
    <d v="2025-03-09T00:00:00"/>
    <s v="CUST0239"/>
    <s v="P009"/>
    <n v="4"/>
    <n v="300000"/>
    <n v="1200000"/>
    <s v="DISC15"/>
    <n v="180000"/>
    <n v="25000"/>
    <n v="1045000"/>
    <s v="E-Wallet"/>
    <s v="SiCepat"/>
    <x v="2"/>
    <x v="3"/>
    <s v="No"/>
    <n v="1020000"/>
    <x v="45"/>
    <x v="4"/>
    <x v="4"/>
    <x v="127"/>
    <x v="1"/>
    <x v="4"/>
    <x v="0"/>
    <n v="0"/>
  </r>
  <r>
    <x v="761"/>
    <d v="2025-03-09T00:00:00"/>
    <s v="CUST0044"/>
    <s v="P045"/>
    <n v="2"/>
    <n v="100000"/>
    <n v="200000"/>
    <s v="FLASHSALE"/>
    <n v="40000"/>
    <n v="15000"/>
    <n v="175000"/>
    <s v="E-Wallet"/>
    <s v="JNE"/>
    <x v="0"/>
    <x v="3"/>
    <s v="Yes"/>
    <n v="160000"/>
    <x v="10"/>
    <x v="4"/>
    <x v="4"/>
    <x v="3"/>
    <x v="0"/>
    <x v="3"/>
    <x v="2"/>
    <n v="160000"/>
  </r>
  <r>
    <x v="762"/>
    <d v="2025-03-09T00:00:00"/>
    <s v="CUST0221"/>
    <s v="P015"/>
    <n v="1"/>
    <n v="500000"/>
    <n v="500000"/>
    <s v="DISC10"/>
    <n v="50000"/>
    <n v="25000"/>
    <n v="475000"/>
    <s v="E-Wallet"/>
    <s v="JNE"/>
    <x v="0"/>
    <x v="3"/>
    <s v="Yes"/>
    <n v="450000"/>
    <x v="19"/>
    <x v="4"/>
    <x v="4"/>
    <x v="186"/>
    <x v="0"/>
    <x v="9"/>
    <x v="1"/>
    <n v="450000"/>
  </r>
  <r>
    <x v="763"/>
    <d v="2025-03-08T00:00:00"/>
    <s v="CUST0300"/>
    <s v="P058"/>
    <n v="1"/>
    <n v="35000"/>
    <n v="35000"/>
    <s v="DISC15"/>
    <n v="5250"/>
    <n v="10000"/>
    <n v="39750"/>
    <s v="Bank Transfer"/>
    <s v="AnterAja"/>
    <x v="0"/>
    <x v="3"/>
    <s v="Yes"/>
    <n v="29750"/>
    <x v="24"/>
    <x v="3"/>
    <x v="3"/>
    <x v="143"/>
    <x v="1"/>
    <x v="0"/>
    <x v="2"/>
    <n v="29750"/>
  </r>
  <r>
    <x v="764"/>
    <d v="2025-03-08T00:00:00"/>
    <s v="CUST0250"/>
    <s v="P024"/>
    <n v="3"/>
    <n v="500000"/>
    <n v="1500000"/>
    <s v="DISC15"/>
    <n v="225000"/>
    <n v="15000"/>
    <n v="1290000"/>
    <s v="COD"/>
    <s v="AnterAja"/>
    <x v="0"/>
    <x v="3"/>
    <s v="Yes"/>
    <n v="1275000"/>
    <x v="43"/>
    <x v="0"/>
    <x v="0"/>
    <x v="275"/>
    <x v="0"/>
    <x v="6"/>
    <x v="2"/>
    <n v="1275000"/>
  </r>
  <r>
    <x v="765"/>
    <d v="2025-03-08T00:00:00"/>
    <s v="CUST0152"/>
    <s v="P005"/>
    <n v="1"/>
    <n v="75000"/>
    <n v="75000"/>
    <s v="DISC10"/>
    <n v="7500"/>
    <n v="10000"/>
    <n v="77500"/>
    <s v="Bank Transfer"/>
    <s v="SiCepat"/>
    <x v="2"/>
    <x v="3"/>
    <s v="No"/>
    <n v="67500"/>
    <x v="12"/>
    <x v="5"/>
    <x v="5"/>
    <x v="72"/>
    <x v="1"/>
    <x v="3"/>
    <x v="1"/>
    <n v="0"/>
  </r>
  <r>
    <x v="766"/>
    <d v="2025-03-08T00:00:00"/>
    <s v="CUST0008"/>
    <s v="P055"/>
    <n v="1"/>
    <n v="300000"/>
    <n v="300000"/>
    <s v="NONE"/>
    <n v="0"/>
    <n v="30000"/>
    <n v="330000"/>
    <s v="E-Wallet"/>
    <s v="JNE"/>
    <x v="0"/>
    <x v="3"/>
    <s v="Yes"/>
    <n v="300000"/>
    <x v="9"/>
    <x v="2"/>
    <x v="2"/>
    <x v="244"/>
    <x v="1"/>
    <x v="0"/>
    <x v="1"/>
    <n v="300000"/>
  </r>
  <r>
    <x v="767"/>
    <d v="2025-03-08T00:00:00"/>
    <s v="CUST0227"/>
    <s v="P060"/>
    <n v="1"/>
    <n v="150000"/>
    <n v="150000"/>
    <s v="FLASHSALE"/>
    <n v="30000"/>
    <n v="10000"/>
    <n v="130000"/>
    <s v="COD"/>
    <s v="SiCepat"/>
    <x v="3"/>
    <x v="3"/>
    <s v="No"/>
    <n v="120000"/>
    <x v="0"/>
    <x v="0"/>
    <x v="0"/>
    <x v="125"/>
    <x v="1"/>
    <x v="2"/>
    <x v="1"/>
    <n v="0"/>
  </r>
  <r>
    <x v="768"/>
    <d v="2025-03-08T00:00:00"/>
    <s v="CUST0139"/>
    <s v="P057"/>
    <n v="3"/>
    <n v="500000"/>
    <n v="1500000"/>
    <s v="DISC10"/>
    <n v="150000"/>
    <n v="15000"/>
    <n v="1365000"/>
    <s v="COD"/>
    <s v="AnterAja"/>
    <x v="0"/>
    <x v="3"/>
    <s v="Yes"/>
    <n v="1350000"/>
    <x v="44"/>
    <x v="4"/>
    <x v="4"/>
    <x v="256"/>
    <x v="1"/>
    <x v="2"/>
    <x v="0"/>
    <n v="1350000"/>
  </r>
  <r>
    <x v="769"/>
    <d v="2025-03-08T00:00:00"/>
    <s v="CUST0228"/>
    <s v="P035"/>
    <n v="4"/>
    <n v="200000"/>
    <n v="800000"/>
    <s v="NONE"/>
    <n v="0"/>
    <n v="20000"/>
    <n v="820000"/>
    <s v="Bank Transfer"/>
    <s v="SiCepat"/>
    <x v="0"/>
    <x v="3"/>
    <s v="Yes"/>
    <n v="800000"/>
    <x v="41"/>
    <x v="5"/>
    <x v="5"/>
    <x v="26"/>
    <x v="1"/>
    <x v="1"/>
    <x v="1"/>
    <n v="800000"/>
  </r>
  <r>
    <x v="770"/>
    <d v="2025-03-08T00:00:00"/>
    <s v="CUST0236"/>
    <s v="P008"/>
    <n v="2"/>
    <n v="150000"/>
    <n v="300000"/>
    <s v="NEWUSER"/>
    <n v="30000"/>
    <n v="10000"/>
    <n v="280000"/>
    <s v="E-Wallet"/>
    <s v="JNE"/>
    <x v="0"/>
    <x v="3"/>
    <s v="Yes"/>
    <n v="270000"/>
    <x v="18"/>
    <x v="1"/>
    <x v="1"/>
    <x v="233"/>
    <x v="0"/>
    <x v="8"/>
    <x v="1"/>
    <n v="270000"/>
  </r>
  <r>
    <x v="771"/>
    <d v="2025-03-07T00:00:00"/>
    <s v="CUST0335"/>
    <s v="P034"/>
    <n v="2"/>
    <n v="50000"/>
    <n v="100000"/>
    <s v="NONE"/>
    <n v="0"/>
    <n v="30000"/>
    <n v="130000"/>
    <s v="E-Wallet"/>
    <s v="SiCepat"/>
    <x v="0"/>
    <x v="3"/>
    <s v="Yes"/>
    <n v="100000"/>
    <x v="42"/>
    <x v="3"/>
    <x v="3"/>
    <x v="68"/>
    <x v="1"/>
    <x v="1"/>
    <x v="0"/>
    <n v="100000"/>
  </r>
  <r>
    <x v="772"/>
    <d v="2025-03-07T00:00:00"/>
    <s v="CUST0293"/>
    <s v="P049"/>
    <n v="3"/>
    <n v="200000"/>
    <n v="600000"/>
    <s v="DISC10"/>
    <n v="60000"/>
    <n v="20000"/>
    <n v="560000"/>
    <s v="Bank Transfer"/>
    <s v="SiCepat"/>
    <x v="0"/>
    <x v="3"/>
    <s v="Yes"/>
    <n v="540000"/>
    <x v="17"/>
    <x v="2"/>
    <x v="2"/>
    <x v="75"/>
    <x v="1"/>
    <x v="5"/>
    <x v="0"/>
    <n v="540000"/>
  </r>
  <r>
    <x v="773"/>
    <d v="2025-03-07T00:00:00"/>
    <s v="CUST0012"/>
    <s v="P040"/>
    <n v="1"/>
    <n v="75000"/>
    <n v="75000"/>
    <s v="NEWUSER"/>
    <n v="7500"/>
    <n v="25000"/>
    <n v="92500"/>
    <s v="Bank Transfer"/>
    <s v="AnterAja"/>
    <x v="0"/>
    <x v="3"/>
    <s v="Yes"/>
    <n v="67500"/>
    <x v="28"/>
    <x v="3"/>
    <x v="3"/>
    <x v="197"/>
    <x v="0"/>
    <x v="8"/>
    <x v="1"/>
    <n v="67500"/>
  </r>
  <r>
    <x v="774"/>
    <d v="2025-03-07T00:00:00"/>
    <s v="CUST0266"/>
    <s v="P016"/>
    <n v="2"/>
    <n v="150000"/>
    <n v="300000"/>
    <s v="NONE"/>
    <n v="0"/>
    <n v="20000"/>
    <n v="320000"/>
    <s v="Credit Card"/>
    <s v="JNE"/>
    <x v="0"/>
    <x v="3"/>
    <s v="Yes"/>
    <n v="300000"/>
    <x v="8"/>
    <x v="3"/>
    <x v="3"/>
    <x v="116"/>
    <x v="0"/>
    <x v="7"/>
    <x v="2"/>
    <n v="300000"/>
  </r>
  <r>
    <x v="775"/>
    <d v="2025-03-07T00:00:00"/>
    <s v="CUST0346"/>
    <s v="P053"/>
    <n v="1"/>
    <n v="75000"/>
    <n v="75000"/>
    <s v="NONE"/>
    <n v="0"/>
    <n v="25000"/>
    <n v="100000"/>
    <s v="E-Wallet"/>
    <s v="SiCepat"/>
    <x v="0"/>
    <x v="3"/>
    <s v="Yes"/>
    <n v="75000"/>
    <x v="27"/>
    <x v="5"/>
    <x v="5"/>
    <x v="24"/>
    <x v="0"/>
    <x v="1"/>
    <x v="1"/>
    <n v="75000"/>
  </r>
  <r>
    <x v="776"/>
    <d v="2025-03-06T00:00:00"/>
    <s v="CUST0013"/>
    <s v="P021"/>
    <n v="1"/>
    <n v="200000"/>
    <n v="200000"/>
    <s v="NONE"/>
    <n v="0"/>
    <n v="25000"/>
    <n v="225000"/>
    <s v="COD"/>
    <s v="J&amp;T"/>
    <x v="0"/>
    <x v="3"/>
    <s v="Yes"/>
    <n v="200000"/>
    <x v="32"/>
    <x v="4"/>
    <x v="4"/>
    <x v="198"/>
    <x v="1"/>
    <x v="7"/>
    <x v="2"/>
    <n v="200000"/>
  </r>
  <r>
    <x v="777"/>
    <d v="2025-03-06T00:00:00"/>
    <s v="CUST0031"/>
    <s v="P004"/>
    <n v="1"/>
    <n v="300000"/>
    <n v="300000"/>
    <s v="FLASHSALE"/>
    <n v="60000"/>
    <n v="20000"/>
    <n v="260000"/>
    <s v="E-Wallet"/>
    <s v="AnterAja"/>
    <x v="0"/>
    <x v="3"/>
    <s v="Yes"/>
    <n v="240000"/>
    <x v="22"/>
    <x v="3"/>
    <x v="3"/>
    <x v="89"/>
    <x v="0"/>
    <x v="9"/>
    <x v="1"/>
    <n v="240000"/>
  </r>
  <r>
    <x v="778"/>
    <d v="2025-03-06T00:00:00"/>
    <s v="CUST0049"/>
    <s v="P047"/>
    <n v="2"/>
    <n v="500000"/>
    <n v="1000000"/>
    <s v="NEWUSER"/>
    <n v="100000"/>
    <n v="10000"/>
    <n v="910000"/>
    <s v="Credit Card"/>
    <s v="JNE"/>
    <x v="0"/>
    <x v="3"/>
    <s v="Yes"/>
    <n v="900000"/>
    <x v="49"/>
    <x v="5"/>
    <x v="5"/>
    <x v="21"/>
    <x v="0"/>
    <x v="1"/>
    <x v="0"/>
    <n v="900000"/>
  </r>
  <r>
    <x v="779"/>
    <d v="2025-03-06T00:00:00"/>
    <s v="CUST0064"/>
    <s v="P007"/>
    <n v="2"/>
    <n v="150000"/>
    <n v="300000"/>
    <s v="DISC10"/>
    <n v="30000"/>
    <n v="10000"/>
    <n v="280000"/>
    <s v="Bank Transfer"/>
    <s v="J&amp;T"/>
    <x v="0"/>
    <x v="3"/>
    <s v="Yes"/>
    <n v="270000"/>
    <x v="52"/>
    <x v="2"/>
    <x v="2"/>
    <x v="61"/>
    <x v="1"/>
    <x v="9"/>
    <x v="0"/>
    <n v="270000"/>
  </r>
  <r>
    <x v="780"/>
    <d v="2025-03-06T00:00:00"/>
    <s v="CUST0134"/>
    <s v="P023"/>
    <n v="1"/>
    <n v="50000"/>
    <n v="50000"/>
    <s v="DISC10"/>
    <n v="5000"/>
    <n v="30000"/>
    <n v="75000"/>
    <s v="E-Wallet"/>
    <s v="SiCepat"/>
    <x v="0"/>
    <x v="3"/>
    <s v="Yes"/>
    <n v="45000"/>
    <x v="14"/>
    <x v="5"/>
    <x v="5"/>
    <x v="60"/>
    <x v="1"/>
    <x v="1"/>
    <x v="0"/>
    <n v="45000"/>
  </r>
  <r>
    <x v="781"/>
    <d v="2025-03-06T00:00:00"/>
    <s v="CUST0088"/>
    <s v="P024"/>
    <n v="1"/>
    <n v="500000"/>
    <n v="500000"/>
    <s v="NONE"/>
    <n v="0"/>
    <n v="20000"/>
    <n v="520000"/>
    <s v="E-Wallet"/>
    <s v="JNE"/>
    <x v="0"/>
    <x v="3"/>
    <s v="Yes"/>
    <n v="500000"/>
    <x v="43"/>
    <x v="0"/>
    <x v="0"/>
    <x v="14"/>
    <x v="1"/>
    <x v="7"/>
    <x v="0"/>
    <n v="500000"/>
  </r>
  <r>
    <x v="782"/>
    <d v="2025-03-05T00:00:00"/>
    <s v="CUST0048"/>
    <s v="P010"/>
    <n v="1"/>
    <n v="50000"/>
    <n v="50000"/>
    <s v="DISC15"/>
    <n v="7500"/>
    <n v="10000"/>
    <n v="52500"/>
    <s v="E-Wallet"/>
    <s v="JNE"/>
    <x v="0"/>
    <x v="3"/>
    <s v="Yes"/>
    <n v="42500"/>
    <x v="13"/>
    <x v="3"/>
    <x v="3"/>
    <x v="36"/>
    <x v="0"/>
    <x v="8"/>
    <x v="0"/>
    <n v="42500"/>
  </r>
  <r>
    <x v="783"/>
    <d v="2025-03-05T00:00:00"/>
    <s v="CUST0269"/>
    <s v="P029"/>
    <n v="1"/>
    <n v="500000"/>
    <n v="500000"/>
    <s v="DISC15"/>
    <n v="75000"/>
    <n v="30000"/>
    <n v="455000"/>
    <s v="Credit Card"/>
    <s v="SiCepat"/>
    <x v="0"/>
    <x v="3"/>
    <s v="Yes"/>
    <n v="425000"/>
    <x v="35"/>
    <x v="5"/>
    <x v="5"/>
    <x v="311"/>
    <x v="0"/>
    <x v="1"/>
    <x v="1"/>
    <n v="425000"/>
  </r>
  <r>
    <x v="784"/>
    <d v="2025-03-05T00:00:00"/>
    <s v="CUST0105"/>
    <s v="P056"/>
    <n v="1"/>
    <n v="100000"/>
    <n v="100000"/>
    <s v="FLASHSALE"/>
    <n v="20000"/>
    <n v="10000"/>
    <n v="90000"/>
    <s v="E-Wallet"/>
    <s v="SiCepat"/>
    <x v="0"/>
    <x v="3"/>
    <s v="Yes"/>
    <n v="80000"/>
    <x v="54"/>
    <x v="1"/>
    <x v="1"/>
    <x v="135"/>
    <x v="0"/>
    <x v="8"/>
    <x v="1"/>
    <n v="80000"/>
  </r>
  <r>
    <x v="785"/>
    <d v="2025-03-04T00:00:00"/>
    <s v="CUST0060"/>
    <s v="P015"/>
    <n v="3"/>
    <n v="500000"/>
    <n v="1500000"/>
    <s v="DISC15"/>
    <n v="225000"/>
    <n v="15000"/>
    <n v="1290000"/>
    <s v="Credit Card"/>
    <s v="AnterAja"/>
    <x v="2"/>
    <x v="3"/>
    <s v="No"/>
    <n v="1275000"/>
    <x v="19"/>
    <x v="4"/>
    <x v="4"/>
    <x v="80"/>
    <x v="1"/>
    <x v="0"/>
    <x v="1"/>
    <n v="0"/>
  </r>
  <r>
    <x v="786"/>
    <d v="2025-03-04T00:00:00"/>
    <s v="CUST0294"/>
    <s v="P003"/>
    <n v="1"/>
    <n v="150000"/>
    <n v="150000"/>
    <s v="FLASHSALE"/>
    <n v="30000"/>
    <n v="15000"/>
    <n v="135000"/>
    <s v="COD"/>
    <s v="JNE"/>
    <x v="0"/>
    <x v="3"/>
    <s v="Yes"/>
    <n v="120000"/>
    <x v="37"/>
    <x v="4"/>
    <x v="4"/>
    <x v="22"/>
    <x v="0"/>
    <x v="1"/>
    <x v="0"/>
    <n v="120000"/>
  </r>
  <r>
    <x v="787"/>
    <d v="2025-03-04T00:00:00"/>
    <s v="CUST0211"/>
    <s v="P022"/>
    <n v="2"/>
    <n v="150000"/>
    <n v="300000"/>
    <s v="DISC15"/>
    <n v="45000"/>
    <n v="20000"/>
    <n v="275000"/>
    <s v="COD"/>
    <s v="JNE"/>
    <x v="2"/>
    <x v="3"/>
    <s v="No"/>
    <n v="255000"/>
    <x v="55"/>
    <x v="3"/>
    <x v="3"/>
    <x v="171"/>
    <x v="0"/>
    <x v="2"/>
    <x v="1"/>
    <n v="0"/>
  </r>
  <r>
    <x v="788"/>
    <d v="2025-03-04T00:00:00"/>
    <s v="CUST0239"/>
    <s v="P044"/>
    <n v="1"/>
    <n v="500000"/>
    <n v="500000"/>
    <s v="DISC15"/>
    <n v="75000"/>
    <n v="15000"/>
    <n v="440000"/>
    <s v="E-Wallet"/>
    <s v="AnterAja"/>
    <x v="0"/>
    <x v="3"/>
    <s v="Yes"/>
    <n v="425000"/>
    <x v="47"/>
    <x v="1"/>
    <x v="1"/>
    <x v="127"/>
    <x v="1"/>
    <x v="4"/>
    <x v="0"/>
    <n v="425000"/>
  </r>
  <r>
    <x v="789"/>
    <d v="2025-03-04T00:00:00"/>
    <s v="CUST0185"/>
    <s v="P055"/>
    <n v="2"/>
    <n v="300000"/>
    <n v="600000"/>
    <s v="FLASHSALE"/>
    <n v="120000"/>
    <n v="30000"/>
    <n v="510000"/>
    <s v="E-Wallet"/>
    <s v="J&amp;T"/>
    <x v="0"/>
    <x v="3"/>
    <s v="Yes"/>
    <n v="480000"/>
    <x v="9"/>
    <x v="2"/>
    <x v="2"/>
    <x v="312"/>
    <x v="1"/>
    <x v="9"/>
    <x v="1"/>
    <n v="480000"/>
  </r>
  <r>
    <x v="790"/>
    <d v="2025-03-04T00:00:00"/>
    <s v="CUST0147"/>
    <s v="P036"/>
    <n v="1"/>
    <n v="150000"/>
    <n v="150000"/>
    <s v="DISC10"/>
    <n v="15000"/>
    <n v="20000"/>
    <n v="155000"/>
    <s v="Credit Card"/>
    <s v="JNE"/>
    <x v="0"/>
    <x v="3"/>
    <s v="Yes"/>
    <n v="135000"/>
    <x v="2"/>
    <x v="0"/>
    <x v="0"/>
    <x v="257"/>
    <x v="0"/>
    <x v="8"/>
    <x v="1"/>
    <n v="135000"/>
  </r>
  <r>
    <x v="791"/>
    <d v="2025-03-04T00:00:00"/>
    <s v="CUST0087"/>
    <s v="P041"/>
    <n v="3"/>
    <n v="75000"/>
    <n v="225000"/>
    <s v="NONE"/>
    <n v="0"/>
    <n v="30000"/>
    <n v="255000"/>
    <s v="Credit Card"/>
    <s v="J&amp;T"/>
    <x v="0"/>
    <x v="3"/>
    <s v="Yes"/>
    <n v="225000"/>
    <x v="15"/>
    <x v="5"/>
    <x v="5"/>
    <x v="111"/>
    <x v="1"/>
    <x v="6"/>
    <x v="1"/>
    <n v="225000"/>
  </r>
  <r>
    <x v="792"/>
    <d v="2025-03-04T00:00:00"/>
    <s v="CUST0089"/>
    <s v="P059"/>
    <n v="1"/>
    <n v="75000"/>
    <n v="75000"/>
    <s v="FLASHSALE"/>
    <n v="15000"/>
    <n v="20000"/>
    <n v="80000"/>
    <s v="Bank Transfer"/>
    <s v="SiCepat"/>
    <x v="0"/>
    <x v="3"/>
    <s v="Yes"/>
    <n v="60000"/>
    <x v="16"/>
    <x v="5"/>
    <x v="5"/>
    <x v="193"/>
    <x v="1"/>
    <x v="7"/>
    <x v="2"/>
    <n v="60000"/>
  </r>
  <r>
    <x v="793"/>
    <d v="2025-03-04T00:00:00"/>
    <s v="CUST0217"/>
    <s v="P034"/>
    <n v="4"/>
    <n v="50000"/>
    <n v="200000"/>
    <s v="FLASHSALE"/>
    <n v="40000"/>
    <n v="30000"/>
    <n v="190000"/>
    <s v="Bank Transfer"/>
    <s v="AnterAja"/>
    <x v="0"/>
    <x v="3"/>
    <s v="Yes"/>
    <n v="160000"/>
    <x v="42"/>
    <x v="3"/>
    <x v="3"/>
    <x v="292"/>
    <x v="1"/>
    <x v="7"/>
    <x v="1"/>
    <n v="160000"/>
  </r>
  <r>
    <x v="794"/>
    <d v="2025-03-03T00:00:00"/>
    <s v="CUST0084"/>
    <s v="P047"/>
    <n v="1"/>
    <n v="500000"/>
    <n v="500000"/>
    <s v="DISC10"/>
    <n v="50000"/>
    <n v="15000"/>
    <n v="465000"/>
    <s v="Credit Card"/>
    <s v="AnterAja"/>
    <x v="0"/>
    <x v="3"/>
    <s v="Yes"/>
    <n v="450000"/>
    <x v="49"/>
    <x v="5"/>
    <x v="5"/>
    <x v="297"/>
    <x v="0"/>
    <x v="9"/>
    <x v="1"/>
    <n v="450000"/>
  </r>
  <r>
    <x v="795"/>
    <d v="2025-03-03T00:00:00"/>
    <s v="CUST0219"/>
    <s v="P021"/>
    <n v="3"/>
    <n v="200000"/>
    <n v="600000"/>
    <s v="NONE"/>
    <n v="0"/>
    <n v="30000"/>
    <n v="630000"/>
    <s v="E-Wallet"/>
    <s v="SiCepat"/>
    <x v="2"/>
    <x v="3"/>
    <s v="No"/>
    <n v="600000"/>
    <x v="32"/>
    <x v="4"/>
    <x v="4"/>
    <x v="1"/>
    <x v="1"/>
    <x v="1"/>
    <x v="1"/>
    <n v="0"/>
  </r>
  <r>
    <x v="796"/>
    <d v="2025-03-03T00:00:00"/>
    <s v="CUST0333"/>
    <s v="P034"/>
    <n v="1"/>
    <n v="50000"/>
    <n v="50000"/>
    <s v="FLASHSALE"/>
    <n v="10000"/>
    <n v="30000"/>
    <n v="70000"/>
    <s v="Bank Transfer"/>
    <s v="AnterAja"/>
    <x v="2"/>
    <x v="3"/>
    <s v="No"/>
    <n v="40000"/>
    <x v="42"/>
    <x v="3"/>
    <x v="3"/>
    <x v="282"/>
    <x v="0"/>
    <x v="1"/>
    <x v="1"/>
    <n v="0"/>
  </r>
  <r>
    <x v="797"/>
    <d v="2025-03-03T00:00:00"/>
    <s v="CUST0316"/>
    <s v="P047"/>
    <n v="3"/>
    <n v="500000"/>
    <n v="1500000"/>
    <s v="NONE"/>
    <n v="0"/>
    <n v="10000"/>
    <n v="1510000"/>
    <s v="E-Wallet"/>
    <s v="J&amp;T"/>
    <x v="0"/>
    <x v="3"/>
    <s v="Yes"/>
    <n v="1500000"/>
    <x v="49"/>
    <x v="5"/>
    <x v="5"/>
    <x v="183"/>
    <x v="0"/>
    <x v="5"/>
    <x v="1"/>
    <n v="1500000"/>
  </r>
  <r>
    <x v="798"/>
    <d v="2025-03-03T00:00:00"/>
    <s v="CUST0017"/>
    <s v="P043"/>
    <n v="1"/>
    <n v="50000"/>
    <n v="50000"/>
    <s v="DISC10"/>
    <n v="5000"/>
    <n v="15000"/>
    <n v="60000"/>
    <s v="E-Wallet"/>
    <s v="JNE"/>
    <x v="0"/>
    <x v="3"/>
    <s v="Yes"/>
    <n v="45000"/>
    <x v="25"/>
    <x v="2"/>
    <x v="2"/>
    <x v="145"/>
    <x v="0"/>
    <x v="9"/>
    <x v="1"/>
    <n v="45000"/>
  </r>
  <r>
    <x v="799"/>
    <d v="2025-03-03T00:00:00"/>
    <s v="CUST0132"/>
    <s v="P059"/>
    <n v="2"/>
    <n v="75000"/>
    <n v="150000"/>
    <s v="FLASHSALE"/>
    <n v="30000"/>
    <n v="20000"/>
    <n v="140000"/>
    <s v="Credit Card"/>
    <s v="SiCepat"/>
    <x v="2"/>
    <x v="3"/>
    <s v="No"/>
    <n v="120000"/>
    <x v="16"/>
    <x v="5"/>
    <x v="5"/>
    <x v="155"/>
    <x v="1"/>
    <x v="1"/>
    <x v="1"/>
    <n v="0"/>
  </r>
  <r>
    <x v="800"/>
    <d v="2025-03-03T00:00:00"/>
    <s v="CUST0308"/>
    <s v="P019"/>
    <n v="2"/>
    <n v="500000"/>
    <n v="1000000"/>
    <s v="NONE"/>
    <n v="0"/>
    <n v="15000"/>
    <n v="1015000"/>
    <s v="Bank Transfer"/>
    <s v="JNE"/>
    <x v="0"/>
    <x v="3"/>
    <s v="Yes"/>
    <n v="1000000"/>
    <x v="23"/>
    <x v="2"/>
    <x v="2"/>
    <x v="241"/>
    <x v="0"/>
    <x v="3"/>
    <x v="0"/>
    <n v="1000000"/>
  </r>
  <r>
    <x v="801"/>
    <d v="2025-03-03T00:00:00"/>
    <s v="CUST0109"/>
    <s v="P039"/>
    <n v="2"/>
    <n v="35000"/>
    <n v="70000"/>
    <s v="NONE"/>
    <n v="0"/>
    <n v="20000"/>
    <n v="90000"/>
    <s v="E-Wallet"/>
    <s v="AnterAja"/>
    <x v="1"/>
    <x v="3"/>
    <s v="No"/>
    <n v="70000"/>
    <x v="11"/>
    <x v="4"/>
    <x v="4"/>
    <x v="280"/>
    <x v="1"/>
    <x v="0"/>
    <x v="2"/>
    <n v="0"/>
  </r>
  <r>
    <x v="802"/>
    <d v="2025-03-03T00:00:00"/>
    <s v="CUST0287"/>
    <s v="P052"/>
    <n v="1"/>
    <n v="200000"/>
    <n v="200000"/>
    <s v="NONE"/>
    <n v="0"/>
    <n v="15000"/>
    <n v="215000"/>
    <s v="Credit Card"/>
    <s v="UNKNOWN"/>
    <x v="0"/>
    <x v="3"/>
    <s v="Yes"/>
    <n v="200000"/>
    <x v="56"/>
    <x v="3"/>
    <x v="3"/>
    <x v="229"/>
    <x v="1"/>
    <x v="4"/>
    <x v="1"/>
    <n v="200000"/>
  </r>
  <r>
    <x v="803"/>
    <d v="2025-03-02T00:00:00"/>
    <s v="CUST0138"/>
    <s v="P050"/>
    <n v="1"/>
    <n v="200000"/>
    <n v="200000"/>
    <s v="DISC10"/>
    <n v="20000"/>
    <n v="10000"/>
    <n v="190000"/>
    <s v="Bank Transfer"/>
    <s v="J&amp;T"/>
    <x v="0"/>
    <x v="3"/>
    <s v="Yes"/>
    <n v="180000"/>
    <x v="34"/>
    <x v="1"/>
    <x v="1"/>
    <x v="65"/>
    <x v="0"/>
    <x v="8"/>
    <x v="1"/>
    <n v="180000"/>
  </r>
  <r>
    <x v="804"/>
    <d v="2025-03-02T00:00:00"/>
    <s v="CUST0095"/>
    <s v="P017"/>
    <n v="2"/>
    <n v="100000"/>
    <n v="200000"/>
    <s v="NONE"/>
    <n v="0"/>
    <n v="15000"/>
    <n v="215000"/>
    <s v="Bank Transfer"/>
    <s v="J&amp;T"/>
    <x v="2"/>
    <x v="3"/>
    <s v="No"/>
    <n v="200000"/>
    <x v="39"/>
    <x v="5"/>
    <x v="5"/>
    <x v="259"/>
    <x v="1"/>
    <x v="5"/>
    <x v="1"/>
    <n v="0"/>
  </r>
  <r>
    <x v="805"/>
    <d v="2025-03-02T00:00:00"/>
    <s v="CUST0147"/>
    <s v="P046"/>
    <n v="1"/>
    <n v="100000"/>
    <n v="100000"/>
    <s v="NONE"/>
    <n v="0"/>
    <n v="10000"/>
    <n v="110000"/>
    <s v="Credit Card"/>
    <s v="SiCepat"/>
    <x v="1"/>
    <x v="3"/>
    <s v="No"/>
    <n v="100000"/>
    <x v="7"/>
    <x v="3"/>
    <x v="3"/>
    <x v="257"/>
    <x v="0"/>
    <x v="8"/>
    <x v="1"/>
    <n v="0"/>
  </r>
  <r>
    <x v="806"/>
    <d v="2025-03-02T00:00:00"/>
    <s v="CUST0115"/>
    <s v="P012"/>
    <n v="1"/>
    <n v="300000"/>
    <n v="300000"/>
    <s v="FLASHSALE"/>
    <n v="60000"/>
    <n v="20000"/>
    <n v="260000"/>
    <s v="Bank Transfer"/>
    <s v="SiCepat"/>
    <x v="0"/>
    <x v="3"/>
    <s v="Yes"/>
    <n v="240000"/>
    <x v="40"/>
    <x v="0"/>
    <x v="0"/>
    <x v="158"/>
    <x v="0"/>
    <x v="4"/>
    <x v="1"/>
    <n v="240000"/>
  </r>
  <r>
    <x v="807"/>
    <d v="2025-03-02T00:00:00"/>
    <s v="CUST0268"/>
    <s v="P049"/>
    <n v="2"/>
    <n v="200000"/>
    <n v="400000"/>
    <s v="NEWUSER"/>
    <n v="40000"/>
    <n v="10000"/>
    <n v="370000"/>
    <s v="E-Wallet"/>
    <s v="SiCepat"/>
    <x v="0"/>
    <x v="3"/>
    <s v="Yes"/>
    <n v="360000"/>
    <x v="17"/>
    <x v="2"/>
    <x v="2"/>
    <x v="313"/>
    <x v="1"/>
    <x v="7"/>
    <x v="1"/>
    <n v="360000"/>
  </r>
  <r>
    <x v="808"/>
    <d v="2025-03-01T00:00:00"/>
    <s v="CUST0151"/>
    <s v="P019"/>
    <n v="4"/>
    <n v="500000"/>
    <n v="2000000"/>
    <s v="NONE"/>
    <n v="0"/>
    <n v="20000"/>
    <n v="2020000"/>
    <s v="Credit Card"/>
    <s v="J&amp;T"/>
    <x v="0"/>
    <x v="3"/>
    <s v="Yes"/>
    <n v="2000000"/>
    <x v="23"/>
    <x v="2"/>
    <x v="2"/>
    <x v="93"/>
    <x v="1"/>
    <x v="4"/>
    <x v="1"/>
    <n v="2000000"/>
  </r>
  <r>
    <x v="809"/>
    <d v="2025-03-01T00:00:00"/>
    <s v="CUST0213"/>
    <s v="P024"/>
    <n v="1"/>
    <n v="500000"/>
    <n v="500000"/>
    <s v="NONE"/>
    <n v="0"/>
    <n v="30000"/>
    <n v="530000"/>
    <s v="COD"/>
    <s v="J&amp;T"/>
    <x v="1"/>
    <x v="3"/>
    <s v="No"/>
    <n v="500000"/>
    <x v="43"/>
    <x v="0"/>
    <x v="0"/>
    <x v="191"/>
    <x v="0"/>
    <x v="5"/>
    <x v="1"/>
    <n v="0"/>
  </r>
  <r>
    <x v="810"/>
    <d v="2025-03-01T00:00:00"/>
    <s v="CUST0273"/>
    <s v="P032"/>
    <n v="3"/>
    <n v="35000"/>
    <n v="105000"/>
    <s v="NEWUSER"/>
    <n v="10500"/>
    <n v="30000"/>
    <n v="124500"/>
    <s v="E-Wallet"/>
    <s v="AnterAja"/>
    <x v="0"/>
    <x v="3"/>
    <s v="Yes"/>
    <n v="94500"/>
    <x v="29"/>
    <x v="1"/>
    <x v="1"/>
    <x v="173"/>
    <x v="0"/>
    <x v="1"/>
    <x v="2"/>
    <n v="94500"/>
  </r>
  <r>
    <x v="811"/>
    <d v="2025-03-01T00:00:00"/>
    <s v="CUST0296"/>
    <s v="P001"/>
    <n v="2"/>
    <n v="300000"/>
    <n v="600000"/>
    <s v="NEWUSER"/>
    <n v="60000"/>
    <n v="20000"/>
    <n v="560000"/>
    <s v="COD"/>
    <s v="SiCepat"/>
    <x v="0"/>
    <x v="3"/>
    <s v="Yes"/>
    <n v="540000"/>
    <x v="26"/>
    <x v="2"/>
    <x v="2"/>
    <x v="64"/>
    <x v="1"/>
    <x v="0"/>
    <x v="1"/>
    <n v="540000"/>
  </r>
  <r>
    <x v="812"/>
    <d v="2025-03-01T00:00:00"/>
    <s v="CUST0090"/>
    <s v="P052"/>
    <n v="4"/>
    <n v="200000"/>
    <n v="800000"/>
    <s v="DISC15"/>
    <n v="120000"/>
    <n v="30000"/>
    <n v="710000"/>
    <s v="E-Wallet"/>
    <s v="AnterAja"/>
    <x v="2"/>
    <x v="3"/>
    <s v="No"/>
    <n v="680000"/>
    <x v="56"/>
    <x v="3"/>
    <x v="3"/>
    <x v="88"/>
    <x v="0"/>
    <x v="8"/>
    <x v="2"/>
    <n v="0"/>
  </r>
  <r>
    <x v="813"/>
    <d v="2025-02-28T00:00:00"/>
    <s v="CUST0131"/>
    <s v="P028"/>
    <n v="1"/>
    <n v="50000"/>
    <n v="50000"/>
    <s v="NONE"/>
    <n v="0"/>
    <n v="10000"/>
    <n v="60000"/>
    <s v="Bank Transfer"/>
    <s v="J&amp;T"/>
    <x v="0"/>
    <x v="4"/>
    <s v="Yes"/>
    <n v="50000"/>
    <x v="31"/>
    <x v="3"/>
    <x v="3"/>
    <x v="134"/>
    <x v="1"/>
    <x v="2"/>
    <x v="1"/>
    <n v="50000"/>
  </r>
  <r>
    <x v="814"/>
    <d v="2025-02-28T00:00:00"/>
    <s v="CUST0325"/>
    <s v="P033"/>
    <n v="1"/>
    <n v="100000"/>
    <n v="100000"/>
    <s v="FLASHSALE"/>
    <n v="20000"/>
    <n v="20000"/>
    <n v="100000"/>
    <s v="Credit Card"/>
    <s v="AnterAja"/>
    <x v="0"/>
    <x v="4"/>
    <s v="Yes"/>
    <n v="80000"/>
    <x v="58"/>
    <x v="4"/>
    <x v="4"/>
    <x v="153"/>
    <x v="1"/>
    <x v="8"/>
    <x v="2"/>
    <n v="80000"/>
  </r>
  <r>
    <x v="815"/>
    <d v="2025-02-28T00:00:00"/>
    <s v="CUST0258"/>
    <s v="P029"/>
    <n v="2"/>
    <n v="500000"/>
    <n v="1000000"/>
    <s v="DISC10"/>
    <n v="100000"/>
    <n v="20000"/>
    <n v="920000"/>
    <s v="Bank Transfer"/>
    <s v="J&amp;T"/>
    <x v="4"/>
    <x v="4"/>
    <s v="No"/>
    <n v="900000"/>
    <x v="35"/>
    <x v="5"/>
    <x v="5"/>
    <x v="314"/>
    <x v="1"/>
    <x v="4"/>
    <x v="1"/>
    <n v="0"/>
  </r>
  <r>
    <x v="816"/>
    <d v="2025-02-28T00:00:00"/>
    <s v="CUST0051"/>
    <s v="P021"/>
    <n v="2"/>
    <n v="200000"/>
    <n v="400000"/>
    <s v="DISC15"/>
    <n v="60000"/>
    <n v="10000"/>
    <n v="350000"/>
    <s v="COD"/>
    <s v="J&amp;T"/>
    <x v="0"/>
    <x v="4"/>
    <s v="Yes"/>
    <n v="340000"/>
    <x v="32"/>
    <x v="4"/>
    <x v="4"/>
    <x v="263"/>
    <x v="0"/>
    <x v="8"/>
    <x v="0"/>
    <n v="340000"/>
  </r>
  <r>
    <x v="817"/>
    <d v="2025-02-28T00:00:00"/>
    <s v="CUST0324"/>
    <s v="P007"/>
    <n v="4"/>
    <n v="150000"/>
    <n v="600000"/>
    <s v="DISC15"/>
    <n v="90000"/>
    <n v="20000"/>
    <n v="530000"/>
    <s v="Credit Card"/>
    <s v="SiCepat"/>
    <x v="0"/>
    <x v="4"/>
    <s v="Yes"/>
    <n v="510000"/>
    <x v="52"/>
    <x v="2"/>
    <x v="2"/>
    <x v="202"/>
    <x v="1"/>
    <x v="6"/>
    <x v="1"/>
    <n v="510000"/>
  </r>
  <r>
    <x v="818"/>
    <d v="2025-02-28T00:00:00"/>
    <s v="CUST0054"/>
    <s v="P022"/>
    <n v="2"/>
    <n v="150000"/>
    <n v="300000"/>
    <s v="FLASHSALE"/>
    <n v="60000"/>
    <n v="10000"/>
    <n v="250000"/>
    <s v="Credit Card"/>
    <s v="AnterAja"/>
    <x v="0"/>
    <x v="4"/>
    <s v="Yes"/>
    <n v="240000"/>
    <x v="55"/>
    <x v="3"/>
    <x v="3"/>
    <x v="129"/>
    <x v="0"/>
    <x v="4"/>
    <x v="1"/>
    <n v="240000"/>
  </r>
  <r>
    <x v="819"/>
    <d v="2025-02-27T00:00:00"/>
    <s v="CUST0075"/>
    <s v="P057"/>
    <n v="4"/>
    <n v="500000"/>
    <n v="2000000"/>
    <s v="NEWUSER"/>
    <n v="200000"/>
    <n v="20000"/>
    <n v="1820000"/>
    <s v="E-Wallet"/>
    <s v="JNE"/>
    <x v="0"/>
    <x v="4"/>
    <s v="Yes"/>
    <n v="1800000"/>
    <x v="44"/>
    <x v="4"/>
    <x v="4"/>
    <x v="126"/>
    <x v="1"/>
    <x v="6"/>
    <x v="0"/>
    <n v="1800000"/>
  </r>
  <r>
    <x v="820"/>
    <d v="2025-02-27T00:00:00"/>
    <s v="CUST0269"/>
    <s v="P052"/>
    <n v="1"/>
    <n v="200000"/>
    <n v="200000"/>
    <s v="NONE"/>
    <n v="0"/>
    <n v="20000"/>
    <n v="220000"/>
    <s v="Credit Card"/>
    <s v="SiCepat"/>
    <x v="2"/>
    <x v="4"/>
    <s v="No"/>
    <n v="200000"/>
    <x v="56"/>
    <x v="3"/>
    <x v="3"/>
    <x v="311"/>
    <x v="0"/>
    <x v="1"/>
    <x v="1"/>
    <n v="0"/>
  </r>
  <r>
    <x v="821"/>
    <d v="2025-02-27T00:00:00"/>
    <s v="CUST0305"/>
    <s v="P023"/>
    <n v="1"/>
    <n v="50000"/>
    <n v="50000"/>
    <s v="NONE"/>
    <n v="0"/>
    <n v="20000"/>
    <n v="70000"/>
    <s v="COD"/>
    <s v="J&amp;T"/>
    <x v="0"/>
    <x v="4"/>
    <s v="Yes"/>
    <n v="50000"/>
    <x v="14"/>
    <x v="5"/>
    <x v="5"/>
    <x v="92"/>
    <x v="1"/>
    <x v="7"/>
    <x v="1"/>
    <n v="50000"/>
  </r>
  <r>
    <x v="822"/>
    <d v="2025-02-27T00:00:00"/>
    <s v="CUST0094"/>
    <s v="P055"/>
    <n v="4"/>
    <n v="300000"/>
    <n v="1200000"/>
    <s v="NONE"/>
    <n v="0"/>
    <n v="15000"/>
    <n v="1215000"/>
    <s v="Credit Card"/>
    <s v="AnterAja"/>
    <x v="0"/>
    <x v="4"/>
    <s v="Yes"/>
    <n v="1200000"/>
    <x v="9"/>
    <x v="2"/>
    <x v="2"/>
    <x v="221"/>
    <x v="1"/>
    <x v="5"/>
    <x v="1"/>
    <n v="1200000"/>
  </r>
  <r>
    <x v="823"/>
    <d v="2025-02-27T00:00:00"/>
    <s v="CUST0032"/>
    <s v="P031"/>
    <n v="1"/>
    <n v="150000"/>
    <n v="150000"/>
    <s v="NONE"/>
    <n v="0"/>
    <n v="15000"/>
    <n v="165000"/>
    <s v="COD"/>
    <s v="JNE"/>
    <x v="4"/>
    <x v="4"/>
    <s v="No"/>
    <n v="150000"/>
    <x v="20"/>
    <x v="2"/>
    <x v="2"/>
    <x v="240"/>
    <x v="0"/>
    <x v="5"/>
    <x v="0"/>
    <n v="0"/>
  </r>
  <r>
    <x v="824"/>
    <d v="2025-02-27T00:00:00"/>
    <s v="CUST0326"/>
    <s v="P053"/>
    <n v="1"/>
    <n v="75000"/>
    <n v="75000"/>
    <s v="NONE"/>
    <n v="0"/>
    <n v="30000"/>
    <n v="105000"/>
    <s v="Credit Card"/>
    <s v="J&amp;T"/>
    <x v="0"/>
    <x v="4"/>
    <s v="Yes"/>
    <n v="75000"/>
    <x v="27"/>
    <x v="5"/>
    <x v="5"/>
    <x v="17"/>
    <x v="0"/>
    <x v="6"/>
    <x v="0"/>
    <n v="75000"/>
  </r>
  <r>
    <x v="825"/>
    <d v="2025-02-27T00:00:00"/>
    <s v="CUST0275"/>
    <s v="P024"/>
    <n v="1"/>
    <n v="500000"/>
    <n v="500000"/>
    <s v="DISC15"/>
    <n v="75000"/>
    <n v="15000"/>
    <n v="440000"/>
    <s v="Bank Transfer"/>
    <s v="AnterAja"/>
    <x v="0"/>
    <x v="4"/>
    <s v="Yes"/>
    <n v="425000"/>
    <x v="43"/>
    <x v="0"/>
    <x v="0"/>
    <x v="216"/>
    <x v="0"/>
    <x v="2"/>
    <x v="1"/>
    <n v="425000"/>
  </r>
  <r>
    <x v="826"/>
    <d v="2025-02-27T00:00:00"/>
    <s v="CUST0034"/>
    <s v="P007"/>
    <n v="2"/>
    <n v="150000"/>
    <n v="300000"/>
    <s v="DISC10"/>
    <n v="30000"/>
    <n v="20000"/>
    <n v="290000"/>
    <s v="E-Wallet"/>
    <s v="SiCepat"/>
    <x v="4"/>
    <x v="4"/>
    <s v="No"/>
    <n v="270000"/>
    <x v="52"/>
    <x v="2"/>
    <x v="2"/>
    <x v="138"/>
    <x v="0"/>
    <x v="8"/>
    <x v="1"/>
    <n v="0"/>
  </r>
  <r>
    <x v="827"/>
    <d v="2025-02-27T00:00:00"/>
    <s v="CUST0140"/>
    <s v="P048"/>
    <n v="4"/>
    <n v="300000"/>
    <n v="1200000"/>
    <s v="DISC10"/>
    <n v="120000"/>
    <n v="30000"/>
    <n v="1110000"/>
    <s v="Bank Transfer"/>
    <s v="SiCepat"/>
    <x v="1"/>
    <x v="4"/>
    <s v="No"/>
    <n v="1080000"/>
    <x v="21"/>
    <x v="0"/>
    <x v="0"/>
    <x v="83"/>
    <x v="1"/>
    <x v="2"/>
    <x v="1"/>
    <n v="0"/>
  </r>
  <r>
    <x v="828"/>
    <d v="2025-02-27T00:00:00"/>
    <s v="CUST0088"/>
    <s v="P033"/>
    <n v="2"/>
    <n v="100000"/>
    <n v="200000"/>
    <s v="DISC10"/>
    <n v="20000"/>
    <n v="20000"/>
    <n v="200000"/>
    <s v="COD"/>
    <s v="JNE"/>
    <x v="3"/>
    <x v="4"/>
    <s v="No"/>
    <n v="180000"/>
    <x v="58"/>
    <x v="4"/>
    <x v="4"/>
    <x v="14"/>
    <x v="1"/>
    <x v="7"/>
    <x v="0"/>
    <n v="0"/>
  </r>
  <r>
    <x v="829"/>
    <d v="2025-02-26T00:00:00"/>
    <s v="CUST0020"/>
    <s v="P017"/>
    <n v="4"/>
    <n v="100000"/>
    <n v="400000"/>
    <s v="NONE"/>
    <n v="0"/>
    <n v="15000"/>
    <n v="415000"/>
    <s v="E-Wallet"/>
    <s v="SiCepat"/>
    <x v="1"/>
    <x v="4"/>
    <s v="No"/>
    <n v="400000"/>
    <x v="39"/>
    <x v="5"/>
    <x v="5"/>
    <x v="123"/>
    <x v="0"/>
    <x v="3"/>
    <x v="1"/>
    <n v="0"/>
  </r>
  <r>
    <x v="830"/>
    <d v="2025-02-26T00:00:00"/>
    <s v="CUST0064"/>
    <s v="P054"/>
    <n v="2"/>
    <n v="100000"/>
    <n v="200000"/>
    <s v="DISC15"/>
    <n v="30000"/>
    <n v="30000"/>
    <n v="200000"/>
    <s v="Credit Card"/>
    <s v="SiCepat"/>
    <x v="0"/>
    <x v="4"/>
    <s v="Yes"/>
    <n v="170000"/>
    <x v="5"/>
    <x v="0"/>
    <x v="0"/>
    <x v="61"/>
    <x v="1"/>
    <x v="9"/>
    <x v="0"/>
    <n v="170000"/>
  </r>
  <r>
    <x v="831"/>
    <d v="2025-02-26T00:00:00"/>
    <s v="CUST0117"/>
    <s v="P053"/>
    <n v="3"/>
    <n v="75000"/>
    <n v="225000"/>
    <s v="DISC15"/>
    <n v="33750"/>
    <n v="20000"/>
    <n v="211250"/>
    <s v="COD"/>
    <s v="JNE"/>
    <x v="2"/>
    <x v="4"/>
    <s v="No"/>
    <n v="191250"/>
    <x v="27"/>
    <x v="5"/>
    <x v="5"/>
    <x v="132"/>
    <x v="1"/>
    <x v="0"/>
    <x v="1"/>
    <n v="0"/>
  </r>
  <r>
    <x v="832"/>
    <d v="2025-02-26T00:00:00"/>
    <s v="CUST0138"/>
    <s v="P040"/>
    <n v="4"/>
    <n v="75000"/>
    <n v="300000"/>
    <s v="NONE"/>
    <n v="0"/>
    <n v="20000"/>
    <n v="320000"/>
    <s v="Bank Transfer"/>
    <s v="AnterAja"/>
    <x v="0"/>
    <x v="4"/>
    <s v="Yes"/>
    <n v="300000"/>
    <x v="28"/>
    <x v="3"/>
    <x v="3"/>
    <x v="65"/>
    <x v="0"/>
    <x v="8"/>
    <x v="1"/>
    <n v="300000"/>
  </r>
  <r>
    <x v="833"/>
    <d v="2025-02-26T00:00:00"/>
    <s v="CUST0181"/>
    <s v="P045"/>
    <n v="2"/>
    <n v="100000"/>
    <n v="200000"/>
    <s v="DISC15"/>
    <n v="30000"/>
    <n v="30000"/>
    <n v="200000"/>
    <s v="E-Wallet"/>
    <s v="JNE"/>
    <x v="0"/>
    <x v="4"/>
    <s v="Yes"/>
    <n v="170000"/>
    <x v="10"/>
    <x v="4"/>
    <x v="4"/>
    <x v="195"/>
    <x v="0"/>
    <x v="8"/>
    <x v="1"/>
    <n v="170000"/>
  </r>
  <r>
    <x v="834"/>
    <d v="2025-02-26T00:00:00"/>
    <s v="CUST0196"/>
    <s v="P055"/>
    <n v="3"/>
    <n v="300000"/>
    <n v="900000"/>
    <s v="DISC10"/>
    <n v="90000"/>
    <n v="25000"/>
    <n v="835000"/>
    <s v="Bank Transfer"/>
    <s v="AnterAja"/>
    <x v="0"/>
    <x v="4"/>
    <s v="Yes"/>
    <n v="810000"/>
    <x v="9"/>
    <x v="2"/>
    <x v="2"/>
    <x v="227"/>
    <x v="1"/>
    <x v="1"/>
    <x v="1"/>
    <n v="810000"/>
  </r>
  <r>
    <x v="835"/>
    <d v="2025-02-26T00:00:00"/>
    <s v="CUST0337"/>
    <s v="P039"/>
    <n v="1"/>
    <n v="35000"/>
    <n v="35000"/>
    <s v="NONE"/>
    <n v="0"/>
    <n v="30000"/>
    <n v="65000"/>
    <s v="E-Wallet"/>
    <s v="SiCepat"/>
    <x v="0"/>
    <x v="4"/>
    <s v="Yes"/>
    <n v="35000"/>
    <x v="11"/>
    <x v="4"/>
    <x v="4"/>
    <x v="266"/>
    <x v="0"/>
    <x v="7"/>
    <x v="1"/>
    <n v="35000"/>
  </r>
  <r>
    <x v="836"/>
    <d v="2025-02-26T00:00:00"/>
    <s v="CUST0199"/>
    <s v="P017"/>
    <n v="1"/>
    <n v="100000"/>
    <n v="100000"/>
    <s v="DISC10"/>
    <n v="10000"/>
    <n v="30000"/>
    <n v="120000"/>
    <s v="E-Wallet"/>
    <s v="JNE"/>
    <x v="0"/>
    <x v="4"/>
    <s v="Yes"/>
    <n v="90000"/>
    <x v="39"/>
    <x v="5"/>
    <x v="5"/>
    <x v="25"/>
    <x v="0"/>
    <x v="8"/>
    <x v="2"/>
    <n v="90000"/>
  </r>
  <r>
    <x v="837"/>
    <d v="2025-02-26T00:00:00"/>
    <s v="CUST0120"/>
    <s v="P052"/>
    <n v="1"/>
    <n v="200000"/>
    <n v="200000"/>
    <s v="NEWUSER"/>
    <n v="20000"/>
    <n v="20000"/>
    <n v="200000"/>
    <s v="Bank Transfer"/>
    <s v="AnterAja"/>
    <x v="0"/>
    <x v="4"/>
    <s v="Yes"/>
    <n v="180000"/>
    <x v="56"/>
    <x v="3"/>
    <x v="3"/>
    <x v="278"/>
    <x v="1"/>
    <x v="4"/>
    <x v="1"/>
    <n v="180000"/>
  </r>
  <r>
    <x v="838"/>
    <d v="2025-02-26T00:00:00"/>
    <s v="CUST0083"/>
    <s v="P033"/>
    <n v="1"/>
    <n v="100000"/>
    <n v="100000"/>
    <s v="DISC10"/>
    <n v="10000"/>
    <n v="20000"/>
    <n v="110000"/>
    <s v="Bank Transfer"/>
    <s v="SiCepat"/>
    <x v="0"/>
    <x v="4"/>
    <s v="Yes"/>
    <n v="90000"/>
    <x v="58"/>
    <x v="4"/>
    <x v="4"/>
    <x v="166"/>
    <x v="0"/>
    <x v="6"/>
    <x v="2"/>
    <n v="90000"/>
  </r>
  <r>
    <x v="839"/>
    <d v="2025-02-26T00:00:00"/>
    <s v="CUST0226"/>
    <s v="P004"/>
    <n v="3"/>
    <n v="300000"/>
    <n v="900000"/>
    <s v="NONE"/>
    <n v="0"/>
    <n v="15000"/>
    <n v="915000"/>
    <s v="Bank Transfer"/>
    <s v="SiCepat"/>
    <x v="0"/>
    <x v="4"/>
    <s v="Yes"/>
    <n v="900000"/>
    <x v="22"/>
    <x v="3"/>
    <x v="3"/>
    <x v="20"/>
    <x v="1"/>
    <x v="7"/>
    <x v="0"/>
    <n v="900000"/>
  </r>
  <r>
    <x v="840"/>
    <d v="2025-02-25T00:00:00"/>
    <s v="CUST0289"/>
    <s v="P058"/>
    <n v="2"/>
    <n v="35000"/>
    <n v="70000"/>
    <s v="NONE"/>
    <n v="0"/>
    <n v="20000"/>
    <n v="90000"/>
    <s v="Bank Transfer"/>
    <s v="AnterAja"/>
    <x v="0"/>
    <x v="4"/>
    <s v="Yes"/>
    <n v="70000"/>
    <x v="24"/>
    <x v="3"/>
    <x v="3"/>
    <x v="102"/>
    <x v="0"/>
    <x v="2"/>
    <x v="0"/>
    <n v="70000"/>
  </r>
  <r>
    <x v="841"/>
    <d v="2025-02-25T00:00:00"/>
    <s v="CUST0187"/>
    <s v="P021"/>
    <n v="1"/>
    <n v="200000"/>
    <n v="200000"/>
    <s v="NEWUSER"/>
    <n v="20000"/>
    <n v="25000"/>
    <n v="205000"/>
    <s v="Bank Transfer"/>
    <s v="AnterAja"/>
    <x v="0"/>
    <x v="4"/>
    <s v="Yes"/>
    <n v="180000"/>
    <x v="32"/>
    <x v="4"/>
    <x v="4"/>
    <x v="242"/>
    <x v="1"/>
    <x v="5"/>
    <x v="1"/>
    <n v="180000"/>
  </r>
  <r>
    <x v="842"/>
    <d v="2025-02-25T00:00:00"/>
    <s v="CUST0187"/>
    <s v="P056"/>
    <n v="4"/>
    <n v="100000"/>
    <n v="400000"/>
    <s v="NONE"/>
    <n v="0"/>
    <n v="20000"/>
    <n v="420000"/>
    <s v="COD"/>
    <s v="J&amp;T"/>
    <x v="4"/>
    <x v="4"/>
    <s v="No"/>
    <n v="400000"/>
    <x v="54"/>
    <x v="1"/>
    <x v="1"/>
    <x v="242"/>
    <x v="1"/>
    <x v="5"/>
    <x v="1"/>
    <n v="0"/>
  </r>
  <r>
    <x v="843"/>
    <d v="2025-02-25T00:00:00"/>
    <s v="CUST0110"/>
    <s v="P008"/>
    <n v="2"/>
    <n v="150000"/>
    <n v="300000"/>
    <s v="NONE"/>
    <n v="0"/>
    <n v="25000"/>
    <n v="325000"/>
    <s v="Bank Transfer"/>
    <s v="SiCepat"/>
    <x v="0"/>
    <x v="4"/>
    <s v="Yes"/>
    <n v="300000"/>
    <x v="18"/>
    <x v="1"/>
    <x v="1"/>
    <x v="200"/>
    <x v="0"/>
    <x v="1"/>
    <x v="1"/>
    <n v="300000"/>
  </r>
  <r>
    <x v="844"/>
    <d v="2025-02-25T00:00:00"/>
    <s v="CUST0056"/>
    <s v="P054"/>
    <n v="2"/>
    <n v="100000"/>
    <n v="200000"/>
    <s v="DISC10"/>
    <n v="20000"/>
    <n v="20000"/>
    <n v="200000"/>
    <s v="Credit Card"/>
    <s v="SiCepat"/>
    <x v="4"/>
    <x v="4"/>
    <s v="No"/>
    <n v="180000"/>
    <x v="5"/>
    <x v="0"/>
    <x v="0"/>
    <x v="283"/>
    <x v="0"/>
    <x v="3"/>
    <x v="0"/>
    <n v="0"/>
  </r>
  <r>
    <x v="845"/>
    <d v="2025-02-24T00:00:00"/>
    <s v="CUST0303"/>
    <s v="P012"/>
    <n v="3"/>
    <n v="300000"/>
    <n v="900000"/>
    <s v="NEWUSER"/>
    <n v="90000"/>
    <n v="30000"/>
    <n v="840000"/>
    <s v="Credit Card"/>
    <s v="SiCepat"/>
    <x v="3"/>
    <x v="4"/>
    <s v="No"/>
    <n v="810000"/>
    <x v="40"/>
    <x v="0"/>
    <x v="0"/>
    <x v="291"/>
    <x v="1"/>
    <x v="4"/>
    <x v="1"/>
    <n v="0"/>
  </r>
  <r>
    <x v="846"/>
    <d v="2025-02-24T00:00:00"/>
    <s v="CUST0119"/>
    <s v="P026"/>
    <n v="1"/>
    <n v="200000"/>
    <n v="200000"/>
    <s v="NEWUSER"/>
    <n v="20000"/>
    <n v="10000"/>
    <n v="190000"/>
    <s v="E-Wallet"/>
    <s v="JNE"/>
    <x v="2"/>
    <x v="4"/>
    <s v="No"/>
    <n v="180000"/>
    <x v="3"/>
    <x v="1"/>
    <x v="1"/>
    <x v="16"/>
    <x v="1"/>
    <x v="3"/>
    <x v="1"/>
    <n v="0"/>
  </r>
  <r>
    <x v="847"/>
    <d v="2025-02-24T00:00:00"/>
    <s v="CUST0208"/>
    <s v="P042"/>
    <n v="3"/>
    <n v="300000"/>
    <n v="900000"/>
    <s v="NONE"/>
    <n v="0"/>
    <n v="25000"/>
    <n v="925000"/>
    <s v="COD"/>
    <s v="AnterAja"/>
    <x v="0"/>
    <x v="4"/>
    <s v="Yes"/>
    <n v="900000"/>
    <x v="36"/>
    <x v="0"/>
    <x v="0"/>
    <x v="289"/>
    <x v="0"/>
    <x v="2"/>
    <x v="1"/>
    <n v="900000"/>
  </r>
  <r>
    <x v="848"/>
    <d v="2025-02-24T00:00:00"/>
    <s v="CUST0262"/>
    <s v="P035"/>
    <n v="3"/>
    <n v="200000"/>
    <n v="600000"/>
    <s v="NONE"/>
    <n v="0"/>
    <n v="25000"/>
    <n v="625000"/>
    <s v="COD"/>
    <s v="JNE"/>
    <x v="0"/>
    <x v="4"/>
    <s v="Yes"/>
    <n v="600000"/>
    <x v="41"/>
    <x v="5"/>
    <x v="5"/>
    <x v="315"/>
    <x v="1"/>
    <x v="1"/>
    <x v="1"/>
    <n v="600000"/>
  </r>
  <r>
    <x v="849"/>
    <d v="2025-02-24T00:00:00"/>
    <s v="CUST0254"/>
    <s v="P024"/>
    <n v="1"/>
    <n v="500000"/>
    <n v="500000"/>
    <s v="NEWUSER"/>
    <n v="50000"/>
    <n v="10000"/>
    <n v="460000"/>
    <s v="Credit Card"/>
    <s v="AnterAja"/>
    <x v="0"/>
    <x v="4"/>
    <s v="Yes"/>
    <n v="450000"/>
    <x v="43"/>
    <x v="0"/>
    <x v="0"/>
    <x v="261"/>
    <x v="1"/>
    <x v="7"/>
    <x v="1"/>
    <n v="450000"/>
  </r>
  <r>
    <x v="850"/>
    <d v="2025-02-24T00:00:00"/>
    <s v="CUST0154"/>
    <s v="P035"/>
    <n v="2"/>
    <n v="200000"/>
    <n v="400000"/>
    <s v="DISC15"/>
    <n v="60000"/>
    <n v="30000"/>
    <n v="370000"/>
    <s v="Credit Card"/>
    <s v="J&amp;T"/>
    <x v="2"/>
    <x v="4"/>
    <s v="No"/>
    <n v="340000"/>
    <x v="41"/>
    <x v="5"/>
    <x v="5"/>
    <x v="110"/>
    <x v="1"/>
    <x v="3"/>
    <x v="1"/>
    <n v="0"/>
  </r>
  <r>
    <x v="851"/>
    <d v="2025-02-24T00:00:00"/>
    <s v="CUST0312"/>
    <s v="P004"/>
    <n v="4"/>
    <n v="300000"/>
    <n v="1200000"/>
    <s v="DISC10"/>
    <n v="120000"/>
    <n v="25000"/>
    <n v="1105000"/>
    <s v="Bank Transfer"/>
    <s v="J&amp;T"/>
    <x v="1"/>
    <x v="4"/>
    <s v="No"/>
    <n v="1080000"/>
    <x v="22"/>
    <x v="3"/>
    <x v="3"/>
    <x v="316"/>
    <x v="0"/>
    <x v="2"/>
    <x v="0"/>
    <n v="0"/>
  </r>
  <r>
    <x v="852"/>
    <d v="2025-02-23T00:00:00"/>
    <s v="CUST0193"/>
    <s v="P051"/>
    <n v="2"/>
    <n v="300000"/>
    <n v="600000"/>
    <s v="NEWUSER"/>
    <n v="60000"/>
    <n v="20000"/>
    <n v="560000"/>
    <s v="Bank Transfer"/>
    <s v="JNE"/>
    <x v="0"/>
    <x v="4"/>
    <s v="Yes"/>
    <n v="540000"/>
    <x v="48"/>
    <x v="4"/>
    <x v="4"/>
    <x v="39"/>
    <x v="0"/>
    <x v="8"/>
    <x v="2"/>
    <n v="540000"/>
  </r>
  <r>
    <x v="853"/>
    <d v="2025-02-23T00:00:00"/>
    <s v="CUST0100"/>
    <s v="P045"/>
    <n v="4"/>
    <n v="100000"/>
    <n v="400000"/>
    <s v="FLASHSALE"/>
    <n v="80000"/>
    <n v="25000"/>
    <n v="345000"/>
    <s v="E-Wallet"/>
    <s v="AnterAja"/>
    <x v="0"/>
    <x v="4"/>
    <s v="Yes"/>
    <n v="320000"/>
    <x v="10"/>
    <x v="4"/>
    <x v="4"/>
    <x v="34"/>
    <x v="0"/>
    <x v="2"/>
    <x v="1"/>
    <n v="320000"/>
  </r>
  <r>
    <x v="854"/>
    <d v="2025-02-23T00:00:00"/>
    <s v="CUST0184"/>
    <s v="P039"/>
    <n v="3"/>
    <n v="35000"/>
    <n v="105000"/>
    <s v="NONE"/>
    <n v="0"/>
    <n v="20000"/>
    <n v="125000"/>
    <s v="COD"/>
    <s v="AnterAja"/>
    <x v="4"/>
    <x v="4"/>
    <s v="No"/>
    <n v="105000"/>
    <x v="11"/>
    <x v="4"/>
    <x v="4"/>
    <x v="253"/>
    <x v="1"/>
    <x v="7"/>
    <x v="1"/>
    <n v="0"/>
  </r>
  <r>
    <x v="855"/>
    <d v="2025-02-23T00:00:00"/>
    <s v="CUST0318"/>
    <s v="P001"/>
    <n v="1"/>
    <n v="300000"/>
    <n v="300000"/>
    <s v="DISC10"/>
    <n v="30000"/>
    <n v="30000"/>
    <n v="300000"/>
    <s v="Bank Transfer"/>
    <s v="AnterAja"/>
    <x v="0"/>
    <x v="4"/>
    <s v="Yes"/>
    <n v="270000"/>
    <x v="26"/>
    <x v="2"/>
    <x v="2"/>
    <x v="190"/>
    <x v="1"/>
    <x v="7"/>
    <x v="0"/>
    <n v="270000"/>
  </r>
  <r>
    <x v="856"/>
    <d v="2025-02-23T00:00:00"/>
    <s v="CUST0034"/>
    <s v="P050"/>
    <n v="4"/>
    <n v="200000"/>
    <n v="800000"/>
    <s v="FLASHSALE"/>
    <n v="160000"/>
    <n v="10000"/>
    <n v="650000"/>
    <s v="Bank Transfer"/>
    <s v="SiCepat"/>
    <x v="0"/>
    <x v="4"/>
    <s v="Yes"/>
    <n v="640000"/>
    <x v="34"/>
    <x v="1"/>
    <x v="1"/>
    <x v="138"/>
    <x v="0"/>
    <x v="8"/>
    <x v="1"/>
    <n v="640000"/>
  </r>
  <r>
    <x v="857"/>
    <d v="2025-02-23T00:00:00"/>
    <s v="CUST0276"/>
    <s v="P015"/>
    <n v="4"/>
    <n v="500000"/>
    <n v="2000000"/>
    <s v="NEWUSER"/>
    <n v="200000"/>
    <n v="25000"/>
    <n v="1825000"/>
    <s v="Credit Card"/>
    <s v="J&amp;T"/>
    <x v="0"/>
    <x v="4"/>
    <s v="Yes"/>
    <n v="1800000"/>
    <x v="19"/>
    <x v="4"/>
    <x v="4"/>
    <x v="141"/>
    <x v="0"/>
    <x v="4"/>
    <x v="1"/>
    <n v="1800000"/>
  </r>
  <r>
    <x v="858"/>
    <d v="2025-02-23T00:00:00"/>
    <s v="CUST0104"/>
    <s v="P022"/>
    <n v="1"/>
    <n v="150000"/>
    <n v="150000"/>
    <s v="NONE"/>
    <n v="0"/>
    <n v="10000"/>
    <n v="160000"/>
    <s v="E-Wallet"/>
    <s v="J&amp;T"/>
    <x v="1"/>
    <x v="4"/>
    <s v="No"/>
    <n v="150000"/>
    <x v="55"/>
    <x v="3"/>
    <x v="3"/>
    <x v="62"/>
    <x v="0"/>
    <x v="0"/>
    <x v="1"/>
    <n v="0"/>
  </r>
  <r>
    <x v="859"/>
    <d v="2025-02-22T00:00:00"/>
    <s v="CUST0342"/>
    <s v="P044"/>
    <n v="1"/>
    <n v="500000"/>
    <n v="500000"/>
    <s v="DISC10"/>
    <n v="50000"/>
    <n v="10000"/>
    <n v="460000"/>
    <s v="E-Wallet"/>
    <s v="J&amp;T"/>
    <x v="1"/>
    <x v="4"/>
    <s v="No"/>
    <n v="450000"/>
    <x v="47"/>
    <x v="1"/>
    <x v="1"/>
    <x v="11"/>
    <x v="0"/>
    <x v="5"/>
    <x v="1"/>
    <n v="0"/>
  </r>
  <r>
    <x v="860"/>
    <d v="2025-02-22T00:00:00"/>
    <s v="CUST0173"/>
    <s v="P017"/>
    <n v="1"/>
    <n v="100000"/>
    <n v="100000"/>
    <s v="NONE"/>
    <n v="0"/>
    <n v="25000"/>
    <n v="125000"/>
    <s v="Credit Card"/>
    <s v="J&amp;T"/>
    <x v="0"/>
    <x v="4"/>
    <s v="Yes"/>
    <n v="100000"/>
    <x v="39"/>
    <x v="5"/>
    <x v="5"/>
    <x v="38"/>
    <x v="0"/>
    <x v="1"/>
    <x v="0"/>
    <n v="100000"/>
  </r>
  <r>
    <x v="861"/>
    <d v="2025-02-22T00:00:00"/>
    <s v="CUST0330"/>
    <s v="P059"/>
    <n v="4"/>
    <n v="75000"/>
    <n v="300000"/>
    <s v="NONE"/>
    <n v="0"/>
    <n v="20000"/>
    <n v="320000"/>
    <s v="Credit Card"/>
    <s v="SiCepat"/>
    <x v="0"/>
    <x v="4"/>
    <s v="Yes"/>
    <n v="300000"/>
    <x v="16"/>
    <x v="5"/>
    <x v="5"/>
    <x v="74"/>
    <x v="1"/>
    <x v="1"/>
    <x v="1"/>
    <n v="300000"/>
  </r>
  <r>
    <x v="862"/>
    <d v="2025-02-22T00:00:00"/>
    <s v="CUST0026"/>
    <s v="P046"/>
    <n v="3"/>
    <n v="100000"/>
    <n v="300000"/>
    <s v="DISC10"/>
    <n v="30000"/>
    <n v="20000"/>
    <n v="290000"/>
    <s v="Bank Transfer"/>
    <s v="JNE"/>
    <x v="1"/>
    <x v="4"/>
    <s v="No"/>
    <n v="270000"/>
    <x v="7"/>
    <x v="3"/>
    <x v="3"/>
    <x v="115"/>
    <x v="1"/>
    <x v="0"/>
    <x v="1"/>
    <n v="0"/>
  </r>
  <r>
    <x v="863"/>
    <d v="2025-02-22T00:00:00"/>
    <s v="CUST0018"/>
    <s v="P023"/>
    <n v="2"/>
    <n v="50000"/>
    <n v="100000"/>
    <s v="FLASHSALE"/>
    <n v="20000"/>
    <n v="20000"/>
    <n v="100000"/>
    <s v="E-Wallet"/>
    <s v="SiCepat"/>
    <x v="0"/>
    <x v="4"/>
    <s v="Yes"/>
    <n v="80000"/>
    <x v="14"/>
    <x v="5"/>
    <x v="5"/>
    <x v="317"/>
    <x v="0"/>
    <x v="9"/>
    <x v="0"/>
    <n v="80000"/>
  </r>
  <r>
    <x v="864"/>
    <d v="2025-02-22T00:00:00"/>
    <s v="CUST0231"/>
    <s v="P027"/>
    <n v="4"/>
    <n v="200000"/>
    <n v="800000"/>
    <s v="NONE"/>
    <n v="0"/>
    <n v="25000"/>
    <n v="825000"/>
    <s v="Bank Transfer"/>
    <s v="JNE"/>
    <x v="0"/>
    <x v="4"/>
    <s v="Yes"/>
    <n v="800000"/>
    <x v="51"/>
    <x v="4"/>
    <x v="4"/>
    <x v="318"/>
    <x v="1"/>
    <x v="3"/>
    <x v="0"/>
    <n v="800000"/>
  </r>
  <r>
    <x v="865"/>
    <d v="2025-02-21T00:00:00"/>
    <s v="CUST0344"/>
    <s v="P025"/>
    <n v="2"/>
    <n v="100000"/>
    <n v="200000"/>
    <s v="DISC15"/>
    <n v="30000"/>
    <n v="15000"/>
    <n v="185000"/>
    <s v="COD"/>
    <s v="AnterAja"/>
    <x v="0"/>
    <x v="4"/>
    <s v="Yes"/>
    <n v="170000"/>
    <x v="53"/>
    <x v="2"/>
    <x v="2"/>
    <x v="246"/>
    <x v="1"/>
    <x v="8"/>
    <x v="1"/>
    <n v="170000"/>
  </r>
  <r>
    <x v="866"/>
    <d v="2025-02-21T00:00:00"/>
    <s v="CUST0221"/>
    <s v="P052"/>
    <n v="2"/>
    <n v="200000"/>
    <n v="400000"/>
    <s v="DISC15"/>
    <n v="60000"/>
    <n v="30000"/>
    <n v="370000"/>
    <s v="E-Wallet"/>
    <s v="SiCepat"/>
    <x v="0"/>
    <x v="4"/>
    <s v="Yes"/>
    <n v="340000"/>
    <x v="56"/>
    <x v="3"/>
    <x v="3"/>
    <x v="186"/>
    <x v="0"/>
    <x v="9"/>
    <x v="1"/>
    <n v="340000"/>
  </r>
  <r>
    <x v="867"/>
    <d v="2025-02-21T00:00:00"/>
    <s v="CUST0245"/>
    <s v="P003"/>
    <n v="1"/>
    <n v="150000"/>
    <n v="150000"/>
    <s v="NONE"/>
    <n v="0"/>
    <n v="10000"/>
    <n v="160000"/>
    <s v="Credit Card"/>
    <s v="SiCepat"/>
    <x v="2"/>
    <x v="4"/>
    <s v="No"/>
    <n v="150000"/>
    <x v="37"/>
    <x v="4"/>
    <x v="4"/>
    <x v="203"/>
    <x v="0"/>
    <x v="3"/>
    <x v="1"/>
    <n v="0"/>
  </r>
  <r>
    <x v="868"/>
    <d v="2025-02-21T00:00:00"/>
    <s v="CUST0285"/>
    <s v="P021"/>
    <n v="1"/>
    <n v="200000"/>
    <n v="200000"/>
    <s v="FLASHSALE"/>
    <n v="40000"/>
    <n v="20000"/>
    <n v="180000"/>
    <s v="Bank Transfer"/>
    <s v="UNKNOWN"/>
    <x v="0"/>
    <x v="4"/>
    <s v="Yes"/>
    <n v="160000"/>
    <x v="32"/>
    <x v="4"/>
    <x v="4"/>
    <x v="201"/>
    <x v="1"/>
    <x v="8"/>
    <x v="1"/>
    <n v="160000"/>
  </r>
  <r>
    <x v="869"/>
    <d v="2025-02-21T00:00:00"/>
    <s v="CUST0341"/>
    <s v="P029"/>
    <n v="3"/>
    <n v="500000"/>
    <n v="1500000"/>
    <s v="DISC15"/>
    <n v="225000"/>
    <n v="25000"/>
    <n v="1300000"/>
    <s v="COD"/>
    <s v="SiCepat"/>
    <x v="0"/>
    <x v="4"/>
    <s v="Yes"/>
    <n v="1275000"/>
    <x v="35"/>
    <x v="5"/>
    <x v="5"/>
    <x v="274"/>
    <x v="0"/>
    <x v="6"/>
    <x v="1"/>
    <n v="1275000"/>
  </r>
  <r>
    <x v="870"/>
    <d v="2025-02-21T00:00:00"/>
    <s v="CUST0088"/>
    <s v="P057"/>
    <n v="1"/>
    <n v="500000"/>
    <n v="500000"/>
    <s v="NONE"/>
    <n v="0"/>
    <n v="10000"/>
    <n v="510000"/>
    <s v="E-Wallet"/>
    <s v="AnterAja"/>
    <x v="0"/>
    <x v="4"/>
    <s v="Yes"/>
    <n v="500000"/>
    <x v="44"/>
    <x v="4"/>
    <x v="4"/>
    <x v="14"/>
    <x v="1"/>
    <x v="7"/>
    <x v="0"/>
    <n v="500000"/>
  </r>
  <r>
    <x v="871"/>
    <d v="2025-02-21T00:00:00"/>
    <s v="CUST0163"/>
    <s v="P042"/>
    <n v="1"/>
    <n v="300000"/>
    <n v="300000"/>
    <s v="DISC10"/>
    <n v="30000"/>
    <n v="10000"/>
    <n v="280000"/>
    <s v="E-Wallet"/>
    <s v="JNE"/>
    <x v="0"/>
    <x v="4"/>
    <s v="Yes"/>
    <n v="270000"/>
    <x v="36"/>
    <x v="0"/>
    <x v="0"/>
    <x v="207"/>
    <x v="0"/>
    <x v="2"/>
    <x v="0"/>
    <n v="270000"/>
  </r>
  <r>
    <x v="872"/>
    <d v="2025-02-21T00:00:00"/>
    <s v="CUST0280"/>
    <s v="P008"/>
    <n v="1"/>
    <n v="150000"/>
    <n v="150000"/>
    <s v="DISC15"/>
    <n v="22500"/>
    <n v="25000"/>
    <n v="152500"/>
    <s v="Bank Transfer"/>
    <s v="SiCepat"/>
    <x v="0"/>
    <x v="4"/>
    <s v="Yes"/>
    <n v="127500"/>
    <x v="18"/>
    <x v="1"/>
    <x v="1"/>
    <x v="164"/>
    <x v="0"/>
    <x v="4"/>
    <x v="0"/>
    <n v="127500"/>
  </r>
  <r>
    <x v="873"/>
    <d v="2025-02-20T00:00:00"/>
    <s v="CUST0038"/>
    <s v="P020"/>
    <n v="1"/>
    <n v="75000"/>
    <n v="75000"/>
    <s v="NONE"/>
    <n v="0"/>
    <n v="25000"/>
    <n v="100000"/>
    <s v="Bank Transfer"/>
    <s v="SiCepat"/>
    <x v="2"/>
    <x v="4"/>
    <s v="No"/>
    <n v="75000"/>
    <x v="6"/>
    <x v="1"/>
    <x v="1"/>
    <x v="170"/>
    <x v="0"/>
    <x v="7"/>
    <x v="0"/>
    <n v="0"/>
  </r>
  <r>
    <x v="874"/>
    <d v="2025-02-20T00:00:00"/>
    <s v="CUST0267"/>
    <s v="P057"/>
    <n v="4"/>
    <n v="500000"/>
    <n v="2000000"/>
    <s v="NONE"/>
    <n v="0"/>
    <n v="30000"/>
    <n v="2030000"/>
    <s v="E-Wallet"/>
    <s v="J&amp;T"/>
    <x v="0"/>
    <x v="4"/>
    <s v="Yes"/>
    <n v="2000000"/>
    <x v="44"/>
    <x v="4"/>
    <x v="4"/>
    <x v="247"/>
    <x v="1"/>
    <x v="1"/>
    <x v="0"/>
    <n v="2000000"/>
  </r>
  <r>
    <x v="875"/>
    <d v="2025-02-20T00:00:00"/>
    <s v="CUST0242"/>
    <s v="P038"/>
    <n v="1"/>
    <n v="35000"/>
    <n v="35000"/>
    <s v="NONE"/>
    <n v="0"/>
    <n v="10000"/>
    <n v="45000"/>
    <s v="COD"/>
    <s v="AnterAja"/>
    <x v="0"/>
    <x v="4"/>
    <s v="Yes"/>
    <n v="35000"/>
    <x v="46"/>
    <x v="1"/>
    <x v="1"/>
    <x v="49"/>
    <x v="1"/>
    <x v="4"/>
    <x v="0"/>
    <n v="35000"/>
  </r>
  <r>
    <x v="876"/>
    <d v="2025-02-20T00:00:00"/>
    <s v="CUST0074"/>
    <s v="P043"/>
    <n v="1"/>
    <n v="50000"/>
    <n v="50000"/>
    <s v="NONE"/>
    <n v="0"/>
    <n v="20000"/>
    <n v="70000"/>
    <s v="E-Wallet"/>
    <s v="JNE"/>
    <x v="0"/>
    <x v="4"/>
    <s v="Yes"/>
    <n v="50000"/>
    <x v="25"/>
    <x v="2"/>
    <x v="2"/>
    <x v="262"/>
    <x v="1"/>
    <x v="8"/>
    <x v="0"/>
    <n v="50000"/>
  </r>
  <r>
    <x v="877"/>
    <d v="2025-02-20T00:00:00"/>
    <s v="CUST0104"/>
    <s v="P038"/>
    <n v="1"/>
    <n v="35000"/>
    <n v="35000"/>
    <s v="NONE"/>
    <n v="0"/>
    <n v="15000"/>
    <n v="50000"/>
    <s v="E-Wallet"/>
    <s v="J&amp;T"/>
    <x v="0"/>
    <x v="4"/>
    <s v="Yes"/>
    <n v="35000"/>
    <x v="46"/>
    <x v="1"/>
    <x v="1"/>
    <x v="62"/>
    <x v="0"/>
    <x v="0"/>
    <x v="1"/>
    <n v="35000"/>
  </r>
  <r>
    <x v="878"/>
    <d v="2025-02-20T00:00:00"/>
    <s v="CUST0335"/>
    <s v="P031"/>
    <n v="3"/>
    <n v="150000"/>
    <n v="450000"/>
    <s v="DISC15"/>
    <n v="67500"/>
    <n v="30000"/>
    <n v="412500"/>
    <s v="Credit Card"/>
    <s v="SiCepat"/>
    <x v="4"/>
    <x v="4"/>
    <s v="No"/>
    <n v="382500"/>
    <x v="20"/>
    <x v="2"/>
    <x v="2"/>
    <x v="68"/>
    <x v="1"/>
    <x v="1"/>
    <x v="0"/>
    <n v="0"/>
  </r>
  <r>
    <x v="879"/>
    <d v="2025-02-19T00:00:00"/>
    <s v="CUST0270"/>
    <s v="P047"/>
    <n v="2"/>
    <n v="500000"/>
    <n v="1000000"/>
    <s v="DISC15"/>
    <n v="150000"/>
    <n v="30000"/>
    <n v="880000"/>
    <s v="Credit Card"/>
    <s v="AnterAja"/>
    <x v="0"/>
    <x v="4"/>
    <s v="Yes"/>
    <n v="850000"/>
    <x v="49"/>
    <x v="5"/>
    <x v="5"/>
    <x v="206"/>
    <x v="0"/>
    <x v="4"/>
    <x v="0"/>
    <n v="850000"/>
  </r>
  <r>
    <x v="880"/>
    <d v="2025-02-19T00:00:00"/>
    <s v="CUST0095"/>
    <s v="P015"/>
    <n v="1"/>
    <n v="500000"/>
    <n v="500000"/>
    <s v="DISC10"/>
    <n v="50000"/>
    <n v="30000"/>
    <n v="480000"/>
    <s v="E-Wallet"/>
    <s v="J&amp;T"/>
    <x v="0"/>
    <x v="4"/>
    <s v="Yes"/>
    <n v="450000"/>
    <x v="19"/>
    <x v="4"/>
    <x v="4"/>
    <x v="259"/>
    <x v="1"/>
    <x v="5"/>
    <x v="1"/>
    <n v="450000"/>
  </r>
  <r>
    <x v="881"/>
    <d v="2025-02-19T00:00:00"/>
    <s v="CUST0262"/>
    <s v="P059"/>
    <n v="2"/>
    <n v="75000"/>
    <n v="150000"/>
    <s v="NEWUSER"/>
    <n v="15000"/>
    <n v="30000"/>
    <n v="165000"/>
    <s v="E-Wallet"/>
    <s v="JNE"/>
    <x v="0"/>
    <x v="4"/>
    <s v="Yes"/>
    <n v="135000"/>
    <x v="16"/>
    <x v="5"/>
    <x v="5"/>
    <x v="315"/>
    <x v="1"/>
    <x v="1"/>
    <x v="1"/>
    <n v="135000"/>
  </r>
  <r>
    <x v="882"/>
    <d v="2025-02-19T00:00:00"/>
    <s v="CUST0230"/>
    <s v="P027"/>
    <n v="2"/>
    <n v="200000"/>
    <n v="400000"/>
    <s v="NONE"/>
    <n v="0"/>
    <n v="10000"/>
    <n v="410000"/>
    <s v="Bank Transfer"/>
    <s v="AnterAja"/>
    <x v="0"/>
    <x v="4"/>
    <s v="Yes"/>
    <n v="400000"/>
    <x v="51"/>
    <x v="4"/>
    <x v="4"/>
    <x v="243"/>
    <x v="0"/>
    <x v="9"/>
    <x v="2"/>
    <n v="400000"/>
  </r>
  <r>
    <x v="883"/>
    <d v="2025-02-19T00:00:00"/>
    <s v="CUST0012"/>
    <s v="P025"/>
    <n v="1"/>
    <n v="100000"/>
    <n v="100000"/>
    <s v="NONE"/>
    <n v="0"/>
    <n v="10000"/>
    <n v="110000"/>
    <s v="Credit Card"/>
    <s v="J&amp;T"/>
    <x v="2"/>
    <x v="4"/>
    <s v="No"/>
    <n v="100000"/>
    <x v="53"/>
    <x v="2"/>
    <x v="2"/>
    <x v="197"/>
    <x v="0"/>
    <x v="8"/>
    <x v="1"/>
    <n v="0"/>
  </r>
  <r>
    <x v="884"/>
    <d v="2025-02-19T00:00:00"/>
    <s v="CUST0071"/>
    <s v="P015"/>
    <n v="1"/>
    <n v="500000"/>
    <n v="500000"/>
    <s v="NONE"/>
    <n v="0"/>
    <n v="15000"/>
    <n v="515000"/>
    <s v="E-Wallet"/>
    <s v="J&amp;T"/>
    <x v="0"/>
    <x v="4"/>
    <s v="Yes"/>
    <n v="500000"/>
    <x v="19"/>
    <x v="4"/>
    <x v="4"/>
    <x v="117"/>
    <x v="0"/>
    <x v="2"/>
    <x v="1"/>
    <n v="500000"/>
  </r>
  <r>
    <x v="885"/>
    <d v="2025-02-18T00:00:00"/>
    <s v="CUST0286"/>
    <s v="P016"/>
    <n v="1"/>
    <n v="150000"/>
    <n v="150000"/>
    <s v="DISC10"/>
    <n v="15000"/>
    <n v="25000"/>
    <n v="160000"/>
    <s v="Credit Card"/>
    <s v="SiCepat"/>
    <x v="0"/>
    <x v="4"/>
    <s v="Yes"/>
    <n v="135000"/>
    <x v="8"/>
    <x v="3"/>
    <x v="3"/>
    <x v="76"/>
    <x v="1"/>
    <x v="0"/>
    <x v="0"/>
    <n v="135000"/>
  </r>
  <r>
    <x v="886"/>
    <d v="2025-02-18T00:00:00"/>
    <s v="CUST0042"/>
    <s v="P038"/>
    <n v="1"/>
    <n v="35000"/>
    <n v="35000"/>
    <s v="DISC10"/>
    <n v="3500"/>
    <n v="20000"/>
    <n v="51500"/>
    <s v="Credit Card"/>
    <s v="J&amp;T"/>
    <x v="0"/>
    <x v="4"/>
    <s v="Yes"/>
    <n v="31500"/>
    <x v="46"/>
    <x v="1"/>
    <x v="1"/>
    <x v="73"/>
    <x v="0"/>
    <x v="1"/>
    <x v="1"/>
    <n v="31500"/>
  </r>
  <r>
    <x v="887"/>
    <d v="2025-02-18T00:00:00"/>
    <s v="CUST0316"/>
    <s v="P002"/>
    <n v="2"/>
    <n v="100000"/>
    <n v="200000"/>
    <s v="NONE"/>
    <n v="0"/>
    <n v="15000"/>
    <n v="215000"/>
    <s v="Bank Transfer"/>
    <s v="JNE"/>
    <x v="1"/>
    <x v="4"/>
    <s v="No"/>
    <n v="200000"/>
    <x v="38"/>
    <x v="1"/>
    <x v="1"/>
    <x v="183"/>
    <x v="0"/>
    <x v="5"/>
    <x v="1"/>
    <n v="0"/>
  </r>
  <r>
    <x v="888"/>
    <d v="2025-02-18T00:00:00"/>
    <s v="CUST0074"/>
    <s v="P005"/>
    <n v="2"/>
    <n v="75000"/>
    <n v="150000"/>
    <s v="FLASHSALE"/>
    <n v="30000"/>
    <n v="20000"/>
    <n v="140000"/>
    <s v="Bank Transfer"/>
    <s v="SiCepat"/>
    <x v="0"/>
    <x v="4"/>
    <s v="Yes"/>
    <n v="120000"/>
    <x v="12"/>
    <x v="5"/>
    <x v="5"/>
    <x v="262"/>
    <x v="1"/>
    <x v="8"/>
    <x v="0"/>
    <n v="120000"/>
  </r>
  <r>
    <x v="889"/>
    <d v="2025-02-18T00:00:00"/>
    <s v="CUST0120"/>
    <s v="P044"/>
    <n v="2"/>
    <n v="500000"/>
    <n v="1000000"/>
    <s v="NONE"/>
    <n v="0"/>
    <n v="15000"/>
    <n v="1015000"/>
    <s v="E-Wallet"/>
    <s v="SiCepat"/>
    <x v="1"/>
    <x v="4"/>
    <s v="No"/>
    <n v="1000000"/>
    <x v="47"/>
    <x v="1"/>
    <x v="1"/>
    <x v="278"/>
    <x v="1"/>
    <x v="4"/>
    <x v="1"/>
    <n v="0"/>
  </r>
  <r>
    <x v="890"/>
    <d v="2025-02-18T00:00:00"/>
    <s v="CUST0144"/>
    <s v="P002"/>
    <n v="2"/>
    <n v="100000"/>
    <n v="200000"/>
    <s v="DISC15"/>
    <n v="30000"/>
    <n v="30000"/>
    <n v="200000"/>
    <s v="E-Wallet"/>
    <s v="AnterAja"/>
    <x v="0"/>
    <x v="4"/>
    <s v="Yes"/>
    <n v="170000"/>
    <x v="38"/>
    <x v="1"/>
    <x v="1"/>
    <x v="238"/>
    <x v="1"/>
    <x v="6"/>
    <x v="1"/>
    <n v="170000"/>
  </r>
  <r>
    <x v="891"/>
    <d v="2025-02-18T00:00:00"/>
    <s v="CUST0286"/>
    <s v="P008"/>
    <n v="4"/>
    <n v="150000"/>
    <n v="600000"/>
    <s v="DISC15"/>
    <n v="90000"/>
    <n v="25000"/>
    <n v="535000"/>
    <s v="Bank Transfer"/>
    <s v="JNE"/>
    <x v="0"/>
    <x v="4"/>
    <s v="Yes"/>
    <n v="510000"/>
    <x v="18"/>
    <x v="1"/>
    <x v="1"/>
    <x v="76"/>
    <x v="1"/>
    <x v="0"/>
    <x v="0"/>
    <n v="510000"/>
  </r>
  <r>
    <x v="892"/>
    <d v="2025-02-18T00:00:00"/>
    <s v="CUST0164"/>
    <s v="P021"/>
    <n v="2"/>
    <n v="200000"/>
    <n v="400000"/>
    <s v="NONE"/>
    <n v="0"/>
    <n v="10000"/>
    <n v="410000"/>
    <s v="E-Wallet"/>
    <s v="SiCepat"/>
    <x v="4"/>
    <x v="4"/>
    <s v="No"/>
    <n v="400000"/>
    <x v="32"/>
    <x v="4"/>
    <x v="4"/>
    <x v="172"/>
    <x v="0"/>
    <x v="1"/>
    <x v="1"/>
    <n v="0"/>
  </r>
  <r>
    <x v="893"/>
    <d v="2025-02-18T00:00:00"/>
    <s v="CUST0201"/>
    <s v="P052"/>
    <n v="1"/>
    <n v="200000"/>
    <n v="200000"/>
    <s v="NONE"/>
    <n v="0"/>
    <n v="30000"/>
    <n v="230000"/>
    <s v="Bank Transfer"/>
    <s v="SiCepat"/>
    <x v="2"/>
    <x v="4"/>
    <s v="No"/>
    <n v="200000"/>
    <x v="56"/>
    <x v="3"/>
    <x v="3"/>
    <x v="107"/>
    <x v="1"/>
    <x v="2"/>
    <x v="0"/>
    <n v="0"/>
  </r>
  <r>
    <x v="894"/>
    <d v="2025-02-18T00:00:00"/>
    <s v="CUST0063"/>
    <s v="P055"/>
    <n v="4"/>
    <n v="300000"/>
    <n v="1200000"/>
    <s v="DISC15"/>
    <n v="180000"/>
    <n v="20000"/>
    <n v="1040000"/>
    <s v="Credit Card"/>
    <s v="SiCepat"/>
    <x v="2"/>
    <x v="4"/>
    <s v="No"/>
    <n v="1020000"/>
    <x v="9"/>
    <x v="2"/>
    <x v="2"/>
    <x v="35"/>
    <x v="0"/>
    <x v="9"/>
    <x v="1"/>
    <n v="0"/>
  </r>
  <r>
    <x v="895"/>
    <d v="2025-02-18T00:00:00"/>
    <s v="CUST0169"/>
    <s v="P052"/>
    <n v="2"/>
    <n v="200000"/>
    <n v="400000"/>
    <s v="NONE"/>
    <n v="0"/>
    <n v="25000"/>
    <n v="425000"/>
    <s v="Bank Transfer"/>
    <s v="JNE"/>
    <x v="1"/>
    <x v="4"/>
    <s v="No"/>
    <n v="400000"/>
    <x v="56"/>
    <x v="3"/>
    <x v="3"/>
    <x v="108"/>
    <x v="1"/>
    <x v="4"/>
    <x v="1"/>
    <n v="0"/>
  </r>
  <r>
    <x v="896"/>
    <d v="2025-02-17T00:00:00"/>
    <s v="CUST0108"/>
    <s v="P044"/>
    <n v="2"/>
    <n v="500000"/>
    <n v="1000000"/>
    <s v="DISC10"/>
    <n v="100000"/>
    <n v="20000"/>
    <n v="920000"/>
    <s v="E-Wallet"/>
    <s v="J&amp;T"/>
    <x v="1"/>
    <x v="4"/>
    <s v="No"/>
    <n v="900000"/>
    <x v="47"/>
    <x v="1"/>
    <x v="1"/>
    <x v="66"/>
    <x v="1"/>
    <x v="0"/>
    <x v="1"/>
    <n v="0"/>
  </r>
  <r>
    <x v="897"/>
    <d v="2025-02-17T00:00:00"/>
    <s v="CUST0329"/>
    <s v="P008"/>
    <n v="2"/>
    <n v="150000"/>
    <n v="300000"/>
    <s v="NEWUSER"/>
    <n v="30000"/>
    <n v="20000"/>
    <n v="290000"/>
    <s v="Credit Card"/>
    <s v="JNE"/>
    <x v="0"/>
    <x v="4"/>
    <s v="Yes"/>
    <n v="270000"/>
    <x v="18"/>
    <x v="1"/>
    <x v="1"/>
    <x v="290"/>
    <x v="1"/>
    <x v="0"/>
    <x v="2"/>
    <n v="270000"/>
  </r>
  <r>
    <x v="898"/>
    <d v="2025-02-17T00:00:00"/>
    <s v="CUST0069"/>
    <s v="P041"/>
    <n v="1"/>
    <n v="75000"/>
    <n v="75000"/>
    <s v="NONE"/>
    <n v="0"/>
    <n v="10000"/>
    <n v="85000"/>
    <s v="Bank Transfer"/>
    <s v="AnterAja"/>
    <x v="0"/>
    <x v="4"/>
    <s v="Yes"/>
    <n v="75000"/>
    <x v="15"/>
    <x v="5"/>
    <x v="5"/>
    <x v="118"/>
    <x v="0"/>
    <x v="2"/>
    <x v="2"/>
    <n v="75000"/>
  </r>
  <r>
    <x v="899"/>
    <d v="2025-02-17T00:00:00"/>
    <s v="CUST0160"/>
    <s v="P058"/>
    <n v="1"/>
    <n v="35000"/>
    <n v="35000"/>
    <s v="DISC10"/>
    <n v="3500"/>
    <n v="15000"/>
    <n v="46500"/>
    <s v="Credit Card"/>
    <s v="JNE"/>
    <x v="0"/>
    <x v="4"/>
    <s v="Yes"/>
    <n v="31500"/>
    <x v="24"/>
    <x v="3"/>
    <x v="3"/>
    <x v="319"/>
    <x v="1"/>
    <x v="7"/>
    <x v="2"/>
    <n v="31500"/>
  </r>
  <r>
    <x v="900"/>
    <d v="2025-02-17T00:00:00"/>
    <s v="CUST0018"/>
    <s v="P016"/>
    <n v="4"/>
    <n v="150000"/>
    <n v="600000"/>
    <s v="NONE"/>
    <n v="0"/>
    <n v="30000"/>
    <n v="630000"/>
    <s v="E-Wallet"/>
    <s v="AnterAja"/>
    <x v="2"/>
    <x v="4"/>
    <s v="No"/>
    <n v="600000"/>
    <x v="8"/>
    <x v="3"/>
    <x v="3"/>
    <x v="317"/>
    <x v="0"/>
    <x v="9"/>
    <x v="0"/>
    <n v="0"/>
  </r>
  <r>
    <x v="901"/>
    <d v="2025-02-17T00:00:00"/>
    <s v="CUST0130"/>
    <s v="P020"/>
    <n v="2"/>
    <n v="75000"/>
    <n v="150000"/>
    <s v="DISC15"/>
    <n v="22500"/>
    <n v="25000"/>
    <n v="152500"/>
    <s v="Credit Card"/>
    <s v="AnterAja"/>
    <x v="2"/>
    <x v="4"/>
    <s v="No"/>
    <n v="127500"/>
    <x v="6"/>
    <x v="1"/>
    <x v="1"/>
    <x v="300"/>
    <x v="0"/>
    <x v="4"/>
    <x v="2"/>
    <n v="0"/>
  </r>
  <r>
    <x v="902"/>
    <d v="2025-02-17T00:00:00"/>
    <s v="CUST0298"/>
    <s v="P027"/>
    <n v="1"/>
    <n v="200000"/>
    <n v="200000"/>
    <s v="FLASHSALE"/>
    <n v="40000"/>
    <n v="10000"/>
    <n v="170000"/>
    <s v="Credit Card"/>
    <s v="AnterAja"/>
    <x v="0"/>
    <x v="4"/>
    <s v="Yes"/>
    <n v="160000"/>
    <x v="51"/>
    <x v="4"/>
    <x v="4"/>
    <x v="293"/>
    <x v="0"/>
    <x v="9"/>
    <x v="1"/>
    <n v="160000"/>
  </r>
  <r>
    <x v="903"/>
    <d v="2025-02-17T00:00:00"/>
    <s v="CUST0240"/>
    <s v="P027"/>
    <n v="2"/>
    <n v="200000"/>
    <n v="400000"/>
    <s v="NONE"/>
    <n v="0"/>
    <n v="10000"/>
    <n v="410000"/>
    <s v="COD"/>
    <s v="SiCepat"/>
    <x v="1"/>
    <x v="4"/>
    <s v="No"/>
    <n v="400000"/>
    <x v="51"/>
    <x v="4"/>
    <x v="4"/>
    <x v="320"/>
    <x v="0"/>
    <x v="1"/>
    <x v="0"/>
    <n v="0"/>
  </r>
  <r>
    <x v="904"/>
    <d v="2025-02-17T00:00:00"/>
    <s v="CUST0276"/>
    <s v="P045"/>
    <n v="1"/>
    <n v="100000"/>
    <n v="100000"/>
    <s v="DISC15"/>
    <n v="15000"/>
    <n v="10000"/>
    <n v="95000"/>
    <s v="Bank Transfer"/>
    <s v="JNE"/>
    <x v="2"/>
    <x v="4"/>
    <s v="No"/>
    <n v="85000"/>
    <x v="10"/>
    <x v="4"/>
    <x v="4"/>
    <x v="141"/>
    <x v="0"/>
    <x v="4"/>
    <x v="1"/>
    <n v="0"/>
  </r>
  <r>
    <x v="905"/>
    <d v="2025-02-17T00:00:00"/>
    <s v="CUST0233"/>
    <s v="P007"/>
    <n v="2"/>
    <n v="150000"/>
    <n v="300000"/>
    <s v="NONE"/>
    <n v="0"/>
    <n v="30000"/>
    <n v="330000"/>
    <s v="Bank Transfer"/>
    <s v="SiCepat"/>
    <x v="0"/>
    <x v="4"/>
    <s v="Yes"/>
    <n v="300000"/>
    <x v="52"/>
    <x v="2"/>
    <x v="2"/>
    <x v="321"/>
    <x v="1"/>
    <x v="3"/>
    <x v="1"/>
    <n v="300000"/>
  </r>
  <r>
    <x v="906"/>
    <d v="2025-02-16T00:00:00"/>
    <s v="CUST0313"/>
    <s v="P060"/>
    <n v="3"/>
    <n v="150000"/>
    <n v="450000"/>
    <s v="DISC10"/>
    <n v="45000"/>
    <n v="20000"/>
    <n v="425000"/>
    <s v="E-Wallet"/>
    <s v="AnterAja"/>
    <x v="0"/>
    <x v="4"/>
    <s v="Yes"/>
    <n v="405000"/>
    <x v="0"/>
    <x v="0"/>
    <x v="0"/>
    <x v="121"/>
    <x v="0"/>
    <x v="3"/>
    <x v="0"/>
    <n v="405000"/>
  </r>
  <r>
    <x v="907"/>
    <d v="2025-02-16T00:00:00"/>
    <s v="CUST0091"/>
    <s v="P018"/>
    <n v="2"/>
    <n v="500000"/>
    <n v="1000000"/>
    <s v="DISC15"/>
    <n v="150000"/>
    <n v="15000"/>
    <n v="865000"/>
    <s v="E-Wallet"/>
    <s v="SiCepat"/>
    <x v="1"/>
    <x v="4"/>
    <s v="No"/>
    <n v="850000"/>
    <x v="1"/>
    <x v="0"/>
    <x v="0"/>
    <x v="303"/>
    <x v="1"/>
    <x v="9"/>
    <x v="1"/>
    <n v="0"/>
  </r>
  <r>
    <x v="908"/>
    <d v="2025-02-16T00:00:00"/>
    <s v="CUST0181"/>
    <s v="P042"/>
    <n v="4"/>
    <n v="300000"/>
    <n v="1200000"/>
    <s v="NONE"/>
    <n v="0"/>
    <n v="20000"/>
    <n v="1220000"/>
    <s v="COD"/>
    <s v="AnterAja"/>
    <x v="0"/>
    <x v="4"/>
    <s v="Yes"/>
    <n v="1200000"/>
    <x v="36"/>
    <x v="0"/>
    <x v="0"/>
    <x v="195"/>
    <x v="0"/>
    <x v="8"/>
    <x v="1"/>
    <n v="1200000"/>
  </r>
  <r>
    <x v="909"/>
    <d v="2025-02-16T00:00:00"/>
    <s v="CUST0095"/>
    <s v="P031"/>
    <n v="2"/>
    <n v="150000"/>
    <n v="300000"/>
    <s v="NONE"/>
    <n v="0"/>
    <n v="25000"/>
    <n v="325000"/>
    <s v="COD"/>
    <s v="JNE"/>
    <x v="1"/>
    <x v="4"/>
    <s v="No"/>
    <n v="300000"/>
    <x v="20"/>
    <x v="2"/>
    <x v="2"/>
    <x v="259"/>
    <x v="1"/>
    <x v="5"/>
    <x v="1"/>
    <n v="0"/>
  </r>
  <r>
    <x v="910"/>
    <d v="2025-02-15T00:00:00"/>
    <s v="CUST0019"/>
    <s v="P004"/>
    <n v="1"/>
    <n v="300000"/>
    <n v="300000"/>
    <s v="NONE"/>
    <n v="0"/>
    <n v="30000"/>
    <n v="330000"/>
    <s v="COD"/>
    <s v="JNE"/>
    <x v="0"/>
    <x v="4"/>
    <s v="Yes"/>
    <n v="300000"/>
    <x v="22"/>
    <x v="3"/>
    <x v="3"/>
    <x v="322"/>
    <x v="1"/>
    <x v="4"/>
    <x v="0"/>
    <n v="300000"/>
  </r>
  <r>
    <x v="911"/>
    <d v="2025-02-15T00:00:00"/>
    <s v="CUST0106"/>
    <s v="P032"/>
    <n v="3"/>
    <n v="35000"/>
    <n v="105000"/>
    <s v="DISC15"/>
    <n v="15750"/>
    <n v="15000"/>
    <n v="104250"/>
    <s v="Bank Transfer"/>
    <s v="J&amp;T"/>
    <x v="3"/>
    <x v="4"/>
    <s v="No"/>
    <n v="89250"/>
    <x v="29"/>
    <x v="1"/>
    <x v="1"/>
    <x v="15"/>
    <x v="1"/>
    <x v="7"/>
    <x v="0"/>
    <n v="0"/>
  </r>
  <r>
    <x v="912"/>
    <d v="2025-02-15T00:00:00"/>
    <s v="CUST0334"/>
    <s v="P013"/>
    <n v="1"/>
    <n v="75000"/>
    <n v="75000"/>
    <s v="NONE"/>
    <n v="0"/>
    <n v="10000"/>
    <n v="85000"/>
    <s v="Bank Transfer"/>
    <s v="JNE"/>
    <x v="0"/>
    <x v="4"/>
    <s v="Yes"/>
    <n v="75000"/>
    <x v="50"/>
    <x v="2"/>
    <x v="2"/>
    <x v="208"/>
    <x v="0"/>
    <x v="0"/>
    <x v="1"/>
    <n v="75000"/>
  </r>
  <r>
    <x v="913"/>
    <d v="2025-02-15T00:00:00"/>
    <s v="CUST0278"/>
    <s v="P011"/>
    <n v="4"/>
    <n v="75000"/>
    <n v="300000"/>
    <s v="DISC10"/>
    <n v="30000"/>
    <n v="30000"/>
    <n v="300000"/>
    <s v="Credit Card"/>
    <s v="J&amp;T"/>
    <x v="0"/>
    <x v="4"/>
    <s v="Yes"/>
    <n v="270000"/>
    <x v="57"/>
    <x v="5"/>
    <x v="5"/>
    <x v="161"/>
    <x v="1"/>
    <x v="1"/>
    <x v="0"/>
    <n v="270000"/>
  </r>
  <r>
    <x v="914"/>
    <d v="2025-02-15T00:00:00"/>
    <s v="CUST0064"/>
    <s v="P038"/>
    <n v="3"/>
    <n v="35000"/>
    <n v="105000"/>
    <s v="NONE"/>
    <n v="0"/>
    <n v="10000"/>
    <n v="115000"/>
    <s v="E-Wallet"/>
    <s v="SiCepat"/>
    <x v="0"/>
    <x v="4"/>
    <s v="Yes"/>
    <n v="105000"/>
    <x v="46"/>
    <x v="1"/>
    <x v="1"/>
    <x v="61"/>
    <x v="1"/>
    <x v="9"/>
    <x v="0"/>
    <n v="105000"/>
  </r>
  <r>
    <x v="915"/>
    <d v="2025-02-15T00:00:00"/>
    <s v="CUST0086"/>
    <s v="P013"/>
    <n v="2"/>
    <n v="75000"/>
    <n v="150000"/>
    <s v="NONE"/>
    <n v="0"/>
    <n v="25000"/>
    <n v="175000"/>
    <s v="E-Wallet"/>
    <s v="JNE"/>
    <x v="0"/>
    <x v="4"/>
    <s v="Yes"/>
    <n v="150000"/>
    <x v="50"/>
    <x v="2"/>
    <x v="2"/>
    <x v="19"/>
    <x v="1"/>
    <x v="4"/>
    <x v="0"/>
    <n v="150000"/>
  </r>
  <r>
    <x v="916"/>
    <d v="2025-02-15T00:00:00"/>
    <s v="CUST0014"/>
    <s v="P021"/>
    <n v="4"/>
    <n v="200000"/>
    <n v="800000"/>
    <s v="NONE"/>
    <n v="0"/>
    <n v="20000"/>
    <n v="820000"/>
    <s v="E-Wallet"/>
    <s v="JNE"/>
    <x v="0"/>
    <x v="4"/>
    <s v="Yes"/>
    <n v="800000"/>
    <x v="32"/>
    <x v="4"/>
    <x v="4"/>
    <x v="323"/>
    <x v="0"/>
    <x v="8"/>
    <x v="2"/>
    <n v="800000"/>
  </r>
  <r>
    <x v="917"/>
    <d v="2025-02-14T00:00:00"/>
    <s v="CUST0339"/>
    <s v="P011"/>
    <n v="2"/>
    <n v="75000"/>
    <n v="150000"/>
    <s v="NONE"/>
    <n v="0"/>
    <n v="20000"/>
    <n v="170000"/>
    <s v="Credit Card"/>
    <s v="SiCepat"/>
    <x v="1"/>
    <x v="4"/>
    <s v="No"/>
    <n v="150000"/>
    <x v="57"/>
    <x v="5"/>
    <x v="5"/>
    <x v="324"/>
    <x v="0"/>
    <x v="3"/>
    <x v="1"/>
    <n v="0"/>
  </r>
  <r>
    <x v="918"/>
    <d v="2025-02-14T00:00:00"/>
    <s v="CUST0106"/>
    <s v="P009"/>
    <n v="3"/>
    <n v="300000"/>
    <n v="900000"/>
    <s v="DISC10"/>
    <n v="90000"/>
    <n v="20000"/>
    <n v="830000"/>
    <s v="Bank Transfer"/>
    <s v="AnterAja"/>
    <x v="2"/>
    <x v="4"/>
    <s v="No"/>
    <n v="810000"/>
    <x v="45"/>
    <x v="4"/>
    <x v="4"/>
    <x v="15"/>
    <x v="1"/>
    <x v="7"/>
    <x v="0"/>
    <n v="0"/>
  </r>
  <r>
    <x v="919"/>
    <d v="2025-02-14T00:00:00"/>
    <s v="CUST0077"/>
    <s v="P060"/>
    <n v="1"/>
    <n v="150000"/>
    <n v="150000"/>
    <s v="DISC15"/>
    <n v="22500"/>
    <n v="30000"/>
    <n v="157500"/>
    <s v="E-Wallet"/>
    <s v="SiCepat"/>
    <x v="0"/>
    <x v="4"/>
    <s v="Yes"/>
    <n v="127500"/>
    <x v="0"/>
    <x v="0"/>
    <x v="0"/>
    <x v="325"/>
    <x v="1"/>
    <x v="4"/>
    <x v="1"/>
    <n v="127500"/>
  </r>
  <r>
    <x v="920"/>
    <d v="2025-02-13T00:00:00"/>
    <s v="CUST0303"/>
    <s v="P053"/>
    <n v="1"/>
    <n v="75000"/>
    <n v="75000"/>
    <s v="NEWUSER"/>
    <n v="7500"/>
    <n v="10000"/>
    <n v="77500"/>
    <s v="E-Wallet"/>
    <s v="AnterAja"/>
    <x v="0"/>
    <x v="4"/>
    <s v="Yes"/>
    <n v="67500"/>
    <x v="27"/>
    <x v="5"/>
    <x v="5"/>
    <x v="291"/>
    <x v="1"/>
    <x v="4"/>
    <x v="1"/>
    <n v="67500"/>
  </r>
  <r>
    <x v="921"/>
    <d v="2025-02-13T00:00:00"/>
    <s v="CUST0227"/>
    <s v="P011"/>
    <n v="1"/>
    <n v="75000"/>
    <n v="75000"/>
    <s v="DISC15"/>
    <n v="11250"/>
    <n v="10000"/>
    <n v="73750"/>
    <s v="E-Wallet"/>
    <s v="AnterAja"/>
    <x v="0"/>
    <x v="4"/>
    <s v="Yes"/>
    <n v="63750"/>
    <x v="57"/>
    <x v="5"/>
    <x v="5"/>
    <x v="125"/>
    <x v="1"/>
    <x v="2"/>
    <x v="1"/>
    <n v="63750"/>
  </r>
  <r>
    <x v="922"/>
    <d v="2025-02-13T00:00:00"/>
    <s v="CUST0133"/>
    <s v="P055"/>
    <n v="2"/>
    <n v="300000"/>
    <n v="600000"/>
    <s v="NEWUSER"/>
    <n v="60000"/>
    <n v="20000"/>
    <n v="560000"/>
    <s v="Credit Card"/>
    <s v="SiCepat"/>
    <x v="2"/>
    <x v="4"/>
    <s v="No"/>
    <n v="540000"/>
    <x v="9"/>
    <x v="2"/>
    <x v="2"/>
    <x v="310"/>
    <x v="1"/>
    <x v="2"/>
    <x v="0"/>
    <n v="0"/>
  </r>
  <r>
    <x v="923"/>
    <d v="2025-02-13T00:00:00"/>
    <s v="CUST0170"/>
    <s v="P040"/>
    <n v="1"/>
    <n v="75000"/>
    <n v="75000"/>
    <s v="NONE"/>
    <n v="0"/>
    <n v="15000"/>
    <n v="90000"/>
    <s v="Bank Transfer"/>
    <s v="J&amp;T"/>
    <x v="0"/>
    <x v="4"/>
    <s v="Yes"/>
    <n v="75000"/>
    <x v="28"/>
    <x v="3"/>
    <x v="3"/>
    <x v="2"/>
    <x v="1"/>
    <x v="2"/>
    <x v="1"/>
    <n v="75000"/>
  </r>
  <r>
    <x v="924"/>
    <d v="2025-02-13T00:00:00"/>
    <s v="CUST0165"/>
    <s v="P048"/>
    <n v="1"/>
    <n v="300000"/>
    <n v="300000"/>
    <s v="NONE"/>
    <n v="0"/>
    <n v="10000"/>
    <n v="310000"/>
    <s v="Credit Card"/>
    <s v="J&amp;T"/>
    <x v="1"/>
    <x v="4"/>
    <s v="No"/>
    <n v="300000"/>
    <x v="21"/>
    <x v="0"/>
    <x v="0"/>
    <x v="273"/>
    <x v="0"/>
    <x v="4"/>
    <x v="1"/>
    <n v="0"/>
  </r>
  <r>
    <x v="925"/>
    <d v="2025-02-12T00:00:00"/>
    <s v="CUST0126"/>
    <s v="P034"/>
    <n v="1"/>
    <n v="50000"/>
    <n v="50000"/>
    <s v="NONE"/>
    <n v="0"/>
    <n v="20000"/>
    <n v="70000"/>
    <s v="COD"/>
    <s v="SiCepat"/>
    <x v="0"/>
    <x v="4"/>
    <s v="Yes"/>
    <n v="50000"/>
    <x v="42"/>
    <x v="3"/>
    <x v="3"/>
    <x v="154"/>
    <x v="1"/>
    <x v="8"/>
    <x v="0"/>
    <n v="50000"/>
  </r>
  <r>
    <x v="926"/>
    <d v="2025-02-12T00:00:00"/>
    <s v="CUST0098"/>
    <s v="P055"/>
    <n v="1"/>
    <n v="300000"/>
    <n v="300000"/>
    <s v="DISC15"/>
    <n v="45000"/>
    <n v="20000"/>
    <n v="275000"/>
    <s v="E-Wallet"/>
    <s v="SiCepat"/>
    <x v="2"/>
    <x v="4"/>
    <s v="No"/>
    <n v="255000"/>
    <x v="9"/>
    <x v="2"/>
    <x v="2"/>
    <x v="326"/>
    <x v="0"/>
    <x v="3"/>
    <x v="1"/>
    <n v="0"/>
  </r>
  <r>
    <x v="927"/>
    <d v="2025-02-12T00:00:00"/>
    <s v="CUST0084"/>
    <s v="P003"/>
    <n v="4"/>
    <n v="150000"/>
    <n v="600000"/>
    <s v="DISC10"/>
    <n v="60000"/>
    <n v="15000"/>
    <n v="555000"/>
    <s v="COD"/>
    <s v="AnterAja"/>
    <x v="0"/>
    <x v="4"/>
    <s v="Yes"/>
    <n v="540000"/>
    <x v="37"/>
    <x v="4"/>
    <x v="4"/>
    <x v="297"/>
    <x v="0"/>
    <x v="9"/>
    <x v="1"/>
    <n v="540000"/>
  </r>
  <r>
    <x v="928"/>
    <d v="2025-02-12T00:00:00"/>
    <s v="CUST0208"/>
    <s v="P010"/>
    <n v="1"/>
    <n v="50000"/>
    <n v="50000"/>
    <s v="NONE"/>
    <n v="0"/>
    <n v="15000"/>
    <n v="65000"/>
    <s v="E-Wallet"/>
    <s v="J&amp;T"/>
    <x v="3"/>
    <x v="4"/>
    <s v="No"/>
    <n v="50000"/>
    <x v="13"/>
    <x v="3"/>
    <x v="3"/>
    <x v="289"/>
    <x v="0"/>
    <x v="2"/>
    <x v="1"/>
    <n v="0"/>
  </r>
  <r>
    <x v="929"/>
    <d v="2025-02-12T00:00:00"/>
    <s v="CUST0154"/>
    <s v="P007"/>
    <n v="3"/>
    <n v="150000"/>
    <n v="450000"/>
    <s v="DISC10"/>
    <n v="45000"/>
    <n v="10000"/>
    <n v="415000"/>
    <s v="Credit Card"/>
    <s v="JNE"/>
    <x v="0"/>
    <x v="4"/>
    <s v="Yes"/>
    <n v="405000"/>
    <x v="52"/>
    <x v="2"/>
    <x v="2"/>
    <x v="110"/>
    <x v="1"/>
    <x v="3"/>
    <x v="1"/>
    <n v="405000"/>
  </r>
  <r>
    <x v="930"/>
    <d v="2025-02-12T00:00:00"/>
    <s v="CUST0264"/>
    <s v="P052"/>
    <n v="1"/>
    <n v="200000"/>
    <n v="200000"/>
    <s v="DISC10"/>
    <n v="20000"/>
    <n v="30000"/>
    <n v="210000"/>
    <s v="COD"/>
    <s v="J&amp;T"/>
    <x v="0"/>
    <x v="4"/>
    <s v="Yes"/>
    <n v="180000"/>
    <x v="56"/>
    <x v="3"/>
    <x v="3"/>
    <x v="327"/>
    <x v="0"/>
    <x v="3"/>
    <x v="0"/>
    <n v="180000"/>
  </r>
  <r>
    <x v="931"/>
    <d v="2025-02-11T00:00:00"/>
    <s v="CUST0041"/>
    <s v="P038"/>
    <n v="1"/>
    <n v="35000"/>
    <n v="35000"/>
    <s v="DISC15"/>
    <n v="5250"/>
    <n v="30000"/>
    <n v="59750"/>
    <s v="Credit Card"/>
    <s v="J&amp;T"/>
    <x v="0"/>
    <x v="4"/>
    <s v="Yes"/>
    <n v="29750"/>
    <x v="46"/>
    <x v="1"/>
    <x v="1"/>
    <x v="299"/>
    <x v="1"/>
    <x v="8"/>
    <x v="1"/>
    <n v="29750"/>
  </r>
  <r>
    <x v="932"/>
    <d v="2025-02-11T00:00:00"/>
    <s v="CUST0316"/>
    <s v="P020"/>
    <n v="3"/>
    <n v="75000"/>
    <n v="225000"/>
    <s v="NONE"/>
    <n v="0"/>
    <n v="20000"/>
    <n v="245000"/>
    <s v="E-Wallet"/>
    <s v="SiCepat"/>
    <x v="2"/>
    <x v="4"/>
    <s v="No"/>
    <n v="225000"/>
    <x v="6"/>
    <x v="1"/>
    <x v="1"/>
    <x v="183"/>
    <x v="0"/>
    <x v="5"/>
    <x v="1"/>
    <n v="0"/>
  </r>
  <r>
    <x v="933"/>
    <d v="2025-02-11T00:00:00"/>
    <s v="CUST0275"/>
    <s v="P017"/>
    <n v="2"/>
    <n v="100000"/>
    <n v="200000"/>
    <s v="DISC15"/>
    <n v="30000"/>
    <n v="10000"/>
    <n v="180000"/>
    <s v="COD"/>
    <s v="SiCepat"/>
    <x v="2"/>
    <x v="4"/>
    <s v="No"/>
    <n v="170000"/>
    <x v="39"/>
    <x v="5"/>
    <x v="5"/>
    <x v="216"/>
    <x v="0"/>
    <x v="2"/>
    <x v="1"/>
    <n v="0"/>
  </r>
  <r>
    <x v="934"/>
    <d v="2025-02-11T00:00:00"/>
    <s v="CUST0315"/>
    <s v="P020"/>
    <n v="1"/>
    <n v="75000"/>
    <n v="75000"/>
    <s v="DISC15"/>
    <n v="11250"/>
    <n v="20000"/>
    <n v="83750"/>
    <s v="E-Wallet"/>
    <s v="SiCepat"/>
    <x v="0"/>
    <x v="4"/>
    <s v="Yes"/>
    <n v="63750"/>
    <x v="6"/>
    <x v="1"/>
    <x v="1"/>
    <x v="174"/>
    <x v="1"/>
    <x v="3"/>
    <x v="0"/>
    <n v="63750"/>
  </r>
  <r>
    <x v="935"/>
    <d v="2025-02-11T00:00:00"/>
    <s v="CUST0204"/>
    <s v="P049"/>
    <n v="2"/>
    <n v="200000"/>
    <n v="400000"/>
    <s v="NONE"/>
    <n v="0"/>
    <n v="25000"/>
    <n v="425000"/>
    <s v="Credit Card"/>
    <s v="J&amp;T"/>
    <x v="0"/>
    <x v="4"/>
    <s v="Yes"/>
    <n v="400000"/>
    <x v="17"/>
    <x v="2"/>
    <x v="2"/>
    <x v="82"/>
    <x v="1"/>
    <x v="5"/>
    <x v="1"/>
    <n v="400000"/>
  </r>
  <r>
    <x v="936"/>
    <d v="2025-02-11T00:00:00"/>
    <s v="CUST0013"/>
    <s v="P012"/>
    <n v="4"/>
    <n v="300000"/>
    <n v="1200000"/>
    <s v="NONE"/>
    <n v="0"/>
    <n v="30000"/>
    <n v="1230000"/>
    <s v="E-Wallet"/>
    <s v="AnterAja"/>
    <x v="0"/>
    <x v="4"/>
    <s v="Yes"/>
    <n v="1200000"/>
    <x v="40"/>
    <x v="0"/>
    <x v="0"/>
    <x v="198"/>
    <x v="1"/>
    <x v="7"/>
    <x v="2"/>
    <n v="1200000"/>
  </r>
  <r>
    <x v="937"/>
    <d v="2025-02-10T00:00:00"/>
    <s v="CUST0164"/>
    <s v="P037"/>
    <n v="2"/>
    <n v="100000"/>
    <n v="200000"/>
    <s v="FLASHSALE"/>
    <n v="40000"/>
    <n v="15000"/>
    <n v="175000"/>
    <s v="Credit Card"/>
    <s v="SiCepat"/>
    <x v="0"/>
    <x v="4"/>
    <s v="Yes"/>
    <n v="160000"/>
    <x v="4"/>
    <x v="2"/>
    <x v="2"/>
    <x v="172"/>
    <x v="0"/>
    <x v="1"/>
    <x v="1"/>
    <n v="160000"/>
  </r>
  <r>
    <x v="938"/>
    <d v="2025-02-10T00:00:00"/>
    <s v="CUST0148"/>
    <s v="P044"/>
    <n v="1"/>
    <n v="500000"/>
    <n v="500000"/>
    <s v="DISC10"/>
    <n v="50000"/>
    <n v="20000"/>
    <n v="470000"/>
    <s v="Credit Card"/>
    <s v="J&amp;T"/>
    <x v="0"/>
    <x v="4"/>
    <s v="Yes"/>
    <n v="450000"/>
    <x v="47"/>
    <x v="1"/>
    <x v="1"/>
    <x v="98"/>
    <x v="0"/>
    <x v="4"/>
    <x v="1"/>
    <n v="450000"/>
  </r>
  <r>
    <x v="939"/>
    <d v="2025-02-10T00:00:00"/>
    <s v="CUST0134"/>
    <s v="P011"/>
    <n v="1"/>
    <n v="75000"/>
    <n v="75000"/>
    <s v="DISC10"/>
    <n v="7500"/>
    <n v="20000"/>
    <n v="87500"/>
    <s v="Bank Transfer"/>
    <s v="SiCepat"/>
    <x v="0"/>
    <x v="4"/>
    <s v="Yes"/>
    <n v="67500"/>
    <x v="57"/>
    <x v="5"/>
    <x v="5"/>
    <x v="60"/>
    <x v="1"/>
    <x v="1"/>
    <x v="0"/>
    <n v="67500"/>
  </r>
  <r>
    <x v="940"/>
    <d v="2025-02-10T00:00:00"/>
    <s v="CUST0073"/>
    <s v="P052"/>
    <n v="2"/>
    <n v="200000"/>
    <n v="400000"/>
    <s v="DISC10"/>
    <n v="40000"/>
    <n v="30000"/>
    <n v="390000"/>
    <s v="Bank Transfer"/>
    <s v="J&amp;T"/>
    <x v="0"/>
    <x v="4"/>
    <s v="Yes"/>
    <n v="360000"/>
    <x v="56"/>
    <x v="3"/>
    <x v="3"/>
    <x v="308"/>
    <x v="1"/>
    <x v="9"/>
    <x v="0"/>
    <n v="360000"/>
  </r>
  <r>
    <x v="941"/>
    <d v="2025-02-10T00:00:00"/>
    <s v="CUST0165"/>
    <s v="P051"/>
    <n v="4"/>
    <n v="300000"/>
    <n v="1200000"/>
    <s v="DISC10"/>
    <n v="120000"/>
    <n v="15000"/>
    <n v="1095000"/>
    <s v="COD"/>
    <s v="AnterAja"/>
    <x v="4"/>
    <x v="4"/>
    <s v="No"/>
    <n v="1080000"/>
    <x v="48"/>
    <x v="4"/>
    <x v="4"/>
    <x v="273"/>
    <x v="0"/>
    <x v="4"/>
    <x v="1"/>
    <n v="0"/>
  </r>
  <r>
    <x v="942"/>
    <d v="2025-02-10T00:00:00"/>
    <s v="CUST0077"/>
    <s v="P015"/>
    <n v="3"/>
    <n v="500000"/>
    <n v="1500000"/>
    <s v="NONE"/>
    <n v="0"/>
    <n v="25000"/>
    <n v="1525000"/>
    <s v="Bank Transfer"/>
    <s v="SiCepat"/>
    <x v="0"/>
    <x v="4"/>
    <s v="Yes"/>
    <n v="1500000"/>
    <x v="19"/>
    <x v="4"/>
    <x v="4"/>
    <x v="325"/>
    <x v="1"/>
    <x v="4"/>
    <x v="1"/>
    <n v="1500000"/>
  </r>
  <r>
    <x v="943"/>
    <d v="2025-02-09T00:00:00"/>
    <s v="CUST0118"/>
    <s v="P020"/>
    <n v="3"/>
    <n v="75000"/>
    <n v="225000"/>
    <s v="NONE"/>
    <n v="0"/>
    <n v="30000"/>
    <n v="255000"/>
    <s v="Credit Card"/>
    <s v="J&amp;T"/>
    <x v="4"/>
    <x v="4"/>
    <s v="No"/>
    <n v="225000"/>
    <x v="6"/>
    <x v="1"/>
    <x v="1"/>
    <x v="271"/>
    <x v="1"/>
    <x v="7"/>
    <x v="1"/>
    <n v="0"/>
  </r>
  <r>
    <x v="944"/>
    <d v="2025-02-09T00:00:00"/>
    <s v="CUST0306"/>
    <s v="P043"/>
    <n v="1"/>
    <n v="50000"/>
    <n v="50000"/>
    <s v="NEWUSER"/>
    <n v="5000"/>
    <n v="15000"/>
    <n v="60000"/>
    <s v="E-Wallet"/>
    <s v="J&amp;T"/>
    <x v="1"/>
    <x v="4"/>
    <s v="No"/>
    <n v="45000"/>
    <x v="25"/>
    <x v="2"/>
    <x v="2"/>
    <x v="44"/>
    <x v="1"/>
    <x v="7"/>
    <x v="0"/>
    <n v="0"/>
  </r>
  <r>
    <x v="945"/>
    <d v="2025-02-09T00:00:00"/>
    <s v="CUST0275"/>
    <s v="P003"/>
    <n v="1"/>
    <n v="150000"/>
    <n v="150000"/>
    <s v="NONE"/>
    <n v="0"/>
    <n v="15000"/>
    <n v="165000"/>
    <s v="E-Wallet"/>
    <s v="SiCepat"/>
    <x v="0"/>
    <x v="4"/>
    <s v="Yes"/>
    <n v="150000"/>
    <x v="37"/>
    <x v="4"/>
    <x v="4"/>
    <x v="216"/>
    <x v="0"/>
    <x v="2"/>
    <x v="1"/>
    <n v="150000"/>
  </r>
  <r>
    <x v="946"/>
    <d v="2025-02-09T00:00:00"/>
    <s v="CUST0003"/>
    <s v="P017"/>
    <n v="1"/>
    <n v="100000"/>
    <n v="100000"/>
    <s v="NONE"/>
    <n v="0"/>
    <n v="25000"/>
    <n v="125000"/>
    <s v="Bank Transfer"/>
    <s v="AnterAja"/>
    <x v="1"/>
    <x v="4"/>
    <s v="No"/>
    <n v="100000"/>
    <x v="39"/>
    <x v="5"/>
    <x v="5"/>
    <x v="30"/>
    <x v="1"/>
    <x v="3"/>
    <x v="2"/>
    <n v="0"/>
  </r>
  <r>
    <x v="947"/>
    <d v="2025-02-09T00:00:00"/>
    <s v="CUST0264"/>
    <s v="P008"/>
    <n v="1"/>
    <n v="150000"/>
    <n v="150000"/>
    <s v="NONE"/>
    <n v="0"/>
    <n v="30000"/>
    <n v="180000"/>
    <s v="E-Wallet"/>
    <s v="AnterAja"/>
    <x v="0"/>
    <x v="4"/>
    <s v="Yes"/>
    <n v="150000"/>
    <x v="18"/>
    <x v="1"/>
    <x v="1"/>
    <x v="327"/>
    <x v="0"/>
    <x v="3"/>
    <x v="0"/>
    <n v="150000"/>
  </r>
  <r>
    <x v="948"/>
    <d v="2025-02-08T00:00:00"/>
    <s v="CUST0015"/>
    <s v="P056"/>
    <n v="1"/>
    <n v="100000"/>
    <n v="100000"/>
    <s v="DISC10"/>
    <n v="10000"/>
    <n v="30000"/>
    <n v="120000"/>
    <s v="Credit Card"/>
    <s v="JNE"/>
    <x v="0"/>
    <x v="4"/>
    <s v="Yes"/>
    <n v="90000"/>
    <x v="54"/>
    <x v="1"/>
    <x v="1"/>
    <x v="309"/>
    <x v="1"/>
    <x v="1"/>
    <x v="0"/>
    <n v="90000"/>
  </r>
  <r>
    <x v="949"/>
    <d v="2025-02-08T00:00:00"/>
    <s v="CUST0150"/>
    <s v="P041"/>
    <n v="3"/>
    <n v="75000"/>
    <n v="225000"/>
    <s v="NEWUSER"/>
    <n v="22500"/>
    <n v="20000"/>
    <n v="222500"/>
    <s v="COD"/>
    <s v="AnterAja"/>
    <x v="2"/>
    <x v="4"/>
    <s v="No"/>
    <n v="202500"/>
    <x v="15"/>
    <x v="5"/>
    <x v="5"/>
    <x v="328"/>
    <x v="1"/>
    <x v="0"/>
    <x v="1"/>
    <n v="0"/>
  </r>
  <r>
    <x v="950"/>
    <d v="2025-02-08T00:00:00"/>
    <s v="CUST0192"/>
    <s v="P011"/>
    <n v="3"/>
    <n v="75000"/>
    <n v="225000"/>
    <s v="NONE"/>
    <n v="0"/>
    <n v="25000"/>
    <n v="250000"/>
    <s v="Bank Transfer"/>
    <s v="J&amp;T"/>
    <x v="3"/>
    <x v="4"/>
    <s v="No"/>
    <n v="225000"/>
    <x v="57"/>
    <x v="5"/>
    <x v="5"/>
    <x v="277"/>
    <x v="1"/>
    <x v="3"/>
    <x v="1"/>
    <n v="0"/>
  </r>
  <r>
    <x v="951"/>
    <d v="2025-02-08T00:00:00"/>
    <s v="CUST0072"/>
    <s v="P025"/>
    <n v="2"/>
    <n v="100000"/>
    <n v="200000"/>
    <s v="NEWUSER"/>
    <n v="20000"/>
    <n v="30000"/>
    <n v="210000"/>
    <s v="Bank Transfer"/>
    <s v="J&amp;T"/>
    <x v="0"/>
    <x v="4"/>
    <s v="Yes"/>
    <n v="180000"/>
    <x v="53"/>
    <x v="2"/>
    <x v="2"/>
    <x v="86"/>
    <x v="1"/>
    <x v="8"/>
    <x v="1"/>
    <n v="180000"/>
  </r>
  <r>
    <x v="952"/>
    <d v="2025-02-08T00:00:00"/>
    <s v="CUST0060"/>
    <s v="P002"/>
    <n v="1"/>
    <n v="100000"/>
    <n v="100000"/>
    <s v="NONE"/>
    <n v="0"/>
    <n v="10000"/>
    <n v="110000"/>
    <s v="Credit Card"/>
    <s v="J&amp;T"/>
    <x v="0"/>
    <x v="4"/>
    <s v="Yes"/>
    <n v="100000"/>
    <x v="38"/>
    <x v="1"/>
    <x v="1"/>
    <x v="80"/>
    <x v="1"/>
    <x v="0"/>
    <x v="1"/>
    <n v="100000"/>
  </r>
  <r>
    <x v="953"/>
    <d v="2025-02-08T00:00:00"/>
    <s v="CUST0287"/>
    <s v="P042"/>
    <n v="1"/>
    <n v="300000"/>
    <n v="300000"/>
    <s v="NONE"/>
    <n v="0"/>
    <n v="30000"/>
    <n v="330000"/>
    <s v="Bank Transfer"/>
    <s v="AnterAja"/>
    <x v="0"/>
    <x v="4"/>
    <s v="Yes"/>
    <n v="300000"/>
    <x v="36"/>
    <x v="0"/>
    <x v="0"/>
    <x v="229"/>
    <x v="1"/>
    <x v="4"/>
    <x v="1"/>
    <n v="300000"/>
  </r>
  <r>
    <x v="954"/>
    <d v="2025-02-08T00:00:00"/>
    <s v="CUST0154"/>
    <s v="P048"/>
    <n v="1"/>
    <n v="300000"/>
    <n v="300000"/>
    <s v="NEWUSER"/>
    <n v="30000"/>
    <n v="15000"/>
    <n v="285000"/>
    <s v="E-Wallet"/>
    <s v="J&amp;T"/>
    <x v="0"/>
    <x v="4"/>
    <s v="Yes"/>
    <n v="270000"/>
    <x v="21"/>
    <x v="0"/>
    <x v="0"/>
    <x v="110"/>
    <x v="1"/>
    <x v="3"/>
    <x v="1"/>
    <n v="270000"/>
  </r>
  <r>
    <x v="955"/>
    <d v="2025-02-08T00:00:00"/>
    <s v="CUST0139"/>
    <s v="P036"/>
    <n v="2"/>
    <n v="150000"/>
    <n v="300000"/>
    <s v="DISC10"/>
    <n v="30000"/>
    <n v="10000"/>
    <n v="280000"/>
    <s v="COD"/>
    <s v="JNE"/>
    <x v="0"/>
    <x v="4"/>
    <s v="Yes"/>
    <n v="270000"/>
    <x v="2"/>
    <x v="0"/>
    <x v="0"/>
    <x v="256"/>
    <x v="1"/>
    <x v="2"/>
    <x v="0"/>
    <n v="270000"/>
  </r>
  <r>
    <x v="956"/>
    <d v="2025-02-08T00:00:00"/>
    <s v="CUST0069"/>
    <s v="P044"/>
    <n v="2"/>
    <n v="500000"/>
    <n v="1000000"/>
    <s v="NONE"/>
    <n v="0"/>
    <n v="30000"/>
    <n v="1030000"/>
    <s v="COD"/>
    <s v="AnterAja"/>
    <x v="3"/>
    <x v="4"/>
    <s v="No"/>
    <n v="1000000"/>
    <x v="47"/>
    <x v="1"/>
    <x v="1"/>
    <x v="118"/>
    <x v="0"/>
    <x v="2"/>
    <x v="2"/>
    <n v="0"/>
  </r>
  <r>
    <x v="957"/>
    <d v="2025-02-07T00:00:00"/>
    <s v="CUST0111"/>
    <s v="P032"/>
    <n v="2"/>
    <n v="35000"/>
    <n v="70000"/>
    <s v="DISC10"/>
    <n v="7000"/>
    <n v="15000"/>
    <n v="78000"/>
    <s v="Credit Card"/>
    <s v="AnterAja"/>
    <x v="4"/>
    <x v="4"/>
    <s v="No"/>
    <n v="63000"/>
    <x v="29"/>
    <x v="1"/>
    <x v="1"/>
    <x v="147"/>
    <x v="0"/>
    <x v="8"/>
    <x v="0"/>
    <n v="0"/>
  </r>
  <r>
    <x v="958"/>
    <d v="2025-02-07T00:00:00"/>
    <s v="CUST0014"/>
    <s v="P008"/>
    <n v="1"/>
    <n v="150000"/>
    <n v="150000"/>
    <s v="NEWUSER"/>
    <n v="15000"/>
    <n v="30000"/>
    <n v="165000"/>
    <s v="Bank Transfer"/>
    <s v="J&amp;T"/>
    <x v="0"/>
    <x v="4"/>
    <s v="Yes"/>
    <n v="135000"/>
    <x v="18"/>
    <x v="1"/>
    <x v="1"/>
    <x v="323"/>
    <x v="0"/>
    <x v="8"/>
    <x v="2"/>
    <n v="135000"/>
  </r>
  <r>
    <x v="959"/>
    <d v="2025-02-07T00:00:00"/>
    <s v="CUST0226"/>
    <s v="P053"/>
    <n v="4"/>
    <n v="75000"/>
    <n v="300000"/>
    <s v="DISC15"/>
    <n v="45000"/>
    <n v="30000"/>
    <n v="285000"/>
    <s v="E-Wallet"/>
    <s v="SiCepat"/>
    <x v="0"/>
    <x v="4"/>
    <s v="Yes"/>
    <n v="255000"/>
    <x v="27"/>
    <x v="5"/>
    <x v="5"/>
    <x v="20"/>
    <x v="1"/>
    <x v="7"/>
    <x v="0"/>
    <n v="255000"/>
  </r>
  <r>
    <x v="960"/>
    <d v="2025-02-07T00:00:00"/>
    <s v="CUST0148"/>
    <s v="P050"/>
    <n v="1"/>
    <n v="200000"/>
    <n v="200000"/>
    <s v="NONE"/>
    <n v="0"/>
    <n v="20000"/>
    <n v="220000"/>
    <s v="Credit Card"/>
    <s v="J&amp;T"/>
    <x v="0"/>
    <x v="4"/>
    <s v="Yes"/>
    <n v="200000"/>
    <x v="34"/>
    <x v="1"/>
    <x v="1"/>
    <x v="98"/>
    <x v="0"/>
    <x v="4"/>
    <x v="1"/>
    <n v="200000"/>
  </r>
  <r>
    <x v="961"/>
    <d v="2025-02-07T00:00:00"/>
    <s v="CUST0025"/>
    <s v="P026"/>
    <n v="2"/>
    <n v="200000"/>
    <n v="400000"/>
    <s v="NEWUSER"/>
    <n v="40000"/>
    <n v="10000"/>
    <n v="370000"/>
    <s v="Credit Card"/>
    <s v="SiCepat"/>
    <x v="0"/>
    <x v="4"/>
    <s v="Yes"/>
    <n v="360000"/>
    <x v="3"/>
    <x v="1"/>
    <x v="1"/>
    <x v="189"/>
    <x v="1"/>
    <x v="4"/>
    <x v="0"/>
    <n v="360000"/>
  </r>
  <r>
    <x v="962"/>
    <d v="2025-02-06T00:00:00"/>
    <s v="CUST0061"/>
    <s v="P037"/>
    <n v="1"/>
    <n v="100000"/>
    <n v="100000"/>
    <s v="FLASHSALE"/>
    <n v="20000"/>
    <n v="20000"/>
    <n v="100000"/>
    <s v="COD"/>
    <s v="SiCepat"/>
    <x v="0"/>
    <x v="4"/>
    <s v="Yes"/>
    <n v="80000"/>
    <x v="4"/>
    <x v="2"/>
    <x v="2"/>
    <x v="239"/>
    <x v="0"/>
    <x v="2"/>
    <x v="1"/>
    <n v="80000"/>
  </r>
  <r>
    <x v="963"/>
    <d v="2025-02-06T00:00:00"/>
    <s v="CUST0316"/>
    <s v="P048"/>
    <n v="2"/>
    <n v="300000"/>
    <n v="600000"/>
    <s v="DISC10"/>
    <n v="60000"/>
    <n v="30000"/>
    <n v="570000"/>
    <s v="COD"/>
    <s v="J&amp;T"/>
    <x v="4"/>
    <x v="4"/>
    <s v="No"/>
    <n v="540000"/>
    <x v="21"/>
    <x v="0"/>
    <x v="0"/>
    <x v="183"/>
    <x v="0"/>
    <x v="5"/>
    <x v="1"/>
    <n v="0"/>
  </r>
  <r>
    <x v="964"/>
    <d v="2025-02-06T00:00:00"/>
    <s v="CUST0230"/>
    <s v="P021"/>
    <n v="3"/>
    <n v="200000"/>
    <n v="600000"/>
    <s v="NONE"/>
    <n v="0"/>
    <n v="25000"/>
    <n v="625000"/>
    <s v="Bank Transfer"/>
    <s v="J&amp;T"/>
    <x v="2"/>
    <x v="4"/>
    <s v="No"/>
    <n v="600000"/>
    <x v="32"/>
    <x v="4"/>
    <x v="4"/>
    <x v="243"/>
    <x v="0"/>
    <x v="9"/>
    <x v="2"/>
    <n v="0"/>
  </r>
  <r>
    <x v="965"/>
    <d v="2025-02-06T00:00:00"/>
    <s v="CUST0253"/>
    <s v="P060"/>
    <n v="2"/>
    <n v="150000"/>
    <n v="300000"/>
    <s v="NONE"/>
    <n v="0"/>
    <n v="10000"/>
    <n v="310000"/>
    <s v="COD"/>
    <s v="J&amp;T"/>
    <x v="1"/>
    <x v="4"/>
    <s v="No"/>
    <n v="300000"/>
    <x v="0"/>
    <x v="0"/>
    <x v="0"/>
    <x v="23"/>
    <x v="0"/>
    <x v="8"/>
    <x v="1"/>
    <n v="0"/>
  </r>
  <r>
    <x v="966"/>
    <d v="2025-02-04T00:00:00"/>
    <s v="CUST0286"/>
    <s v="P052"/>
    <n v="3"/>
    <n v="200000"/>
    <n v="600000"/>
    <s v="DISC10"/>
    <n v="60000"/>
    <n v="10000"/>
    <n v="550000"/>
    <s v="COD"/>
    <s v="JNE"/>
    <x v="0"/>
    <x v="4"/>
    <s v="Yes"/>
    <n v="540000"/>
    <x v="56"/>
    <x v="3"/>
    <x v="3"/>
    <x v="76"/>
    <x v="1"/>
    <x v="0"/>
    <x v="0"/>
    <n v="540000"/>
  </r>
  <r>
    <x v="967"/>
    <d v="2025-02-04T00:00:00"/>
    <s v="CUST0096"/>
    <s v="P024"/>
    <n v="3"/>
    <n v="500000"/>
    <n v="1500000"/>
    <s v="NONE"/>
    <n v="0"/>
    <n v="30000"/>
    <n v="1530000"/>
    <s v="COD"/>
    <s v="AnterAja"/>
    <x v="0"/>
    <x v="4"/>
    <s v="Yes"/>
    <n v="1500000"/>
    <x v="43"/>
    <x v="0"/>
    <x v="0"/>
    <x v="156"/>
    <x v="0"/>
    <x v="4"/>
    <x v="2"/>
    <n v="1500000"/>
  </r>
  <r>
    <x v="968"/>
    <d v="2025-02-04T00:00:00"/>
    <s v="CUST0133"/>
    <s v="P009"/>
    <n v="2"/>
    <n v="300000"/>
    <n v="600000"/>
    <s v="DISC15"/>
    <n v="90000"/>
    <n v="30000"/>
    <n v="540000"/>
    <s v="E-Wallet"/>
    <s v="J&amp;T"/>
    <x v="0"/>
    <x v="4"/>
    <s v="Yes"/>
    <n v="510000"/>
    <x v="45"/>
    <x v="4"/>
    <x v="4"/>
    <x v="310"/>
    <x v="1"/>
    <x v="2"/>
    <x v="0"/>
    <n v="510000"/>
  </r>
  <r>
    <x v="969"/>
    <d v="2025-02-04T00:00:00"/>
    <s v="CUST0259"/>
    <s v="P056"/>
    <n v="2"/>
    <n v="100000"/>
    <n v="200000"/>
    <s v="DISC10"/>
    <n v="20000"/>
    <n v="15000"/>
    <n v="195000"/>
    <s v="Credit Card"/>
    <s v="JNE"/>
    <x v="0"/>
    <x v="4"/>
    <s v="Yes"/>
    <n v="180000"/>
    <x v="54"/>
    <x v="1"/>
    <x v="1"/>
    <x v="137"/>
    <x v="1"/>
    <x v="7"/>
    <x v="1"/>
    <n v="180000"/>
  </r>
  <r>
    <x v="970"/>
    <d v="2025-02-04T00:00:00"/>
    <s v="CUST0132"/>
    <s v="P016"/>
    <n v="2"/>
    <n v="150000"/>
    <n v="300000"/>
    <s v="NONE"/>
    <n v="0"/>
    <n v="15000"/>
    <n v="315000"/>
    <s v="Credit Card"/>
    <s v="J&amp;T"/>
    <x v="0"/>
    <x v="4"/>
    <s v="Yes"/>
    <n v="300000"/>
    <x v="8"/>
    <x v="3"/>
    <x v="3"/>
    <x v="155"/>
    <x v="1"/>
    <x v="1"/>
    <x v="1"/>
    <n v="300000"/>
  </r>
  <r>
    <x v="971"/>
    <d v="2025-02-04T00:00:00"/>
    <s v="CUST0320"/>
    <s v="P053"/>
    <n v="1"/>
    <n v="75000"/>
    <n v="75000"/>
    <s v="DISC10"/>
    <n v="7500"/>
    <n v="20000"/>
    <n v="87500"/>
    <s v="Bank Transfer"/>
    <s v="SiCepat"/>
    <x v="0"/>
    <x v="4"/>
    <s v="Yes"/>
    <n v="67500"/>
    <x v="27"/>
    <x v="5"/>
    <x v="5"/>
    <x v="57"/>
    <x v="1"/>
    <x v="6"/>
    <x v="0"/>
    <n v="67500"/>
  </r>
  <r>
    <x v="972"/>
    <d v="2025-02-04T00:00:00"/>
    <s v="CUST0289"/>
    <s v="P018"/>
    <n v="2"/>
    <n v="500000"/>
    <n v="1000000"/>
    <s v="NONE"/>
    <n v="0"/>
    <n v="10000"/>
    <n v="1010000"/>
    <s v="Credit Card"/>
    <s v="J&amp;T"/>
    <x v="0"/>
    <x v="4"/>
    <s v="Yes"/>
    <n v="1000000"/>
    <x v="1"/>
    <x v="0"/>
    <x v="0"/>
    <x v="102"/>
    <x v="0"/>
    <x v="2"/>
    <x v="0"/>
    <n v="1000000"/>
  </r>
  <r>
    <x v="973"/>
    <d v="2025-02-03T00:00:00"/>
    <s v="CUST0077"/>
    <s v="P042"/>
    <n v="1"/>
    <n v="300000"/>
    <n v="300000"/>
    <s v="NONE"/>
    <n v="0"/>
    <n v="20000"/>
    <n v="320000"/>
    <s v="COD"/>
    <s v="SiCepat"/>
    <x v="0"/>
    <x v="4"/>
    <s v="Yes"/>
    <n v="300000"/>
    <x v="36"/>
    <x v="0"/>
    <x v="0"/>
    <x v="325"/>
    <x v="1"/>
    <x v="4"/>
    <x v="1"/>
    <n v="300000"/>
  </r>
  <r>
    <x v="974"/>
    <d v="2025-02-03T00:00:00"/>
    <s v="CUST0084"/>
    <s v="P025"/>
    <n v="2"/>
    <n v="100000"/>
    <n v="200000"/>
    <s v="NONE"/>
    <n v="0"/>
    <n v="15000"/>
    <n v="215000"/>
    <s v="Credit Card"/>
    <s v="SiCepat"/>
    <x v="3"/>
    <x v="4"/>
    <s v="No"/>
    <n v="200000"/>
    <x v="53"/>
    <x v="2"/>
    <x v="2"/>
    <x v="297"/>
    <x v="0"/>
    <x v="9"/>
    <x v="1"/>
    <n v="0"/>
  </r>
  <r>
    <x v="975"/>
    <d v="2025-02-03T00:00:00"/>
    <s v="CUST0110"/>
    <s v="P048"/>
    <n v="1"/>
    <n v="300000"/>
    <n v="300000"/>
    <s v="NONE"/>
    <n v="0"/>
    <n v="30000"/>
    <n v="330000"/>
    <s v="COD"/>
    <s v="J&amp;T"/>
    <x v="0"/>
    <x v="4"/>
    <s v="Yes"/>
    <n v="300000"/>
    <x v="21"/>
    <x v="0"/>
    <x v="0"/>
    <x v="200"/>
    <x v="0"/>
    <x v="1"/>
    <x v="1"/>
    <n v="300000"/>
  </r>
  <r>
    <x v="976"/>
    <d v="2025-02-03T00:00:00"/>
    <s v="CUST0163"/>
    <s v="P015"/>
    <n v="3"/>
    <n v="500000"/>
    <n v="1500000"/>
    <s v="DISC15"/>
    <n v="225000"/>
    <n v="10000"/>
    <n v="1285000"/>
    <s v="Bank Transfer"/>
    <s v="AnterAja"/>
    <x v="0"/>
    <x v="4"/>
    <s v="Yes"/>
    <n v="1275000"/>
    <x v="19"/>
    <x v="4"/>
    <x v="4"/>
    <x v="207"/>
    <x v="0"/>
    <x v="2"/>
    <x v="0"/>
    <n v="1275000"/>
  </r>
  <r>
    <x v="977"/>
    <d v="2025-02-02T00:00:00"/>
    <s v="CUST0270"/>
    <s v="P034"/>
    <n v="2"/>
    <n v="50000"/>
    <n v="100000"/>
    <s v="NEWUSER"/>
    <n v="10000"/>
    <n v="10000"/>
    <n v="100000"/>
    <s v="E-Wallet"/>
    <s v="JNE"/>
    <x v="0"/>
    <x v="4"/>
    <s v="Yes"/>
    <n v="90000"/>
    <x v="42"/>
    <x v="3"/>
    <x v="3"/>
    <x v="206"/>
    <x v="0"/>
    <x v="4"/>
    <x v="0"/>
    <n v="90000"/>
  </r>
  <r>
    <x v="978"/>
    <d v="2025-02-02T00:00:00"/>
    <s v="CUST0141"/>
    <s v="P020"/>
    <n v="3"/>
    <n v="75000"/>
    <n v="225000"/>
    <s v="NONE"/>
    <n v="0"/>
    <n v="30000"/>
    <n v="255000"/>
    <s v="Bank Transfer"/>
    <s v="SiCepat"/>
    <x v="2"/>
    <x v="4"/>
    <s v="No"/>
    <n v="225000"/>
    <x v="6"/>
    <x v="1"/>
    <x v="1"/>
    <x v="56"/>
    <x v="1"/>
    <x v="8"/>
    <x v="1"/>
    <n v="0"/>
  </r>
  <r>
    <x v="979"/>
    <d v="2025-02-02T00:00:00"/>
    <s v="CUST0318"/>
    <s v="P050"/>
    <n v="1"/>
    <n v="200000"/>
    <n v="200000"/>
    <s v="NONE"/>
    <n v="0"/>
    <n v="25000"/>
    <n v="225000"/>
    <s v="E-Wallet"/>
    <s v="J&amp;T"/>
    <x v="2"/>
    <x v="4"/>
    <s v="No"/>
    <n v="200000"/>
    <x v="34"/>
    <x v="1"/>
    <x v="1"/>
    <x v="190"/>
    <x v="1"/>
    <x v="7"/>
    <x v="0"/>
    <n v="0"/>
  </r>
  <r>
    <x v="980"/>
    <d v="2025-02-02T00:00:00"/>
    <s v="CUST0028"/>
    <s v="P059"/>
    <n v="2"/>
    <n v="75000"/>
    <n v="150000"/>
    <s v="NEWUSER"/>
    <n v="15000"/>
    <n v="20000"/>
    <n v="155000"/>
    <s v="Bank Transfer"/>
    <s v="J&amp;T"/>
    <x v="1"/>
    <x v="4"/>
    <s v="No"/>
    <n v="135000"/>
    <x v="16"/>
    <x v="5"/>
    <x v="5"/>
    <x v="329"/>
    <x v="1"/>
    <x v="0"/>
    <x v="2"/>
    <n v="0"/>
  </r>
  <r>
    <x v="981"/>
    <d v="2025-02-02T00:00:00"/>
    <s v="CUST0040"/>
    <s v="P032"/>
    <n v="2"/>
    <n v="35000"/>
    <n v="70000"/>
    <s v="DISC10"/>
    <n v="7000"/>
    <n v="20000"/>
    <n v="83000"/>
    <s v="E-Wallet"/>
    <s v="J&amp;T"/>
    <x v="0"/>
    <x v="4"/>
    <s v="Yes"/>
    <n v="63000"/>
    <x v="29"/>
    <x v="1"/>
    <x v="1"/>
    <x v="162"/>
    <x v="1"/>
    <x v="8"/>
    <x v="1"/>
    <n v="63000"/>
  </r>
  <r>
    <x v="982"/>
    <d v="2025-02-02T00:00:00"/>
    <s v="CUST0337"/>
    <s v="P042"/>
    <n v="2"/>
    <n v="300000"/>
    <n v="600000"/>
    <s v="NONE"/>
    <n v="0"/>
    <n v="25000"/>
    <n v="625000"/>
    <s v="E-Wallet"/>
    <s v="AnterAja"/>
    <x v="0"/>
    <x v="4"/>
    <s v="Yes"/>
    <n v="600000"/>
    <x v="36"/>
    <x v="0"/>
    <x v="0"/>
    <x v="266"/>
    <x v="0"/>
    <x v="7"/>
    <x v="1"/>
    <n v="600000"/>
  </r>
  <r>
    <x v="983"/>
    <d v="2025-02-01T00:00:00"/>
    <s v="CUST0266"/>
    <s v="P010"/>
    <n v="1"/>
    <n v="50000"/>
    <n v="50000"/>
    <s v="FLASHSALE"/>
    <n v="10000"/>
    <n v="15000"/>
    <n v="55000"/>
    <s v="E-Wallet"/>
    <s v="SiCepat"/>
    <x v="0"/>
    <x v="4"/>
    <s v="Yes"/>
    <n v="40000"/>
    <x v="13"/>
    <x v="3"/>
    <x v="3"/>
    <x v="116"/>
    <x v="0"/>
    <x v="7"/>
    <x v="2"/>
    <n v="40000"/>
  </r>
  <r>
    <x v="984"/>
    <d v="2025-01-31T00:00:00"/>
    <s v="CUST0084"/>
    <s v="P024"/>
    <n v="1"/>
    <n v="500000"/>
    <n v="500000"/>
    <s v="NONE"/>
    <n v="0"/>
    <n v="25000"/>
    <n v="525000"/>
    <s v="Bank Transfer"/>
    <s v="AnterAja"/>
    <x v="3"/>
    <x v="5"/>
    <s v="No"/>
    <n v="500000"/>
    <x v="43"/>
    <x v="0"/>
    <x v="0"/>
    <x v="297"/>
    <x v="0"/>
    <x v="9"/>
    <x v="1"/>
    <n v="0"/>
  </r>
  <r>
    <x v="985"/>
    <d v="2025-01-31T00:00:00"/>
    <s v="CUST0023"/>
    <s v="P042"/>
    <n v="1"/>
    <n v="300000"/>
    <n v="300000"/>
    <s v="NONE"/>
    <n v="0"/>
    <n v="25000"/>
    <n v="325000"/>
    <s v="Bank Transfer"/>
    <s v="SiCepat"/>
    <x v="1"/>
    <x v="5"/>
    <s v="No"/>
    <n v="300000"/>
    <x v="36"/>
    <x v="0"/>
    <x v="0"/>
    <x v="45"/>
    <x v="1"/>
    <x v="3"/>
    <x v="2"/>
    <n v="0"/>
  </r>
  <r>
    <x v="986"/>
    <d v="2025-01-31T00:00:00"/>
    <s v="CUST0334"/>
    <s v="P020"/>
    <n v="1"/>
    <n v="75000"/>
    <n v="75000"/>
    <s v="NONE"/>
    <n v="0"/>
    <n v="15000"/>
    <n v="90000"/>
    <s v="COD"/>
    <s v="UNKNOWN"/>
    <x v="0"/>
    <x v="5"/>
    <s v="Yes"/>
    <n v="75000"/>
    <x v="6"/>
    <x v="1"/>
    <x v="1"/>
    <x v="208"/>
    <x v="0"/>
    <x v="0"/>
    <x v="1"/>
    <n v="75000"/>
  </r>
  <r>
    <x v="987"/>
    <d v="2025-01-31T00:00:00"/>
    <s v="CUST0011"/>
    <s v="P028"/>
    <n v="3"/>
    <n v="50000"/>
    <n v="150000"/>
    <s v="DISC15"/>
    <n v="22500"/>
    <n v="20000"/>
    <n v="147500"/>
    <s v="Bank Transfer"/>
    <s v="J&amp;T"/>
    <x v="1"/>
    <x v="5"/>
    <s v="No"/>
    <n v="127500"/>
    <x v="31"/>
    <x v="3"/>
    <x v="3"/>
    <x v="169"/>
    <x v="0"/>
    <x v="7"/>
    <x v="0"/>
    <n v="0"/>
  </r>
  <r>
    <x v="988"/>
    <d v="2025-01-31T00:00:00"/>
    <s v="CUST0052"/>
    <s v="P025"/>
    <n v="2"/>
    <n v="100000"/>
    <n v="200000"/>
    <s v="DISC10"/>
    <n v="20000"/>
    <n v="10000"/>
    <n v="190000"/>
    <s v="Bank Transfer"/>
    <s v="JNE"/>
    <x v="0"/>
    <x v="5"/>
    <s v="Yes"/>
    <n v="180000"/>
    <x v="53"/>
    <x v="2"/>
    <x v="2"/>
    <x v="113"/>
    <x v="1"/>
    <x v="7"/>
    <x v="1"/>
    <n v="180000"/>
  </r>
  <r>
    <x v="989"/>
    <d v="2025-01-31T00:00:00"/>
    <s v="CUST0315"/>
    <s v="P031"/>
    <n v="2"/>
    <n v="150000"/>
    <n v="300000"/>
    <s v="NONE"/>
    <n v="0"/>
    <n v="15000"/>
    <n v="315000"/>
    <s v="Bank Transfer"/>
    <s v="AnterAja"/>
    <x v="0"/>
    <x v="5"/>
    <s v="Yes"/>
    <n v="300000"/>
    <x v="20"/>
    <x v="2"/>
    <x v="2"/>
    <x v="174"/>
    <x v="1"/>
    <x v="3"/>
    <x v="0"/>
    <n v="300000"/>
  </r>
  <r>
    <x v="990"/>
    <d v="2025-01-31T00:00:00"/>
    <s v="CUST0085"/>
    <s v="P032"/>
    <n v="3"/>
    <n v="35000"/>
    <n v="105000"/>
    <s v="NONE"/>
    <n v="0"/>
    <n v="15000"/>
    <n v="120000"/>
    <s v="E-Wallet"/>
    <s v="AnterAja"/>
    <x v="0"/>
    <x v="5"/>
    <s v="Yes"/>
    <n v="105000"/>
    <x v="29"/>
    <x v="1"/>
    <x v="1"/>
    <x v="294"/>
    <x v="0"/>
    <x v="2"/>
    <x v="1"/>
    <n v="105000"/>
  </r>
  <r>
    <x v="991"/>
    <d v="2025-01-31T00:00:00"/>
    <s v="CUST0256"/>
    <s v="P012"/>
    <n v="2"/>
    <n v="300000"/>
    <n v="600000"/>
    <s v="NEWUSER"/>
    <n v="60000"/>
    <n v="10000"/>
    <n v="550000"/>
    <s v="COD"/>
    <s v="AnterAja"/>
    <x v="2"/>
    <x v="5"/>
    <s v="No"/>
    <n v="540000"/>
    <x v="40"/>
    <x v="0"/>
    <x v="0"/>
    <x v="231"/>
    <x v="0"/>
    <x v="3"/>
    <x v="1"/>
    <n v="0"/>
  </r>
  <r>
    <x v="992"/>
    <d v="2025-01-30T00:00:00"/>
    <s v="CUST0281"/>
    <s v="P028"/>
    <n v="1"/>
    <n v="50000"/>
    <n v="50000"/>
    <s v="DISC15"/>
    <n v="7500"/>
    <n v="15000"/>
    <n v="57500"/>
    <s v="E-Wallet"/>
    <s v="JNE"/>
    <x v="0"/>
    <x v="5"/>
    <s v="Yes"/>
    <n v="42500"/>
    <x v="31"/>
    <x v="3"/>
    <x v="3"/>
    <x v="46"/>
    <x v="1"/>
    <x v="5"/>
    <x v="0"/>
    <n v="42500"/>
  </r>
  <r>
    <x v="993"/>
    <d v="2025-01-30T00:00:00"/>
    <s v="CUST0348"/>
    <s v="P017"/>
    <n v="1"/>
    <n v="100000"/>
    <n v="100000"/>
    <s v="NEWUSER"/>
    <n v="10000"/>
    <n v="10000"/>
    <n v="100000"/>
    <s v="E-Wallet"/>
    <s v="JNE"/>
    <x v="0"/>
    <x v="5"/>
    <s v="Yes"/>
    <n v="90000"/>
    <x v="39"/>
    <x v="5"/>
    <x v="5"/>
    <x v="302"/>
    <x v="0"/>
    <x v="0"/>
    <x v="1"/>
    <n v="90000"/>
  </r>
  <r>
    <x v="994"/>
    <d v="2025-01-30T00:00:00"/>
    <s v="CUST0264"/>
    <s v="P034"/>
    <n v="1"/>
    <n v="50000"/>
    <n v="50000"/>
    <s v="NEWUSER"/>
    <n v="5000"/>
    <n v="30000"/>
    <n v="75000"/>
    <s v="Bank Transfer"/>
    <s v="AnterAja"/>
    <x v="3"/>
    <x v="5"/>
    <s v="No"/>
    <n v="45000"/>
    <x v="42"/>
    <x v="3"/>
    <x v="3"/>
    <x v="327"/>
    <x v="0"/>
    <x v="3"/>
    <x v="0"/>
    <n v="0"/>
  </r>
  <r>
    <x v="995"/>
    <d v="2025-01-30T00:00:00"/>
    <s v="CUST0204"/>
    <s v="P044"/>
    <n v="2"/>
    <n v="500000"/>
    <n v="1000000"/>
    <s v="NONE"/>
    <n v="0"/>
    <n v="25000"/>
    <n v="1025000"/>
    <s v="Credit Card"/>
    <s v="AnterAja"/>
    <x v="0"/>
    <x v="5"/>
    <s v="Yes"/>
    <n v="1000000"/>
    <x v="47"/>
    <x v="1"/>
    <x v="1"/>
    <x v="82"/>
    <x v="1"/>
    <x v="5"/>
    <x v="1"/>
    <n v="1000000"/>
  </r>
  <r>
    <x v="996"/>
    <d v="2025-01-29T00:00:00"/>
    <s v="CUST0137"/>
    <s v="P003"/>
    <n v="1"/>
    <n v="150000"/>
    <n v="150000"/>
    <s v="DISC15"/>
    <n v="22500"/>
    <n v="30000"/>
    <n v="157500"/>
    <s v="Bank Transfer"/>
    <s v="SiCepat"/>
    <x v="1"/>
    <x v="5"/>
    <s v="No"/>
    <n v="127500"/>
    <x v="37"/>
    <x v="4"/>
    <x v="4"/>
    <x v="250"/>
    <x v="0"/>
    <x v="1"/>
    <x v="1"/>
    <n v="0"/>
  </r>
  <r>
    <x v="997"/>
    <d v="2025-01-29T00:00:00"/>
    <s v="CUST0105"/>
    <s v="P010"/>
    <n v="1"/>
    <n v="50000"/>
    <n v="50000"/>
    <s v="DISC10"/>
    <n v="5000"/>
    <n v="10000"/>
    <n v="55000"/>
    <s v="E-Wallet"/>
    <s v="J&amp;T"/>
    <x v="4"/>
    <x v="5"/>
    <s v="No"/>
    <n v="45000"/>
    <x v="13"/>
    <x v="3"/>
    <x v="3"/>
    <x v="135"/>
    <x v="0"/>
    <x v="8"/>
    <x v="1"/>
    <n v="0"/>
  </r>
  <r>
    <x v="998"/>
    <d v="2025-01-29T00:00:00"/>
    <s v="CUST0131"/>
    <s v="P026"/>
    <n v="1"/>
    <n v="200000"/>
    <n v="200000"/>
    <s v="FLASHSALE"/>
    <n v="40000"/>
    <n v="25000"/>
    <n v="185000"/>
    <s v="Bank Transfer"/>
    <s v="J&amp;T"/>
    <x v="0"/>
    <x v="5"/>
    <s v="Yes"/>
    <n v="160000"/>
    <x v="3"/>
    <x v="1"/>
    <x v="1"/>
    <x v="134"/>
    <x v="1"/>
    <x v="2"/>
    <x v="1"/>
    <n v="160000"/>
  </r>
  <r>
    <x v="999"/>
    <d v="2025-01-29T00:00:00"/>
    <s v="CUST0151"/>
    <s v="P053"/>
    <n v="3"/>
    <n v="75000"/>
    <n v="225000"/>
    <s v="FLASHSALE"/>
    <n v="45000"/>
    <n v="10000"/>
    <n v="190000"/>
    <s v="Bank Transfer"/>
    <s v="JNE"/>
    <x v="0"/>
    <x v="5"/>
    <s v="Yes"/>
    <n v="180000"/>
    <x v="27"/>
    <x v="5"/>
    <x v="5"/>
    <x v="93"/>
    <x v="1"/>
    <x v="4"/>
    <x v="1"/>
    <n v="180000"/>
  </r>
  <r>
    <x v="1000"/>
    <d v="2025-01-29T00:00:00"/>
    <s v="CUST0274"/>
    <s v="P020"/>
    <n v="4"/>
    <n v="75000"/>
    <n v="300000"/>
    <s v="NEWUSER"/>
    <n v="30000"/>
    <n v="15000"/>
    <n v="285000"/>
    <s v="E-Wallet"/>
    <s v="SiCepat"/>
    <x v="2"/>
    <x v="5"/>
    <s v="No"/>
    <n v="270000"/>
    <x v="6"/>
    <x v="1"/>
    <x v="1"/>
    <x v="59"/>
    <x v="1"/>
    <x v="2"/>
    <x v="0"/>
    <n v="0"/>
  </r>
  <r>
    <x v="1001"/>
    <d v="2025-01-29T00:00:00"/>
    <s v="CUST0089"/>
    <s v="P033"/>
    <n v="2"/>
    <n v="100000"/>
    <n v="200000"/>
    <s v="DISC10"/>
    <n v="20000"/>
    <n v="15000"/>
    <n v="195000"/>
    <s v="Credit Card"/>
    <s v="AnterAja"/>
    <x v="0"/>
    <x v="5"/>
    <s v="Yes"/>
    <n v="180000"/>
    <x v="58"/>
    <x v="4"/>
    <x v="4"/>
    <x v="193"/>
    <x v="1"/>
    <x v="7"/>
    <x v="2"/>
    <n v="180000"/>
  </r>
  <r>
    <x v="1002"/>
    <d v="2025-01-29T00:00:00"/>
    <s v="CUST0144"/>
    <s v="P012"/>
    <n v="1"/>
    <n v="300000"/>
    <n v="300000"/>
    <s v="NEWUSER"/>
    <n v="30000"/>
    <n v="30000"/>
    <n v="300000"/>
    <s v="COD"/>
    <s v="JNE"/>
    <x v="4"/>
    <x v="5"/>
    <s v="No"/>
    <n v="270000"/>
    <x v="40"/>
    <x v="0"/>
    <x v="0"/>
    <x v="238"/>
    <x v="1"/>
    <x v="6"/>
    <x v="1"/>
    <n v="0"/>
  </r>
  <r>
    <x v="1003"/>
    <d v="2025-01-29T00:00:00"/>
    <s v="CUST0019"/>
    <s v="P047"/>
    <n v="4"/>
    <n v="500000"/>
    <n v="2000000"/>
    <s v="NONE"/>
    <n v="0"/>
    <n v="15000"/>
    <n v="2015000"/>
    <s v="Credit Card"/>
    <s v="JNE"/>
    <x v="0"/>
    <x v="5"/>
    <s v="Yes"/>
    <n v="2000000"/>
    <x v="49"/>
    <x v="5"/>
    <x v="5"/>
    <x v="322"/>
    <x v="1"/>
    <x v="4"/>
    <x v="0"/>
    <n v="2000000"/>
  </r>
  <r>
    <x v="1004"/>
    <d v="2025-01-28T00:00:00"/>
    <s v="CUST0038"/>
    <s v="P055"/>
    <n v="2"/>
    <n v="300000"/>
    <n v="600000"/>
    <s v="FLASHSALE"/>
    <n v="120000"/>
    <n v="25000"/>
    <n v="505000"/>
    <s v="Credit Card"/>
    <s v="J&amp;T"/>
    <x v="4"/>
    <x v="5"/>
    <s v="No"/>
    <n v="480000"/>
    <x v="9"/>
    <x v="2"/>
    <x v="2"/>
    <x v="170"/>
    <x v="0"/>
    <x v="7"/>
    <x v="0"/>
    <n v="0"/>
  </r>
  <r>
    <x v="1005"/>
    <d v="2025-01-28T00:00:00"/>
    <s v="CUST0235"/>
    <s v="P047"/>
    <n v="1"/>
    <n v="500000"/>
    <n v="500000"/>
    <s v="NONE"/>
    <n v="0"/>
    <n v="20000"/>
    <n v="520000"/>
    <s v="Bank Transfer"/>
    <s v="SiCepat"/>
    <x v="0"/>
    <x v="5"/>
    <s v="Yes"/>
    <n v="500000"/>
    <x v="49"/>
    <x v="5"/>
    <x v="5"/>
    <x v="185"/>
    <x v="0"/>
    <x v="5"/>
    <x v="2"/>
    <n v="500000"/>
  </r>
  <r>
    <x v="1006"/>
    <d v="2025-01-28T00:00:00"/>
    <s v="CUST0312"/>
    <s v="P035"/>
    <n v="2"/>
    <n v="200000"/>
    <n v="400000"/>
    <s v="FLASHSALE"/>
    <n v="80000"/>
    <n v="15000"/>
    <n v="335000"/>
    <s v="Bank Transfer"/>
    <s v="SiCepat"/>
    <x v="3"/>
    <x v="5"/>
    <s v="No"/>
    <n v="320000"/>
    <x v="41"/>
    <x v="5"/>
    <x v="5"/>
    <x v="316"/>
    <x v="0"/>
    <x v="2"/>
    <x v="0"/>
    <n v="0"/>
  </r>
  <r>
    <x v="1007"/>
    <d v="2025-01-28T00:00:00"/>
    <s v="CUST0213"/>
    <s v="P059"/>
    <n v="4"/>
    <n v="75000"/>
    <n v="300000"/>
    <s v="NEWUSER"/>
    <n v="30000"/>
    <n v="20000"/>
    <n v="290000"/>
    <s v="COD"/>
    <s v="SiCepat"/>
    <x v="3"/>
    <x v="5"/>
    <s v="No"/>
    <n v="270000"/>
    <x v="16"/>
    <x v="5"/>
    <x v="5"/>
    <x v="191"/>
    <x v="0"/>
    <x v="5"/>
    <x v="1"/>
    <n v="0"/>
  </r>
  <r>
    <x v="1008"/>
    <d v="2025-01-27T00:00:00"/>
    <s v="CUST0136"/>
    <s v="P019"/>
    <n v="2"/>
    <n v="500000"/>
    <n v="1000000"/>
    <s v="DISC10"/>
    <n v="100000"/>
    <n v="20000"/>
    <n v="920000"/>
    <s v="E-Wallet"/>
    <s v="JNE"/>
    <x v="0"/>
    <x v="5"/>
    <s v="Yes"/>
    <n v="900000"/>
    <x v="23"/>
    <x v="2"/>
    <x v="2"/>
    <x v="97"/>
    <x v="0"/>
    <x v="6"/>
    <x v="1"/>
    <n v="900000"/>
  </r>
  <r>
    <x v="1009"/>
    <d v="2025-01-27T00:00:00"/>
    <s v="CUST0198"/>
    <s v="P055"/>
    <n v="2"/>
    <n v="300000"/>
    <n v="600000"/>
    <s v="DISC15"/>
    <n v="90000"/>
    <n v="15000"/>
    <n v="525000"/>
    <s v="COD"/>
    <s v="SiCepat"/>
    <x v="0"/>
    <x v="5"/>
    <s v="Yes"/>
    <n v="510000"/>
    <x v="9"/>
    <x v="2"/>
    <x v="2"/>
    <x v="119"/>
    <x v="0"/>
    <x v="8"/>
    <x v="0"/>
    <n v="510000"/>
  </r>
  <r>
    <x v="1010"/>
    <d v="2025-01-27T00:00:00"/>
    <s v="CUST0214"/>
    <s v="P010"/>
    <n v="2"/>
    <n v="50000"/>
    <n v="100000"/>
    <s v="DISC10"/>
    <n v="10000"/>
    <n v="10000"/>
    <n v="100000"/>
    <s v="Bank Transfer"/>
    <s v="J&amp;T"/>
    <x v="2"/>
    <x v="5"/>
    <s v="No"/>
    <n v="90000"/>
    <x v="13"/>
    <x v="3"/>
    <x v="3"/>
    <x v="213"/>
    <x v="0"/>
    <x v="3"/>
    <x v="1"/>
    <n v="0"/>
  </r>
  <r>
    <x v="1011"/>
    <d v="2025-01-27T00:00:00"/>
    <s v="CUST0166"/>
    <s v="P018"/>
    <n v="4"/>
    <n v="500000"/>
    <n v="2000000"/>
    <s v="DISC10"/>
    <n v="200000"/>
    <n v="30000"/>
    <n v="1830000"/>
    <s v="E-Wallet"/>
    <s v="JNE"/>
    <x v="0"/>
    <x v="5"/>
    <s v="Yes"/>
    <n v="1800000"/>
    <x v="1"/>
    <x v="0"/>
    <x v="0"/>
    <x v="211"/>
    <x v="0"/>
    <x v="7"/>
    <x v="1"/>
    <n v="1800000"/>
  </r>
  <r>
    <x v="1012"/>
    <d v="2025-01-26T00:00:00"/>
    <s v="CUST0047"/>
    <s v="P032"/>
    <n v="1"/>
    <n v="35000"/>
    <n v="35000"/>
    <s v="DISC10"/>
    <n v="3500"/>
    <n v="15000"/>
    <n v="46500"/>
    <s v="COD"/>
    <s v="J&amp;T"/>
    <x v="0"/>
    <x v="5"/>
    <s v="Yes"/>
    <n v="31500"/>
    <x v="29"/>
    <x v="1"/>
    <x v="1"/>
    <x v="232"/>
    <x v="0"/>
    <x v="9"/>
    <x v="2"/>
    <n v="31500"/>
  </r>
  <r>
    <x v="1013"/>
    <d v="2025-01-26T00:00:00"/>
    <s v="CUST0115"/>
    <s v="P034"/>
    <n v="2"/>
    <n v="50000"/>
    <n v="100000"/>
    <s v="NONE"/>
    <n v="0"/>
    <n v="30000"/>
    <n v="130000"/>
    <s v="COD"/>
    <s v="J&amp;T"/>
    <x v="1"/>
    <x v="5"/>
    <s v="No"/>
    <n v="100000"/>
    <x v="42"/>
    <x v="3"/>
    <x v="3"/>
    <x v="158"/>
    <x v="0"/>
    <x v="4"/>
    <x v="1"/>
    <n v="0"/>
  </r>
  <r>
    <x v="1014"/>
    <d v="2025-01-26T00:00:00"/>
    <s v="CUST0217"/>
    <s v="P026"/>
    <n v="1"/>
    <n v="200000"/>
    <n v="200000"/>
    <s v="DISC10"/>
    <n v="20000"/>
    <n v="15000"/>
    <n v="195000"/>
    <s v="Credit Card"/>
    <s v="AnterAja"/>
    <x v="0"/>
    <x v="5"/>
    <s v="Yes"/>
    <n v="180000"/>
    <x v="3"/>
    <x v="1"/>
    <x v="1"/>
    <x v="292"/>
    <x v="1"/>
    <x v="7"/>
    <x v="1"/>
    <n v="180000"/>
  </r>
  <r>
    <x v="1015"/>
    <d v="2025-01-26T00:00:00"/>
    <s v="CUST0121"/>
    <s v="P045"/>
    <n v="2"/>
    <n v="100000"/>
    <n v="200000"/>
    <s v="NONE"/>
    <n v="0"/>
    <n v="15000"/>
    <n v="215000"/>
    <s v="COD"/>
    <s v="JNE"/>
    <x v="0"/>
    <x v="5"/>
    <s v="Yes"/>
    <n v="200000"/>
    <x v="10"/>
    <x v="4"/>
    <x v="4"/>
    <x v="214"/>
    <x v="1"/>
    <x v="9"/>
    <x v="1"/>
    <n v="200000"/>
  </r>
  <r>
    <x v="1016"/>
    <d v="2025-01-26T00:00:00"/>
    <s v="CUST0149"/>
    <s v="P028"/>
    <n v="2"/>
    <n v="50000"/>
    <n v="100000"/>
    <s v="NONE"/>
    <n v="0"/>
    <n v="10000"/>
    <n v="110000"/>
    <s v="Bank Transfer"/>
    <s v="SiCepat"/>
    <x v="0"/>
    <x v="5"/>
    <s v="Yes"/>
    <n v="100000"/>
    <x v="31"/>
    <x v="3"/>
    <x v="3"/>
    <x v="284"/>
    <x v="0"/>
    <x v="1"/>
    <x v="1"/>
    <n v="100000"/>
  </r>
  <r>
    <x v="1017"/>
    <d v="2025-01-26T00:00:00"/>
    <s v="CUST0161"/>
    <s v="P037"/>
    <n v="4"/>
    <n v="100000"/>
    <n v="400000"/>
    <s v="FLASHSALE"/>
    <n v="80000"/>
    <n v="15000"/>
    <n v="335000"/>
    <s v="Credit Card"/>
    <s v="AnterAja"/>
    <x v="0"/>
    <x v="5"/>
    <s v="Yes"/>
    <n v="320000"/>
    <x v="4"/>
    <x v="2"/>
    <x v="2"/>
    <x v="99"/>
    <x v="1"/>
    <x v="1"/>
    <x v="0"/>
    <n v="320000"/>
  </r>
  <r>
    <x v="1018"/>
    <d v="2025-01-26T00:00:00"/>
    <s v="CUST0137"/>
    <s v="P060"/>
    <n v="1"/>
    <n v="150000"/>
    <n v="150000"/>
    <s v="DISC10"/>
    <n v="15000"/>
    <n v="30000"/>
    <n v="165000"/>
    <s v="E-Wallet"/>
    <s v="J&amp;T"/>
    <x v="3"/>
    <x v="5"/>
    <s v="No"/>
    <n v="135000"/>
    <x v="0"/>
    <x v="0"/>
    <x v="0"/>
    <x v="250"/>
    <x v="0"/>
    <x v="1"/>
    <x v="1"/>
    <n v="0"/>
  </r>
  <r>
    <x v="1019"/>
    <d v="2025-01-26T00:00:00"/>
    <s v="CUST0071"/>
    <s v="P057"/>
    <n v="4"/>
    <n v="500000"/>
    <n v="2000000"/>
    <s v="DISC10"/>
    <n v="200000"/>
    <n v="20000"/>
    <n v="1820000"/>
    <s v="E-Wallet"/>
    <s v="SiCepat"/>
    <x v="1"/>
    <x v="5"/>
    <s v="No"/>
    <n v="1800000"/>
    <x v="44"/>
    <x v="4"/>
    <x v="4"/>
    <x v="117"/>
    <x v="0"/>
    <x v="2"/>
    <x v="1"/>
    <n v="0"/>
  </r>
  <r>
    <x v="1020"/>
    <d v="2025-01-26T00:00:00"/>
    <s v="CUST0041"/>
    <s v="P058"/>
    <n v="1"/>
    <n v="35000"/>
    <n v="35000"/>
    <s v="FLASHSALE"/>
    <n v="7000"/>
    <n v="25000"/>
    <n v="53000"/>
    <s v="E-Wallet"/>
    <s v="JNE"/>
    <x v="0"/>
    <x v="5"/>
    <s v="Yes"/>
    <n v="28000"/>
    <x v="24"/>
    <x v="3"/>
    <x v="3"/>
    <x v="299"/>
    <x v="1"/>
    <x v="8"/>
    <x v="1"/>
    <n v="28000"/>
  </r>
  <r>
    <x v="1021"/>
    <d v="2025-01-26T00:00:00"/>
    <s v="CUST0266"/>
    <s v="P047"/>
    <n v="2"/>
    <n v="500000"/>
    <n v="1000000"/>
    <s v="NONE"/>
    <n v="0"/>
    <n v="15000"/>
    <n v="1015000"/>
    <s v="Bank Transfer"/>
    <s v="SiCepat"/>
    <x v="0"/>
    <x v="5"/>
    <s v="Yes"/>
    <n v="1000000"/>
    <x v="49"/>
    <x v="5"/>
    <x v="5"/>
    <x v="116"/>
    <x v="0"/>
    <x v="7"/>
    <x v="2"/>
    <n v="1000000"/>
  </r>
  <r>
    <x v="1022"/>
    <d v="2025-01-25T00:00:00"/>
    <s v="CUST0154"/>
    <s v="P005"/>
    <n v="1"/>
    <n v="75000"/>
    <n v="75000"/>
    <s v="FLASHSALE"/>
    <n v="15000"/>
    <n v="20000"/>
    <n v="80000"/>
    <s v="COD"/>
    <s v="AnterAja"/>
    <x v="0"/>
    <x v="5"/>
    <s v="Yes"/>
    <n v="60000"/>
    <x v="12"/>
    <x v="5"/>
    <x v="5"/>
    <x v="110"/>
    <x v="1"/>
    <x v="3"/>
    <x v="1"/>
    <n v="60000"/>
  </r>
  <r>
    <x v="1023"/>
    <d v="2025-01-25T00:00:00"/>
    <s v="CUST0179"/>
    <s v="P013"/>
    <n v="4"/>
    <n v="75000"/>
    <n v="300000"/>
    <s v="NONE"/>
    <n v="0"/>
    <n v="10000"/>
    <n v="310000"/>
    <s v="COD"/>
    <s v="JNE"/>
    <x v="3"/>
    <x v="5"/>
    <s v="No"/>
    <n v="300000"/>
    <x v="50"/>
    <x v="2"/>
    <x v="2"/>
    <x v="105"/>
    <x v="1"/>
    <x v="3"/>
    <x v="1"/>
    <n v="0"/>
  </r>
  <r>
    <x v="1024"/>
    <d v="2025-01-25T00:00:00"/>
    <s v="CUST0039"/>
    <s v="P055"/>
    <n v="4"/>
    <n v="300000"/>
    <n v="1200000"/>
    <s v="NONE"/>
    <n v="0"/>
    <n v="20000"/>
    <n v="1220000"/>
    <s v="Bank Transfer"/>
    <s v="SiCepat"/>
    <x v="0"/>
    <x v="5"/>
    <s v="Yes"/>
    <n v="1200000"/>
    <x v="9"/>
    <x v="2"/>
    <x v="2"/>
    <x v="42"/>
    <x v="0"/>
    <x v="3"/>
    <x v="0"/>
    <n v="1200000"/>
  </r>
  <r>
    <x v="1025"/>
    <d v="2025-01-25T00:00:00"/>
    <s v="CUST0011"/>
    <s v="P009"/>
    <n v="3"/>
    <n v="300000"/>
    <n v="900000"/>
    <s v="DISC15"/>
    <n v="135000"/>
    <n v="10000"/>
    <n v="775000"/>
    <s v="Bank Transfer"/>
    <s v="SiCepat"/>
    <x v="4"/>
    <x v="5"/>
    <s v="No"/>
    <n v="765000"/>
    <x v="45"/>
    <x v="4"/>
    <x v="4"/>
    <x v="169"/>
    <x v="0"/>
    <x v="7"/>
    <x v="0"/>
    <n v="0"/>
  </r>
  <r>
    <x v="1026"/>
    <d v="2025-01-25T00:00:00"/>
    <s v="CUST0257"/>
    <s v="P032"/>
    <n v="1"/>
    <n v="35000"/>
    <n v="35000"/>
    <s v="NONE"/>
    <n v="0"/>
    <n v="15000"/>
    <n v="50000"/>
    <s v="Bank Transfer"/>
    <s v="AnterAja"/>
    <x v="3"/>
    <x v="5"/>
    <s v="No"/>
    <n v="35000"/>
    <x v="29"/>
    <x v="1"/>
    <x v="1"/>
    <x v="215"/>
    <x v="1"/>
    <x v="6"/>
    <x v="0"/>
    <n v="0"/>
  </r>
  <r>
    <x v="1027"/>
    <d v="2025-01-25T00:00:00"/>
    <s v="CUST0234"/>
    <s v="P044"/>
    <n v="3"/>
    <n v="500000"/>
    <n v="1500000"/>
    <s v="NONE"/>
    <n v="0"/>
    <n v="15000"/>
    <n v="1515000"/>
    <s v="COD"/>
    <s v="AnterAja"/>
    <x v="0"/>
    <x v="5"/>
    <s v="Yes"/>
    <n v="1500000"/>
    <x v="47"/>
    <x v="1"/>
    <x v="1"/>
    <x v="196"/>
    <x v="0"/>
    <x v="7"/>
    <x v="0"/>
    <n v="1500000"/>
  </r>
  <r>
    <x v="1028"/>
    <d v="2025-01-24T00:00:00"/>
    <s v="CUST0012"/>
    <s v="P018"/>
    <n v="4"/>
    <n v="500000"/>
    <n v="2000000"/>
    <s v="NONE"/>
    <n v="0"/>
    <n v="10000"/>
    <n v="2010000"/>
    <s v="E-Wallet"/>
    <s v="AnterAja"/>
    <x v="0"/>
    <x v="5"/>
    <s v="Yes"/>
    <n v="2000000"/>
    <x v="1"/>
    <x v="0"/>
    <x v="0"/>
    <x v="197"/>
    <x v="0"/>
    <x v="8"/>
    <x v="1"/>
    <n v="2000000"/>
  </r>
  <r>
    <x v="1029"/>
    <d v="2025-01-24T00:00:00"/>
    <s v="CUST0035"/>
    <s v="P024"/>
    <n v="2"/>
    <n v="500000"/>
    <n v="1000000"/>
    <s v="DISC10"/>
    <n v="100000"/>
    <n v="10000"/>
    <n v="910000"/>
    <s v="Bank Transfer"/>
    <s v="SiCepat"/>
    <x v="0"/>
    <x v="5"/>
    <s v="Yes"/>
    <n v="900000"/>
    <x v="43"/>
    <x v="0"/>
    <x v="0"/>
    <x v="140"/>
    <x v="0"/>
    <x v="8"/>
    <x v="0"/>
    <n v="900000"/>
  </r>
  <r>
    <x v="1030"/>
    <d v="2025-01-24T00:00:00"/>
    <s v="CUST0109"/>
    <s v="P054"/>
    <n v="1"/>
    <n v="100000"/>
    <n v="100000"/>
    <s v="NONE"/>
    <n v="0"/>
    <n v="30000"/>
    <n v="130000"/>
    <s v="COD"/>
    <s v="J&amp;T"/>
    <x v="0"/>
    <x v="5"/>
    <s v="Yes"/>
    <n v="100000"/>
    <x v="5"/>
    <x v="0"/>
    <x v="0"/>
    <x v="280"/>
    <x v="1"/>
    <x v="0"/>
    <x v="2"/>
    <n v="100000"/>
  </r>
  <r>
    <x v="1031"/>
    <d v="2025-01-24T00:00:00"/>
    <s v="CUST0136"/>
    <s v="P042"/>
    <n v="3"/>
    <n v="300000"/>
    <n v="900000"/>
    <s v="FLASHSALE"/>
    <n v="180000"/>
    <n v="10000"/>
    <n v="730000"/>
    <s v="E-Wallet"/>
    <s v="SiCepat"/>
    <x v="0"/>
    <x v="5"/>
    <s v="Yes"/>
    <n v="720000"/>
    <x v="36"/>
    <x v="0"/>
    <x v="0"/>
    <x v="97"/>
    <x v="0"/>
    <x v="6"/>
    <x v="1"/>
    <n v="720000"/>
  </r>
  <r>
    <x v="1032"/>
    <d v="2025-01-24T00:00:00"/>
    <s v="CUST0026"/>
    <s v="P045"/>
    <n v="2"/>
    <n v="100000"/>
    <n v="200000"/>
    <s v="DISC10"/>
    <n v="20000"/>
    <n v="10000"/>
    <n v="190000"/>
    <s v="E-Wallet"/>
    <s v="AnterAja"/>
    <x v="0"/>
    <x v="5"/>
    <s v="Yes"/>
    <n v="180000"/>
    <x v="10"/>
    <x v="4"/>
    <x v="4"/>
    <x v="115"/>
    <x v="1"/>
    <x v="0"/>
    <x v="1"/>
    <n v="180000"/>
  </r>
  <r>
    <x v="1033"/>
    <d v="2025-01-24T00:00:00"/>
    <s v="CUST0221"/>
    <s v="P009"/>
    <n v="1"/>
    <n v="300000"/>
    <n v="300000"/>
    <s v="DISC10"/>
    <n v="30000"/>
    <n v="10000"/>
    <n v="280000"/>
    <s v="COD"/>
    <s v="J&amp;T"/>
    <x v="0"/>
    <x v="5"/>
    <s v="Yes"/>
    <n v="270000"/>
    <x v="45"/>
    <x v="4"/>
    <x v="4"/>
    <x v="186"/>
    <x v="0"/>
    <x v="9"/>
    <x v="1"/>
    <n v="270000"/>
  </r>
  <r>
    <x v="1034"/>
    <d v="2025-01-24T00:00:00"/>
    <s v="CUST0080"/>
    <s v="P006"/>
    <n v="2"/>
    <n v="500000"/>
    <n v="1000000"/>
    <s v="FLASHSALE"/>
    <n v="200000"/>
    <n v="10000"/>
    <n v="810000"/>
    <s v="Credit Card"/>
    <s v="J&amp;T"/>
    <x v="0"/>
    <x v="5"/>
    <s v="Yes"/>
    <n v="800000"/>
    <x v="59"/>
    <x v="0"/>
    <x v="0"/>
    <x v="77"/>
    <x v="1"/>
    <x v="2"/>
    <x v="0"/>
    <n v="800000"/>
  </r>
  <r>
    <x v="1035"/>
    <d v="2025-01-23T00:00:00"/>
    <s v="CUST0171"/>
    <s v="P006"/>
    <n v="4"/>
    <n v="500000"/>
    <n v="2000000"/>
    <s v="NONE"/>
    <n v="0"/>
    <n v="25000"/>
    <n v="2025000"/>
    <s v="Bank Transfer"/>
    <s v="J&amp;T"/>
    <x v="2"/>
    <x v="5"/>
    <s v="No"/>
    <n v="2000000"/>
    <x v="59"/>
    <x v="0"/>
    <x v="0"/>
    <x v="10"/>
    <x v="0"/>
    <x v="2"/>
    <x v="1"/>
    <n v="0"/>
  </r>
  <r>
    <x v="1036"/>
    <d v="2025-01-23T00:00:00"/>
    <s v="CUST0023"/>
    <s v="P026"/>
    <n v="2"/>
    <n v="200000"/>
    <n v="400000"/>
    <s v="DISC15"/>
    <n v="60000"/>
    <n v="25000"/>
    <n v="365000"/>
    <s v="COD"/>
    <s v="J&amp;T"/>
    <x v="3"/>
    <x v="5"/>
    <s v="No"/>
    <n v="340000"/>
    <x v="3"/>
    <x v="1"/>
    <x v="1"/>
    <x v="45"/>
    <x v="1"/>
    <x v="3"/>
    <x v="2"/>
    <n v="0"/>
  </r>
  <r>
    <x v="1037"/>
    <d v="2025-01-23T00:00:00"/>
    <s v="CUST0251"/>
    <s v="P054"/>
    <n v="1"/>
    <n v="100000"/>
    <n v="100000"/>
    <s v="DISC10"/>
    <n v="10000"/>
    <n v="10000"/>
    <n v="100000"/>
    <s v="E-Wallet"/>
    <s v="JNE"/>
    <x v="0"/>
    <x v="5"/>
    <s v="Yes"/>
    <n v="90000"/>
    <x v="5"/>
    <x v="0"/>
    <x v="0"/>
    <x v="330"/>
    <x v="0"/>
    <x v="0"/>
    <x v="1"/>
    <n v="90000"/>
  </r>
  <r>
    <x v="1038"/>
    <d v="2025-01-23T00:00:00"/>
    <s v="CUST0047"/>
    <s v="P013"/>
    <n v="1"/>
    <n v="75000"/>
    <n v="75000"/>
    <s v="NONE"/>
    <n v="0"/>
    <n v="10000"/>
    <n v="85000"/>
    <s v="E-Wallet"/>
    <s v="AnterAja"/>
    <x v="0"/>
    <x v="5"/>
    <s v="Yes"/>
    <n v="75000"/>
    <x v="50"/>
    <x v="2"/>
    <x v="2"/>
    <x v="232"/>
    <x v="0"/>
    <x v="9"/>
    <x v="2"/>
    <n v="75000"/>
  </r>
  <r>
    <x v="1039"/>
    <d v="2025-01-23T00:00:00"/>
    <s v="CUST0048"/>
    <s v="P045"/>
    <n v="3"/>
    <n v="100000"/>
    <n v="300000"/>
    <s v="NONE"/>
    <n v="0"/>
    <n v="10000"/>
    <n v="310000"/>
    <s v="Credit Card"/>
    <s v="SiCepat"/>
    <x v="0"/>
    <x v="5"/>
    <s v="Yes"/>
    <n v="300000"/>
    <x v="10"/>
    <x v="4"/>
    <x v="4"/>
    <x v="36"/>
    <x v="0"/>
    <x v="8"/>
    <x v="0"/>
    <n v="300000"/>
  </r>
  <r>
    <x v="1040"/>
    <d v="2025-01-23T00:00:00"/>
    <s v="CUST0027"/>
    <s v="P006"/>
    <n v="1"/>
    <n v="500000"/>
    <n v="500000"/>
    <s v="DISC10"/>
    <n v="50000"/>
    <n v="20000"/>
    <n v="470000"/>
    <s v="Credit Card"/>
    <s v="SiCepat"/>
    <x v="0"/>
    <x v="5"/>
    <s v="Yes"/>
    <n v="450000"/>
    <x v="59"/>
    <x v="0"/>
    <x v="0"/>
    <x v="331"/>
    <x v="0"/>
    <x v="0"/>
    <x v="2"/>
    <n v="450000"/>
  </r>
  <r>
    <x v="1041"/>
    <d v="2025-01-22T00:00:00"/>
    <s v="CUST0003"/>
    <s v="P041"/>
    <n v="2"/>
    <n v="75000"/>
    <n v="150000"/>
    <s v="DISC10"/>
    <n v="15000"/>
    <n v="25000"/>
    <n v="160000"/>
    <s v="Bank Transfer"/>
    <s v="J&amp;T"/>
    <x v="2"/>
    <x v="5"/>
    <s v="No"/>
    <n v="135000"/>
    <x v="15"/>
    <x v="5"/>
    <x v="5"/>
    <x v="30"/>
    <x v="1"/>
    <x v="3"/>
    <x v="2"/>
    <n v="0"/>
  </r>
  <r>
    <x v="1042"/>
    <d v="2025-01-22T00:00:00"/>
    <s v="CUST0349"/>
    <s v="P022"/>
    <n v="1"/>
    <n v="150000"/>
    <n v="150000"/>
    <s v="NONE"/>
    <n v="0"/>
    <n v="25000"/>
    <n v="175000"/>
    <s v="E-Wallet"/>
    <s v="AnterAja"/>
    <x v="1"/>
    <x v="5"/>
    <s v="No"/>
    <n v="150000"/>
    <x v="55"/>
    <x v="3"/>
    <x v="3"/>
    <x v="205"/>
    <x v="0"/>
    <x v="3"/>
    <x v="1"/>
    <n v="0"/>
  </r>
  <r>
    <x v="1043"/>
    <d v="2025-01-22T00:00:00"/>
    <s v="CUST0101"/>
    <s v="P027"/>
    <n v="1"/>
    <n v="200000"/>
    <n v="200000"/>
    <s v="NONE"/>
    <n v="0"/>
    <n v="10000"/>
    <n v="210000"/>
    <s v="COD"/>
    <s v="JNE"/>
    <x v="0"/>
    <x v="5"/>
    <s v="Yes"/>
    <n v="200000"/>
    <x v="51"/>
    <x v="4"/>
    <x v="4"/>
    <x v="332"/>
    <x v="1"/>
    <x v="0"/>
    <x v="1"/>
    <n v="200000"/>
  </r>
  <r>
    <x v="1044"/>
    <d v="2025-01-22T00:00:00"/>
    <s v="CUST0237"/>
    <s v="P041"/>
    <n v="2"/>
    <n v="75000"/>
    <n v="150000"/>
    <s v="DISC10"/>
    <n v="15000"/>
    <n v="20000"/>
    <n v="155000"/>
    <s v="Credit Card"/>
    <s v="AnterAja"/>
    <x v="0"/>
    <x v="5"/>
    <s v="Yes"/>
    <n v="135000"/>
    <x v="15"/>
    <x v="5"/>
    <x v="5"/>
    <x v="40"/>
    <x v="0"/>
    <x v="4"/>
    <x v="1"/>
    <n v="135000"/>
  </r>
  <r>
    <x v="1045"/>
    <d v="2025-01-22T00:00:00"/>
    <s v="CUST0233"/>
    <s v="P017"/>
    <n v="1"/>
    <n v="100000"/>
    <n v="100000"/>
    <s v="DISC10"/>
    <n v="10000"/>
    <n v="15000"/>
    <n v="105000"/>
    <s v="Credit Card"/>
    <s v="JNE"/>
    <x v="2"/>
    <x v="5"/>
    <s v="No"/>
    <n v="90000"/>
    <x v="39"/>
    <x v="5"/>
    <x v="5"/>
    <x v="321"/>
    <x v="1"/>
    <x v="3"/>
    <x v="1"/>
    <n v="0"/>
  </r>
  <r>
    <x v="1046"/>
    <d v="2025-01-22T00:00:00"/>
    <s v="CUST0185"/>
    <s v="P020"/>
    <n v="1"/>
    <n v="75000"/>
    <n v="75000"/>
    <s v="NONE"/>
    <n v="0"/>
    <n v="10000"/>
    <n v="85000"/>
    <s v="Credit Card"/>
    <s v="J&amp;T"/>
    <x v="0"/>
    <x v="5"/>
    <s v="Yes"/>
    <n v="75000"/>
    <x v="6"/>
    <x v="1"/>
    <x v="1"/>
    <x v="312"/>
    <x v="1"/>
    <x v="9"/>
    <x v="1"/>
    <n v="75000"/>
  </r>
  <r>
    <x v="1047"/>
    <d v="2025-01-22T00:00:00"/>
    <s v="CUST0113"/>
    <s v="P037"/>
    <n v="2"/>
    <n v="100000"/>
    <n v="200000"/>
    <s v="DISC10"/>
    <n v="20000"/>
    <n v="10000"/>
    <n v="190000"/>
    <s v="COD"/>
    <s v="J&amp;T"/>
    <x v="0"/>
    <x v="5"/>
    <s v="Yes"/>
    <n v="180000"/>
    <x v="4"/>
    <x v="2"/>
    <x v="2"/>
    <x v="95"/>
    <x v="1"/>
    <x v="1"/>
    <x v="1"/>
    <n v="180000"/>
  </r>
  <r>
    <x v="1048"/>
    <d v="2025-01-22T00:00:00"/>
    <s v="CUST0321"/>
    <s v="P029"/>
    <n v="2"/>
    <n v="500000"/>
    <n v="1000000"/>
    <s v="DISC10"/>
    <n v="100000"/>
    <n v="20000"/>
    <n v="920000"/>
    <s v="Bank Transfer"/>
    <s v="SiCepat"/>
    <x v="0"/>
    <x v="5"/>
    <s v="Yes"/>
    <n v="900000"/>
    <x v="35"/>
    <x v="5"/>
    <x v="5"/>
    <x v="50"/>
    <x v="0"/>
    <x v="4"/>
    <x v="2"/>
    <n v="900000"/>
  </r>
  <r>
    <x v="1049"/>
    <d v="2025-01-21T00:00:00"/>
    <s v="CUST0141"/>
    <s v="P022"/>
    <n v="1"/>
    <n v="150000"/>
    <n v="150000"/>
    <s v="DISC10"/>
    <n v="15000"/>
    <n v="20000"/>
    <n v="155000"/>
    <s v="E-Wallet"/>
    <s v="AnterAja"/>
    <x v="0"/>
    <x v="5"/>
    <s v="Yes"/>
    <n v="135000"/>
    <x v="55"/>
    <x v="3"/>
    <x v="3"/>
    <x v="56"/>
    <x v="1"/>
    <x v="8"/>
    <x v="1"/>
    <n v="135000"/>
  </r>
  <r>
    <x v="1050"/>
    <d v="2025-01-21T00:00:00"/>
    <s v="CUST0196"/>
    <s v="P050"/>
    <n v="1"/>
    <n v="200000"/>
    <n v="200000"/>
    <s v="NONE"/>
    <n v="0"/>
    <n v="20000"/>
    <n v="220000"/>
    <s v="Bank Transfer"/>
    <s v="SiCepat"/>
    <x v="2"/>
    <x v="5"/>
    <s v="No"/>
    <n v="200000"/>
    <x v="34"/>
    <x v="1"/>
    <x v="1"/>
    <x v="227"/>
    <x v="1"/>
    <x v="1"/>
    <x v="1"/>
    <n v="0"/>
  </r>
  <r>
    <x v="1051"/>
    <d v="2025-01-21T00:00:00"/>
    <s v="CUST0133"/>
    <s v="P023"/>
    <n v="1"/>
    <n v="50000"/>
    <n v="50000"/>
    <s v="NONE"/>
    <n v="0"/>
    <n v="20000"/>
    <n v="70000"/>
    <s v="COD"/>
    <s v="J&amp;T"/>
    <x v="0"/>
    <x v="5"/>
    <s v="Yes"/>
    <n v="50000"/>
    <x v="14"/>
    <x v="5"/>
    <x v="5"/>
    <x v="310"/>
    <x v="1"/>
    <x v="2"/>
    <x v="0"/>
    <n v="50000"/>
  </r>
  <r>
    <x v="1052"/>
    <d v="2025-01-21T00:00:00"/>
    <s v="CUST0092"/>
    <s v="P016"/>
    <n v="3"/>
    <n v="150000"/>
    <n v="450000"/>
    <s v="DISC10"/>
    <n v="45000"/>
    <n v="30000"/>
    <n v="435000"/>
    <s v="E-Wallet"/>
    <s v="J&amp;T"/>
    <x v="0"/>
    <x v="5"/>
    <s v="Yes"/>
    <n v="405000"/>
    <x v="8"/>
    <x v="3"/>
    <x v="3"/>
    <x v="204"/>
    <x v="1"/>
    <x v="3"/>
    <x v="2"/>
    <n v="405000"/>
  </r>
  <r>
    <x v="1053"/>
    <d v="2025-01-21T00:00:00"/>
    <s v="CUST0171"/>
    <s v="P015"/>
    <n v="1"/>
    <n v="500000"/>
    <n v="500000"/>
    <s v="NONE"/>
    <n v="0"/>
    <n v="15000"/>
    <n v="515000"/>
    <s v="E-Wallet"/>
    <s v="AnterAja"/>
    <x v="0"/>
    <x v="5"/>
    <s v="Yes"/>
    <n v="500000"/>
    <x v="19"/>
    <x v="4"/>
    <x v="4"/>
    <x v="10"/>
    <x v="0"/>
    <x v="2"/>
    <x v="1"/>
    <n v="500000"/>
  </r>
  <r>
    <x v="1054"/>
    <d v="2025-01-21T00:00:00"/>
    <s v="CUST0234"/>
    <s v="P010"/>
    <n v="4"/>
    <n v="50000"/>
    <n v="200000"/>
    <s v="DISC10"/>
    <n v="20000"/>
    <n v="20000"/>
    <n v="200000"/>
    <s v="COD"/>
    <s v="JNE"/>
    <x v="1"/>
    <x v="5"/>
    <s v="No"/>
    <n v="180000"/>
    <x v="13"/>
    <x v="3"/>
    <x v="3"/>
    <x v="196"/>
    <x v="0"/>
    <x v="7"/>
    <x v="0"/>
    <n v="0"/>
  </r>
  <r>
    <x v="1055"/>
    <d v="2025-01-21T00:00:00"/>
    <s v="CUST0082"/>
    <s v="P024"/>
    <n v="4"/>
    <n v="500000"/>
    <n v="2000000"/>
    <s v="FLASHSALE"/>
    <n v="400000"/>
    <n v="15000"/>
    <n v="1615000"/>
    <s v="E-Wallet"/>
    <s v="SiCepat"/>
    <x v="1"/>
    <x v="5"/>
    <s v="No"/>
    <n v="1600000"/>
    <x v="43"/>
    <x v="0"/>
    <x v="0"/>
    <x v="81"/>
    <x v="1"/>
    <x v="5"/>
    <x v="1"/>
    <n v="0"/>
  </r>
  <r>
    <x v="1056"/>
    <d v="2025-01-20T00:00:00"/>
    <s v="CUST0154"/>
    <s v="P004"/>
    <n v="3"/>
    <n v="300000"/>
    <n v="900000"/>
    <s v="NEWUSER"/>
    <n v="90000"/>
    <n v="25000"/>
    <n v="835000"/>
    <s v="Bank Transfer"/>
    <s v="AnterAja"/>
    <x v="2"/>
    <x v="5"/>
    <s v="No"/>
    <n v="810000"/>
    <x v="22"/>
    <x v="3"/>
    <x v="3"/>
    <x v="110"/>
    <x v="1"/>
    <x v="3"/>
    <x v="1"/>
    <n v="0"/>
  </r>
  <r>
    <x v="1057"/>
    <d v="2025-01-20T00:00:00"/>
    <s v="CUST0256"/>
    <s v="P010"/>
    <n v="1"/>
    <n v="50000"/>
    <n v="50000"/>
    <s v="FLASHSALE"/>
    <n v="10000"/>
    <n v="10000"/>
    <n v="50000"/>
    <s v="E-Wallet"/>
    <s v="JNE"/>
    <x v="0"/>
    <x v="5"/>
    <s v="Yes"/>
    <n v="40000"/>
    <x v="13"/>
    <x v="3"/>
    <x v="3"/>
    <x v="231"/>
    <x v="0"/>
    <x v="3"/>
    <x v="1"/>
    <n v="40000"/>
  </r>
  <r>
    <x v="1058"/>
    <d v="2025-01-20T00:00:00"/>
    <s v="CUST0179"/>
    <s v="P014"/>
    <n v="4"/>
    <n v="75000"/>
    <n v="300000"/>
    <s v="DISC10"/>
    <n v="30000"/>
    <n v="20000"/>
    <n v="290000"/>
    <s v="COD"/>
    <s v="J&amp;T"/>
    <x v="0"/>
    <x v="5"/>
    <s v="Yes"/>
    <n v="270000"/>
    <x v="30"/>
    <x v="1"/>
    <x v="1"/>
    <x v="105"/>
    <x v="1"/>
    <x v="3"/>
    <x v="1"/>
    <n v="270000"/>
  </r>
  <r>
    <x v="1059"/>
    <d v="2025-01-20T00:00:00"/>
    <s v="CUST0048"/>
    <s v="P009"/>
    <n v="1"/>
    <n v="300000"/>
    <n v="300000"/>
    <s v="FLASHSALE"/>
    <n v="60000"/>
    <n v="20000"/>
    <n v="260000"/>
    <s v="Bank Transfer"/>
    <s v="J&amp;T"/>
    <x v="0"/>
    <x v="5"/>
    <s v="Yes"/>
    <n v="240000"/>
    <x v="45"/>
    <x v="4"/>
    <x v="4"/>
    <x v="36"/>
    <x v="0"/>
    <x v="8"/>
    <x v="0"/>
    <n v="240000"/>
  </r>
  <r>
    <x v="1060"/>
    <d v="2025-01-20T00:00:00"/>
    <s v="CUST0291"/>
    <s v="P053"/>
    <n v="4"/>
    <n v="75000"/>
    <n v="300000"/>
    <s v="FLASHSALE"/>
    <n v="60000"/>
    <n v="25000"/>
    <n v="265000"/>
    <s v="Credit Card"/>
    <s v="AnterAja"/>
    <x v="0"/>
    <x v="5"/>
    <s v="Yes"/>
    <n v="240000"/>
    <x v="27"/>
    <x v="5"/>
    <x v="5"/>
    <x v="219"/>
    <x v="0"/>
    <x v="5"/>
    <x v="1"/>
    <n v="240000"/>
  </r>
  <r>
    <x v="1061"/>
    <d v="2025-01-19T00:00:00"/>
    <s v="CUST0332"/>
    <s v="P008"/>
    <n v="2"/>
    <n v="150000"/>
    <n v="300000"/>
    <s v="NONE"/>
    <n v="0"/>
    <n v="15000"/>
    <n v="315000"/>
    <s v="Credit Card"/>
    <s v="AnterAja"/>
    <x v="2"/>
    <x v="5"/>
    <s v="No"/>
    <n v="300000"/>
    <x v="18"/>
    <x v="1"/>
    <x v="1"/>
    <x v="18"/>
    <x v="1"/>
    <x v="2"/>
    <x v="1"/>
    <n v="0"/>
  </r>
  <r>
    <x v="1062"/>
    <d v="2025-01-19T00:00:00"/>
    <s v="CUST0106"/>
    <s v="P021"/>
    <n v="2"/>
    <n v="200000"/>
    <n v="400000"/>
    <s v="DISC15"/>
    <n v="60000"/>
    <n v="25000"/>
    <n v="365000"/>
    <s v="Bank Transfer"/>
    <s v="AnterAja"/>
    <x v="2"/>
    <x v="5"/>
    <s v="No"/>
    <n v="340000"/>
    <x v="32"/>
    <x v="4"/>
    <x v="4"/>
    <x v="15"/>
    <x v="1"/>
    <x v="7"/>
    <x v="0"/>
    <n v="0"/>
  </r>
  <r>
    <x v="1063"/>
    <d v="2025-01-19T00:00:00"/>
    <s v="CUST0102"/>
    <s v="P027"/>
    <n v="2"/>
    <n v="200000"/>
    <n v="400000"/>
    <s v="NONE"/>
    <n v="0"/>
    <n v="25000"/>
    <n v="425000"/>
    <s v="Credit Card"/>
    <s v="JNE"/>
    <x v="2"/>
    <x v="5"/>
    <s v="No"/>
    <n v="400000"/>
    <x v="51"/>
    <x v="4"/>
    <x v="4"/>
    <x v="236"/>
    <x v="1"/>
    <x v="2"/>
    <x v="1"/>
    <n v="0"/>
  </r>
  <r>
    <x v="1064"/>
    <d v="2025-01-19T00:00:00"/>
    <s v="CUST0102"/>
    <s v="P008"/>
    <n v="2"/>
    <n v="150000"/>
    <n v="300000"/>
    <s v="FLASHSALE"/>
    <n v="60000"/>
    <n v="30000"/>
    <n v="270000"/>
    <s v="Bank Transfer"/>
    <s v="SiCepat"/>
    <x v="1"/>
    <x v="5"/>
    <s v="No"/>
    <n v="240000"/>
    <x v="18"/>
    <x v="1"/>
    <x v="1"/>
    <x v="236"/>
    <x v="1"/>
    <x v="2"/>
    <x v="1"/>
    <n v="0"/>
  </r>
  <r>
    <x v="1065"/>
    <d v="2025-01-19T00:00:00"/>
    <s v="CUST0066"/>
    <s v="P039"/>
    <n v="1"/>
    <n v="35000"/>
    <n v="35000"/>
    <s v="DISC15"/>
    <n v="5250"/>
    <n v="30000"/>
    <n v="59750"/>
    <s v="Bank Transfer"/>
    <s v="JNE"/>
    <x v="0"/>
    <x v="5"/>
    <s v="Yes"/>
    <n v="29750"/>
    <x v="11"/>
    <x v="4"/>
    <x v="4"/>
    <x v="139"/>
    <x v="0"/>
    <x v="0"/>
    <x v="2"/>
    <n v="29750"/>
  </r>
  <r>
    <x v="1066"/>
    <d v="2025-01-19T00:00:00"/>
    <s v="CUST0208"/>
    <s v="P031"/>
    <n v="1"/>
    <n v="150000"/>
    <n v="150000"/>
    <s v="DISC10"/>
    <n v="15000"/>
    <n v="15000"/>
    <n v="150000"/>
    <s v="E-Wallet"/>
    <s v="J&amp;T"/>
    <x v="0"/>
    <x v="5"/>
    <s v="Yes"/>
    <n v="135000"/>
    <x v="20"/>
    <x v="2"/>
    <x v="2"/>
    <x v="289"/>
    <x v="0"/>
    <x v="2"/>
    <x v="1"/>
    <n v="135000"/>
  </r>
  <r>
    <x v="1067"/>
    <d v="2025-01-19T00:00:00"/>
    <s v="CUST0156"/>
    <s v="P017"/>
    <n v="2"/>
    <n v="100000"/>
    <n v="200000"/>
    <s v="NEWUSER"/>
    <n v="20000"/>
    <n v="20000"/>
    <n v="200000"/>
    <s v="COD"/>
    <s v="JNE"/>
    <x v="0"/>
    <x v="5"/>
    <s v="Yes"/>
    <n v="180000"/>
    <x v="39"/>
    <x v="5"/>
    <x v="5"/>
    <x v="333"/>
    <x v="1"/>
    <x v="0"/>
    <x v="1"/>
    <n v="180000"/>
  </r>
  <r>
    <x v="1068"/>
    <d v="2025-01-19T00:00:00"/>
    <s v="CUST0220"/>
    <s v="P046"/>
    <n v="1"/>
    <n v="100000"/>
    <n v="100000"/>
    <s v="NEWUSER"/>
    <n v="10000"/>
    <n v="25000"/>
    <n v="115000"/>
    <s v="Bank Transfer"/>
    <s v="J&amp;T"/>
    <x v="0"/>
    <x v="5"/>
    <s v="Yes"/>
    <n v="90000"/>
    <x v="7"/>
    <x v="3"/>
    <x v="3"/>
    <x v="237"/>
    <x v="0"/>
    <x v="5"/>
    <x v="2"/>
    <n v="90000"/>
  </r>
  <r>
    <x v="1069"/>
    <d v="2025-01-18T00:00:00"/>
    <s v="CUST0003"/>
    <s v="P028"/>
    <n v="3"/>
    <n v="50000"/>
    <n v="150000"/>
    <s v="DISC10"/>
    <n v="15000"/>
    <n v="10000"/>
    <n v="145000"/>
    <s v="E-Wallet"/>
    <s v="AnterAja"/>
    <x v="0"/>
    <x v="5"/>
    <s v="Yes"/>
    <n v="135000"/>
    <x v="31"/>
    <x v="3"/>
    <x v="3"/>
    <x v="30"/>
    <x v="1"/>
    <x v="3"/>
    <x v="2"/>
    <n v="135000"/>
  </r>
  <r>
    <x v="1070"/>
    <d v="2025-01-18T00:00:00"/>
    <s v="CUST0096"/>
    <s v="P035"/>
    <n v="1"/>
    <n v="200000"/>
    <n v="200000"/>
    <s v="NONE"/>
    <n v="0"/>
    <n v="30000"/>
    <n v="230000"/>
    <s v="E-Wallet"/>
    <s v="J&amp;T"/>
    <x v="3"/>
    <x v="5"/>
    <s v="No"/>
    <n v="200000"/>
    <x v="41"/>
    <x v="5"/>
    <x v="5"/>
    <x v="156"/>
    <x v="0"/>
    <x v="4"/>
    <x v="2"/>
    <n v="0"/>
  </r>
  <r>
    <x v="1071"/>
    <d v="2025-01-18T00:00:00"/>
    <s v="CUST0113"/>
    <s v="P059"/>
    <n v="1"/>
    <n v="75000"/>
    <n v="75000"/>
    <s v="NONE"/>
    <n v="0"/>
    <n v="25000"/>
    <n v="100000"/>
    <s v="Bank Transfer"/>
    <s v="JNE"/>
    <x v="0"/>
    <x v="5"/>
    <s v="Yes"/>
    <n v="75000"/>
    <x v="16"/>
    <x v="5"/>
    <x v="5"/>
    <x v="95"/>
    <x v="1"/>
    <x v="1"/>
    <x v="1"/>
    <n v="75000"/>
  </r>
  <r>
    <x v="1072"/>
    <d v="2025-01-18T00:00:00"/>
    <s v="CUST0090"/>
    <s v="P053"/>
    <n v="4"/>
    <n v="75000"/>
    <n v="300000"/>
    <s v="FLASHSALE"/>
    <n v="60000"/>
    <n v="15000"/>
    <n v="255000"/>
    <s v="Bank Transfer"/>
    <s v="J&amp;T"/>
    <x v="4"/>
    <x v="5"/>
    <s v="No"/>
    <n v="240000"/>
    <x v="27"/>
    <x v="5"/>
    <x v="5"/>
    <x v="88"/>
    <x v="0"/>
    <x v="8"/>
    <x v="2"/>
    <n v="0"/>
  </r>
  <r>
    <x v="1073"/>
    <d v="2025-01-18T00:00:00"/>
    <s v="CUST0327"/>
    <s v="P001"/>
    <n v="4"/>
    <n v="300000"/>
    <n v="1200000"/>
    <s v="NONE"/>
    <n v="0"/>
    <n v="20000"/>
    <n v="1220000"/>
    <s v="Bank Transfer"/>
    <s v="AnterAja"/>
    <x v="0"/>
    <x v="5"/>
    <s v="Yes"/>
    <n v="1200000"/>
    <x v="26"/>
    <x v="2"/>
    <x v="2"/>
    <x v="255"/>
    <x v="1"/>
    <x v="9"/>
    <x v="1"/>
    <n v="1200000"/>
  </r>
  <r>
    <x v="1074"/>
    <d v="2025-01-18T00:00:00"/>
    <s v="CUST0073"/>
    <s v="P033"/>
    <n v="2"/>
    <n v="100000"/>
    <n v="200000"/>
    <s v="DISC15"/>
    <n v="30000"/>
    <n v="30000"/>
    <n v="200000"/>
    <s v="COD"/>
    <s v="J&amp;T"/>
    <x v="2"/>
    <x v="5"/>
    <s v="No"/>
    <n v="170000"/>
    <x v="58"/>
    <x v="4"/>
    <x v="4"/>
    <x v="308"/>
    <x v="1"/>
    <x v="9"/>
    <x v="0"/>
    <n v="0"/>
  </r>
  <r>
    <x v="1075"/>
    <d v="2025-01-18T00:00:00"/>
    <s v="CUST0044"/>
    <s v="P012"/>
    <n v="1"/>
    <n v="300000"/>
    <n v="300000"/>
    <s v="NONE"/>
    <n v="0"/>
    <n v="15000"/>
    <n v="315000"/>
    <s v="Credit Card"/>
    <s v="SiCepat"/>
    <x v="3"/>
    <x v="5"/>
    <s v="No"/>
    <n v="300000"/>
    <x v="40"/>
    <x v="0"/>
    <x v="0"/>
    <x v="3"/>
    <x v="0"/>
    <x v="3"/>
    <x v="2"/>
    <n v="0"/>
  </r>
  <r>
    <x v="1076"/>
    <d v="2025-01-18T00:00:00"/>
    <s v="CUST0077"/>
    <s v="P045"/>
    <n v="1"/>
    <n v="100000"/>
    <n v="100000"/>
    <s v="DISC10"/>
    <n v="10000"/>
    <n v="25000"/>
    <n v="115000"/>
    <s v="COD"/>
    <s v="SiCepat"/>
    <x v="0"/>
    <x v="5"/>
    <s v="Yes"/>
    <n v="90000"/>
    <x v="10"/>
    <x v="4"/>
    <x v="4"/>
    <x v="325"/>
    <x v="1"/>
    <x v="4"/>
    <x v="1"/>
    <n v="90000"/>
  </r>
  <r>
    <x v="1077"/>
    <d v="2025-01-17T00:00:00"/>
    <s v="CUST0223"/>
    <s v="P034"/>
    <n v="2"/>
    <n v="50000"/>
    <n v="100000"/>
    <s v="NONE"/>
    <n v="0"/>
    <n v="15000"/>
    <n v="115000"/>
    <s v="COD"/>
    <s v="AnterAja"/>
    <x v="0"/>
    <x v="5"/>
    <s v="Yes"/>
    <n v="100000"/>
    <x v="42"/>
    <x v="3"/>
    <x v="3"/>
    <x v="136"/>
    <x v="0"/>
    <x v="6"/>
    <x v="1"/>
    <n v="100000"/>
  </r>
  <r>
    <x v="1078"/>
    <d v="2025-01-17T00:00:00"/>
    <s v="CUST0322"/>
    <s v="P006"/>
    <n v="1"/>
    <n v="500000"/>
    <n v="500000"/>
    <s v="NONE"/>
    <n v="0"/>
    <n v="25000"/>
    <n v="525000"/>
    <s v="E-Wallet"/>
    <s v="JNE"/>
    <x v="0"/>
    <x v="5"/>
    <s v="Yes"/>
    <n v="500000"/>
    <x v="59"/>
    <x v="0"/>
    <x v="0"/>
    <x v="334"/>
    <x v="0"/>
    <x v="8"/>
    <x v="2"/>
    <n v="500000"/>
  </r>
  <r>
    <x v="1079"/>
    <d v="2025-01-17T00:00:00"/>
    <s v="CUST0071"/>
    <s v="P013"/>
    <n v="2"/>
    <n v="75000"/>
    <n v="150000"/>
    <s v="DISC10"/>
    <n v="15000"/>
    <n v="30000"/>
    <n v="165000"/>
    <s v="Credit Card"/>
    <s v="J&amp;T"/>
    <x v="2"/>
    <x v="5"/>
    <s v="No"/>
    <n v="135000"/>
    <x v="50"/>
    <x v="2"/>
    <x v="2"/>
    <x v="117"/>
    <x v="0"/>
    <x v="2"/>
    <x v="1"/>
    <n v="0"/>
  </r>
  <r>
    <x v="1080"/>
    <d v="2025-01-17T00:00:00"/>
    <s v="CUST0090"/>
    <s v="P013"/>
    <n v="1"/>
    <n v="75000"/>
    <n v="75000"/>
    <s v="NEWUSER"/>
    <n v="7500"/>
    <n v="30000"/>
    <n v="97500"/>
    <s v="E-Wallet"/>
    <s v="JNE"/>
    <x v="1"/>
    <x v="5"/>
    <s v="No"/>
    <n v="67500"/>
    <x v="50"/>
    <x v="2"/>
    <x v="2"/>
    <x v="88"/>
    <x v="0"/>
    <x v="8"/>
    <x v="2"/>
    <n v="0"/>
  </r>
  <r>
    <x v="1081"/>
    <d v="2025-01-17T00:00:00"/>
    <s v="CUST0336"/>
    <s v="P058"/>
    <n v="4"/>
    <n v="35000"/>
    <n v="140000"/>
    <s v="DISC15"/>
    <n v="21000"/>
    <n v="10000"/>
    <n v="129000"/>
    <s v="E-Wallet"/>
    <s v="J&amp;T"/>
    <x v="2"/>
    <x v="5"/>
    <s v="No"/>
    <n v="119000"/>
    <x v="24"/>
    <x v="3"/>
    <x v="3"/>
    <x v="260"/>
    <x v="0"/>
    <x v="1"/>
    <x v="1"/>
    <n v="0"/>
  </r>
  <r>
    <x v="1082"/>
    <d v="2025-01-17T00:00:00"/>
    <s v="CUST0073"/>
    <s v="P014"/>
    <n v="1"/>
    <n v="75000"/>
    <n v="75000"/>
    <s v="DISC15"/>
    <n v="11250"/>
    <n v="20000"/>
    <n v="83750"/>
    <s v="Bank Transfer"/>
    <s v="SiCepat"/>
    <x v="0"/>
    <x v="5"/>
    <s v="Yes"/>
    <n v="63750"/>
    <x v="30"/>
    <x v="1"/>
    <x v="1"/>
    <x v="308"/>
    <x v="1"/>
    <x v="9"/>
    <x v="0"/>
    <n v="63750"/>
  </r>
  <r>
    <x v="1083"/>
    <d v="2025-01-17T00:00:00"/>
    <s v="CUST0325"/>
    <s v="P039"/>
    <n v="1"/>
    <n v="35000"/>
    <n v="35000"/>
    <s v="NEWUSER"/>
    <n v="3500"/>
    <n v="30000"/>
    <n v="61500"/>
    <s v="E-Wallet"/>
    <s v="JNE"/>
    <x v="0"/>
    <x v="5"/>
    <s v="Yes"/>
    <n v="31500"/>
    <x v="11"/>
    <x v="4"/>
    <x v="4"/>
    <x v="153"/>
    <x v="1"/>
    <x v="8"/>
    <x v="2"/>
    <n v="31500"/>
  </r>
  <r>
    <x v="1084"/>
    <d v="2025-01-17T00:00:00"/>
    <s v="CUST0265"/>
    <s v="P050"/>
    <n v="2"/>
    <n v="200000"/>
    <n v="400000"/>
    <s v="FLASHSALE"/>
    <n v="80000"/>
    <n v="15000"/>
    <n v="335000"/>
    <s v="E-Wallet"/>
    <s v="SiCepat"/>
    <x v="4"/>
    <x v="5"/>
    <s v="No"/>
    <n v="320000"/>
    <x v="34"/>
    <x v="1"/>
    <x v="1"/>
    <x v="268"/>
    <x v="0"/>
    <x v="6"/>
    <x v="1"/>
    <n v="0"/>
  </r>
  <r>
    <x v="1085"/>
    <d v="2025-01-17T00:00:00"/>
    <s v="CUST0060"/>
    <s v="P022"/>
    <n v="2"/>
    <n v="150000"/>
    <n v="300000"/>
    <s v="DISC15"/>
    <n v="45000"/>
    <n v="15000"/>
    <n v="270000"/>
    <s v="COD"/>
    <s v="SiCepat"/>
    <x v="4"/>
    <x v="5"/>
    <s v="No"/>
    <n v="255000"/>
    <x v="55"/>
    <x v="3"/>
    <x v="3"/>
    <x v="80"/>
    <x v="1"/>
    <x v="0"/>
    <x v="1"/>
    <n v="0"/>
  </r>
  <r>
    <x v="1086"/>
    <d v="2025-01-16T00:00:00"/>
    <s v="CUST0038"/>
    <s v="P052"/>
    <n v="1"/>
    <n v="200000"/>
    <n v="200000"/>
    <s v="NONE"/>
    <n v="0"/>
    <n v="15000"/>
    <n v="215000"/>
    <s v="Bank Transfer"/>
    <s v="SiCepat"/>
    <x v="0"/>
    <x v="5"/>
    <s v="Yes"/>
    <n v="200000"/>
    <x v="56"/>
    <x v="3"/>
    <x v="3"/>
    <x v="170"/>
    <x v="0"/>
    <x v="7"/>
    <x v="0"/>
    <n v="200000"/>
  </r>
  <r>
    <x v="1087"/>
    <d v="2025-01-16T00:00:00"/>
    <s v="CUST0236"/>
    <s v="P047"/>
    <n v="1"/>
    <n v="500000"/>
    <n v="500000"/>
    <s v="DISC10"/>
    <n v="50000"/>
    <n v="10000"/>
    <n v="460000"/>
    <s v="E-Wallet"/>
    <s v="SiCepat"/>
    <x v="2"/>
    <x v="5"/>
    <s v="No"/>
    <n v="450000"/>
    <x v="49"/>
    <x v="5"/>
    <x v="5"/>
    <x v="233"/>
    <x v="0"/>
    <x v="8"/>
    <x v="1"/>
    <n v="0"/>
  </r>
  <r>
    <x v="1088"/>
    <d v="2025-01-16T00:00:00"/>
    <s v="CUST0059"/>
    <s v="P055"/>
    <n v="4"/>
    <n v="300000"/>
    <n v="1200000"/>
    <s v="DISC15"/>
    <n v="180000"/>
    <n v="10000"/>
    <n v="1030000"/>
    <s v="Bank Transfer"/>
    <s v="J&amp;T"/>
    <x v="2"/>
    <x v="5"/>
    <s v="No"/>
    <n v="1020000"/>
    <x v="9"/>
    <x v="2"/>
    <x v="2"/>
    <x v="63"/>
    <x v="0"/>
    <x v="2"/>
    <x v="0"/>
    <n v="0"/>
  </r>
  <r>
    <x v="1089"/>
    <d v="2025-01-16T00:00:00"/>
    <s v="CUST0068"/>
    <s v="P035"/>
    <n v="2"/>
    <n v="200000"/>
    <n v="400000"/>
    <s v="DISC10"/>
    <n v="40000"/>
    <n v="25000"/>
    <n v="385000"/>
    <s v="Credit Card"/>
    <s v="J&amp;T"/>
    <x v="3"/>
    <x v="5"/>
    <s v="No"/>
    <n v="360000"/>
    <x v="41"/>
    <x v="5"/>
    <x v="5"/>
    <x v="298"/>
    <x v="1"/>
    <x v="5"/>
    <x v="0"/>
    <n v="0"/>
  </r>
  <r>
    <x v="1090"/>
    <d v="2025-01-16T00:00:00"/>
    <s v="CUST0083"/>
    <s v="P051"/>
    <n v="1"/>
    <n v="300000"/>
    <n v="300000"/>
    <s v="DISC10"/>
    <n v="30000"/>
    <n v="30000"/>
    <n v="300000"/>
    <s v="Bank Transfer"/>
    <s v="JNE"/>
    <x v="0"/>
    <x v="5"/>
    <s v="Yes"/>
    <n v="270000"/>
    <x v="48"/>
    <x v="4"/>
    <x v="4"/>
    <x v="166"/>
    <x v="0"/>
    <x v="6"/>
    <x v="2"/>
    <n v="270000"/>
  </r>
  <r>
    <x v="1091"/>
    <d v="2025-01-16T00:00:00"/>
    <s v="CUST0208"/>
    <s v="P043"/>
    <n v="2"/>
    <n v="50000"/>
    <n v="100000"/>
    <s v="DISC15"/>
    <n v="15000"/>
    <n v="20000"/>
    <n v="105000"/>
    <s v="COD"/>
    <s v="SiCepat"/>
    <x v="0"/>
    <x v="5"/>
    <s v="Yes"/>
    <n v="85000"/>
    <x v="25"/>
    <x v="2"/>
    <x v="2"/>
    <x v="289"/>
    <x v="0"/>
    <x v="2"/>
    <x v="1"/>
    <n v="85000"/>
  </r>
  <r>
    <x v="1092"/>
    <d v="2025-01-16T00:00:00"/>
    <s v="CUST0165"/>
    <s v="P021"/>
    <n v="4"/>
    <n v="200000"/>
    <n v="800000"/>
    <s v="NONE"/>
    <n v="0"/>
    <n v="15000"/>
    <n v="815000"/>
    <s v="COD"/>
    <s v="SiCepat"/>
    <x v="0"/>
    <x v="5"/>
    <s v="Yes"/>
    <n v="800000"/>
    <x v="32"/>
    <x v="4"/>
    <x v="4"/>
    <x v="273"/>
    <x v="0"/>
    <x v="4"/>
    <x v="1"/>
    <n v="800000"/>
  </r>
  <r>
    <x v="1093"/>
    <d v="2025-01-16T00:00:00"/>
    <s v="CUST0145"/>
    <s v="P020"/>
    <n v="1"/>
    <n v="75000"/>
    <n v="75000"/>
    <s v="DISC15"/>
    <n v="11250"/>
    <n v="30000"/>
    <n v="93750"/>
    <s v="Bank Transfer"/>
    <s v="JNE"/>
    <x v="0"/>
    <x v="5"/>
    <s v="Yes"/>
    <n v="63750"/>
    <x v="6"/>
    <x v="1"/>
    <x v="1"/>
    <x v="258"/>
    <x v="0"/>
    <x v="9"/>
    <x v="0"/>
    <n v="63750"/>
  </r>
  <r>
    <x v="1094"/>
    <d v="2025-01-16T00:00:00"/>
    <s v="CUST0166"/>
    <s v="P043"/>
    <n v="1"/>
    <n v="50000"/>
    <n v="50000"/>
    <s v="NONE"/>
    <n v="0"/>
    <n v="25000"/>
    <n v="75000"/>
    <s v="E-Wallet"/>
    <s v="JNE"/>
    <x v="0"/>
    <x v="5"/>
    <s v="Yes"/>
    <n v="50000"/>
    <x v="25"/>
    <x v="2"/>
    <x v="2"/>
    <x v="211"/>
    <x v="0"/>
    <x v="7"/>
    <x v="1"/>
    <n v="50000"/>
  </r>
  <r>
    <x v="1095"/>
    <d v="2025-01-15T00:00:00"/>
    <s v="CUST0043"/>
    <s v="P048"/>
    <n v="4"/>
    <n v="300000"/>
    <n v="1200000"/>
    <s v="DISC10"/>
    <n v="120000"/>
    <n v="30000"/>
    <n v="1110000"/>
    <s v="Credit Card"/>
    <s v="SiCepat"/>
    <x v="1"/>
    <x v="5"/>
    <s v="No"/>
    <n v="1080000"/>
    <x v="21"/>
    <x v="0"/>
    <x v="0"/>
    <x v="226"/>
    <x v="0"/>
    <x v="0"/>
    <x v="1"/>
    <n v="0"/>
  </r>
  <r>
    <x v="1096"/>
    <d v="2025-01-15T00:00:00"/>
    <s v="CUST0101"/>
    <s v="P037"/>
    <n v="4"/>
    <n v="100000"/>
    <n v="400000"/>
    <s v="NONE"/>
    <n v="0"/>
    <n v="25000"/>
    <n v="425000"/>
    <s v="Bank Transfer"/>
    <s v="AnterAja"/>
    <x v="4"/>
    <x v="5"/>
    <s v="No"/>
    <n v="400000"/>
    <x v="4"/>
    <x v="2"/>
    <x v="2"/>
    <x v="332"/>
    <x v="1"/>
    <x v="0"/>
    <x v="1"/>
    <n v="0"/>
  </r>
  <r>
    <x v="1097"/>
    <d v="2025-01-15T00:00:00"/>
    <s v="CUST0053"/>
    <s v="P044"/>
    <n v="1"/>
    <n v="500000"/>
    <n v="500000"/>
    <s v="NONE"/>
    <n v="0"/>
    <n v="20000"/>
    <n v="520000"/>
    <s v="Bank Transfer"/>
    <s v="SiCepat"/>
    <x v="4"/>
    <x v="5"/>
    <s v="No"/>
    <n v="500000"/>
    <x v="47"/>
    <x v="1"/>
    <x v="1"/>
    <x v="168"/>
    <x v="0"/>
    <x v="1"/>
    <x v="1"/>
    <n v="0"/>
  </r>
  <r>
    <x v="1098"/>
    <d v="2025-01-15T00:00:00"/>
    <s v="CUST0257"/>
    <s v="P007"/>
    <n v="1"/>
    <n v="150000"/>
    <n v="150000"/>
    <s v="NONE"/>
    <n v="0"/>
    <n v="20000"/>
    <n v="170000"/>
    <s v="Credit Card"/>
    <s v="J&amp;T"/>
    <x v="0"/>
    <x v="5"/>
    <s v="Yes"/>
    <n v="150000"/>
    <x v="52"/>
    <x v="2"/>
    <x v="2"/>
    <x v="215"/>
    <x v="1"/>
    <x v="6"/>
    <x v="0"/>
    <n v="150000"/>
  </r>
  <r>
    <x v="1099"/>
    <d v="2025-01-15T00:00:00"/>
    <s v="CUST0234"/>
    <s v="P004"/>
    <n v="1"/>
    <n v="300000"/>
    <n v="300000"/>
    <s v="NEWUSER"/>
    <n v="30000"/>
    <n v="30000"/>
    <n v="300000"/>
    <s v="Credit Card"/>
    <s v="AnterAja"/>
    <x v="0"/>
    <x v="5"/>
    <s v="Yes"/>
    <n v="270000"/>
    <x v="22"/>
    <x v="3"/>
    <x v="3"/>
    <x v="196"/>
    <x v="0"/>
    <x v="7"/>
    <x v="0"/>
    <n v="270000"/>
  </r>
  <r>
    <x v="1100"/>
    <d v="2025-01-14T00:00:00"/>
    <s v="CUST0121"/>
    <s v="P034"/>
    <n v="2"/>
    <n v="50000"/>
    <n v="100000"/>
    <s v="NEWUSER"/>
    <n v="10000"/>
    <n v="20000"/>
    <n v="110000"/>
    <s v="E-Wallet"/>
    <s v="SiCepat"/>
    <x v="0"/>
    <x v="5"/>
    <s v="Yes"/>
    <n v="90000"/>
    <x v="42"/>
    <x v="3"/>
    <x v="3"/>
    <x v="214"/>
    <x v="1"/>
    <x v="9"/>
    <x v="1"/>
    <n v="90000"/>
  </r>
  <r>
    <x v="1101"/>
    <d v="2025-01-14T00:00:00"/>
    <s v="CUST0203"/>
    <s v="P032"/>
    <n v="1"/>
    <n v="35000"/>
    <n v="35000"/>
    <s v="NONE"/>
    <n v="0"/>
    <n v="20000"/>
    <n v="55000"/>
    <s v="E-Wallet"/>
    <s v="J&amp;T"/>
    <x v="1"/>
    <x v="5"/>
    <s v="No"/>
    <n v="35000"/>
    <x v="29"/>
    <x v="1"/>
    <x v="1"/>
    <x v="120"/>
    <x v="1"/>
    <x v="3"/>
    <x v="0"/>
    <n v="0"/>
  </r>
  <r>
    <x v="1102"/>
    <d v="2025-01-14T00:00:00"/>
    <s v="CUST0114"/>
    <s v="P042"/>
    <n v="3"/>
    <n v="300000"/>
    <n v="900000"/>
    <s v="NONE"/>
    <n v="0"/>
    <n v="10000"/>
    <n v="910000"/>
    <s v="COD"/>
    <s v="SiCepat"/>
    <x v="0"/>
    <x v="5"/>
    <s v="Yes"/>
    <n v="900000"/>
    <x v="36"/>
    <x v="0"/>
    <x v="0"/>
    <x v="254"/>
    <x v="0"/>
    <x v="1"/>
    <x v="1"/>
    <n v="900000"/>
  </r>
  <r>
    <x v="1103"/>
    <d v="2025-01-14T00:00:00"/>
    <s v="CUST0056"/>
    <s v="P036"/>
    <n v="1"/>
    <n v="150000"/>
    <n v="150000"/>
    <s v="NONE"/>
    <n v="0"/>
    <n v="30000"/>
    <n v="180000"/>
    <s v="Credit Card"/>
    <s v="AnterAja"/>
    <x v="0"/>
    <x v="5"/>
    <s v="Yes"/>
    <n v="150000"/>
    <x v="2"/>
    <x v="0"/>
    <x v="0"/>
    <x v="283"/>
    <x v="0"/>
    <x v="3"/>
    <x v="0"/>
    <n v="150000"/>
  </r>
  <r>
    <x v="1104"/>
    <d v="2025-01-14T00:00:00"/>
    <s v="CUST0164"/>
    <s v="P036"/>
    <n v="2"/>
    <n v="150000"/>
    <n v="300000"/>
    <s v="DISC10"/>
    <n v="30000"/>
    <n v="25000"/>
    <n v="295000"/>
    <s v="E-Wallet"/>
    <s v="AnterAja"/>
    <x v="4"/>
    <x v="5"/>
    <s v="No"/>
    <n v="270000"/>
    <x v="2"/>
    <x v="0"/>
    <x v="0"/>
    <x v="172"/>
    <x v="0"/>
    <x v="1"/>
    <x v="1"/>
    <n v="0"/>
  </r>
  <r>
    <x v="1105"/>
    <d v="2025-01-14T00:00:00"/>
    <s v="CUST0038"/>
    <s v="P012"/>
    <n v="2"/>
    <n v="300000"/>
    <n v="600000"/>
    <s v="DISC10"/>
    <n v="60000"/>
    <n v="20000"/>
    <n v="560000"/>
    <s v="E-Wallet"/>
    <s v="SiCepat"/>
    <x v="1"/>
    <x v="5"/>
    <s v="No"/>
    <n v="540000"/>
    <x v="40"/>
    <x v="0"/>
    <x v="0"/>
    <x v="170"/>
    <x v="0"/>
    <x v="7"/>
    <x v="0"/>
    <n v="0"/>
  </r>
  <r>
    <x v="1106"/>
    <d v="2025-01-14T00:00:00"/>
    <s v="CUST0257"/>
    <s v="P017"/>
    <n v="1"/>
    <n v="100000"/>
    <n v="100000"/>
    <s v="FLASHSALE"/>
    <n v="20000"/>
    <n v="10000"/>
    <n v="90000"/>
    <s v="COD"/>
    <s v="JNE"/>
    <x v="0"/>
    <x v="5"/>
    <s v="Yes"/>
    <n v="80000"/>
    <x v="39"/>
    <x v="5"/>
    <x v="5"/>
    <x v="215"/>
    <x v="1"/>
    <x v="6"/>
    <x v="0"/>
    <n v="80000"/>
  </r>
  <r>
    <x v="1107"/>
    <d v="2025-01-13T00:00:00"/>
    <s v="CUST0184"/>
    <s v="P047"/>
    <n v="4"/>
    <n v="500000"/>
    <n v="2000000"/>
    <s v="NONE"/>
    <n v="0"/>
    <n v="20000"/>
    <n v="2020000"/>
    <s v="E-Wallet"/>
    <s v="AnterAja"/>
    <x v="0"/>
    <x v="5"/>
    <s v="Yes"/>
    <n v="2000000"/>
    <x v="49"/>
    <x v="5"/>
    <x v="5"/>
    <x v="253"/>
    <x v="1"/>
    <x v="7"/>
    <x v="1"/>
    <n v="2000000"/>
  </r>
  <r>
    <x v="1108"/>
    <d v="2025-01-13T00:00:00"/>
    <s v="CUST0045"/>
    <s v="P042"/>
    <n v="1"/>
    <n v="300000"/>
    <n v="300000"/>
    <s v="NONE"/>
    <n v="0"/>
    <n v="10000"/>
    <n v="310000"/>
    <s v="E-Wallet"/>
    <s v="JNE"/>
    <x v="0"/>
    <x v="5"/>
    <s v="Yes"/>
    <n v="300000"/>
    <x v="36"/>
    <x v="0"/>
    <x v="0"/>
    <x v="78"/>
    <x v="0"/>
    <x v="6"/>
    <x v="0"/>
    <n v="300000"/>
  </r>
  <r>
    <x v="1109"/>
    <d v="2025-01-13T00:00:00"/>
    <s v="CUST0197"/>
    <s v="P025"/>
    <n v="2"/>
    <n v="100000"/>
    <n v="200000"/>
    <s v="DISC10"/>
    <n v="20000"/>
    <n v="30000"/>
    <n v="210000"/>
    <s v="Credit Card"/>
    <s v="J&amp;T"/>
    <x v="0"/>
    <x v="5"/>
    <s v="Yes"/>
    <n v="180000"/>
    <x v="53"/>
    <x v="2"/>
    <x v="2"/>
    <x v="106"/>
    <x v="1"/>
    <x v="3"/>
    <x v="1"/>
    <n v="180000"/>
  </r>
  <r>
    <x v="1110"/>
    <d v="2025-01-13T00:00:00"/>
    <s v="CUST0226"/>
    <s v="P051"/>
    <n v="1"/>
    <n v="300000"/>
    <n v="300000"/>
    <s v="NONE"/>
    <n v="0"/>
    <n v="20000"/>
    <n v="320000"/>
    <s v="E-Wallet"/>
    <s v="SiCepat"/>
    <x v="0"/>
    <x v="5"/>
    <s v="Yes"/>
    <n v="300000"/>
    <x v="48"/>
    <x v="4"/>
    <x v="4"/>
    <x v="20"/>
    <x v="1"/>
    <x v="7"/>
    <x v="0"/>
    <n v="300000"/>
  </r>
  <r>
    <x v="1111"/>
    <d v="2025-01-13T00:00:00"/>
    <s v="CUST0194"/>
    <s v="P060"/>
    <n v="1"/>
    <n v="150000"/>
    <n v="150000"/>
    <s v="NONE"/>
    <n v="0"/>
    <n v="15000"/>
    <n v="165000"/>
    <s v="Credit Card"/>
    <s v="SiCepat"/>
    <x v="0"/>
    <x v="5"/>
    <s v="Yes"/>
    <n v="150000"/>
    <x v="0"/>
    <x v="0"/>
    <x v="0"/>
    <x v="285"/>
    <x v="1"/>
    <x v="8"/>
    <x v="2"/>
    <n v="150000"/>
  </r>
  <r>
    <x v="1112"/>
    <d v="2025-01-12T00:00:00"/>
    <s v="CUST0131"/>
    <s v="P045"/>
    <n v="1"/>
    <n v="100000"/>
    <n v="100000"/>
    <s v="DISC15"/>
    <n v="15000"/>
    <n v="25000"/>
    <n v="110000"/>
    <s v="Credit Card"/>
    <s v="SiCepat"/>
    <x v="0"/>
    <x v="5"/>
    <s v="Yes"/>
    <n v="85000"/>
    <x v="10"/>
    <x v="4"/>
    <x v="4"/>
    <x v="134"/>
    <x v="1"/>
    <x v="2"/>
    <x v="1"/>
    <n v="85000"/>
  </r>
  <r>
    <x v="1113"/>
    <d v="2025-01-12T00:00:00"/>
    <s v="CUST0141"/>
    <s v="P043"/>
    <n v="1"/>
    <n v="50000"/>
    <n v="50000"/>
    <s v="NEWUSER"/>
    <n v="5000"/>
    <n v="30000"/>
    <n v="75000"/>
    <s v="E-Wallet"/>
    <s v="AnterAja"/>
    <x v="0"/>
    <x v="5"/>
    <s v="Yes"/>
    <n v="45000"/>
    <x v="25"/>
    <x v="2"/>
    <x v="2"/>
    <x v="56"/>
    <x v="1"/>
    <x v="8"/>
    <x v="1"/>
    <n v="45000"/>
  </r>
  <r>
    <x v="1114"/>
    <d v="2025-01-12T00:00:00"/>
    <s v="CUST0180"/>
    <s v="P059"/>
    <n v="3"/>
    <n v="75000"/>
    <n v="225000"/>
    <s v="DISC10"/>
    <n v="22500"/>
    <n v="20000"/>
    <n v="222500"/>
    <s v="E-Wallet"/>
    <s v="SiCepat"/>
    <x v="0"/>
    <x v="5"/>
    <s v="Yes"/>
    <n v="202500"/>
    <x v="16"/>
    <x v="5"/>
    <x v="5"/>
    <x v="79"/>
    <x v="0"/>
    <x v="2"/>
    <x v="1"/>
    <n v="202500"/>
  </r>
  <r>
    <x v="1115"/>
    <d v="2025-01-12T00:00:00"/>
    <s v="CUST0333"/>
    <s v="P041"/>
    <n v="1"/>
    <n v="75000"/>
    <n v="75000"/>
    <s v="NONE"/>
    <n v="0"/>
    <n v="25000"/>
    <n v="100000"/>
    <s v="E-Wallet"/>
    <s v="AnterAja"/>
    <x v="0"/>
    <x v="5"/>
    <s v="Yes"/>
    <n v="75000"/>
    <x v="15"/>
    <x v="5"/>
    <x v="5"/>
    <x v="282"/>
    <x v="0"/>
    <x v="1"/>
    <x v="1"/>
    <n v="75000"/>
  </r>
  <r>
    <x v="1116"/>
    <d v="2025-01-12T00:00:00"/>
    <s v="CUST0011"/>
    <s v="P024"/>
    <n v="1"/>
    <n v="500000"/>
    <n v="500000"/>
    <s v="FLASHSALE"/>
    <n v="100000"/>
    <n v="10000"/>
    <n v="410000"/>
    <s v="Bank Transfer"/>
    <s v="SiCepat"/>
    <x v="1"/>
    <x v="5"/>
    <s v="No"/>
    <n v="400000"/>
    <x v="43"/>
    <x v="0"/>
    <x v="0"/>
    <x v="169"/>
    <x v="0"/>
    <x v="7"/>
    <x v="0"/>
    <n v="0"/>
  </r>
  <r>
    <x v="1117"/>
    <d v="2025-01-12T00:00:00"/>
    <s v="CUST0169"/>
    <s v="P003"/>
    <n v="1"/>
    <n v="150000"/>
    <n v="150000"/>
    <s v="NEWUSER"/>
    <n v="15000"/>
    <n v="10000"/>
    <n v="145000"/>
    <s v="Credit Card"/>
    <s v="AnterAja"/>
    <x v="0"/>
    <x v="5"/>
    <s v="Yes"/>
    <n v="135000"/>
    <x v="37"/>
    <x v="4"/>
    <x v="4"/>
    <x v="108"/>
    <x v="1"/>
    <x v="4"/>
    <x v="1"/>
    <n v="135000"/>
  </r>
  <r>
    <x v="1118"/>
    <d v="2025-01-12T00:00:00"/>
    <s v="CUST0304"/>
    <s v="P020"/>
    <n v="1"/>
    <n v="75000"/>
    <n v="75000"/>
    <s v="DISC15"/>
    <n v="11250"/>
    <n v="30000"/>
    <n v="93750"/>
    <s v="E-Wallet"/>
    <s v="AnterAja"/>
    <x v="0"/>
    <x v="5"/>
    <s v="Yes"/>
    <n v="63750"/>
    <x v="6"/>
    <x v="1"/>
    <x v="1"/>
    <x v="157"/>
    <x v="0"/>
    <x v="6"/>
    <x v="2"/>
    <n v="63750"/>
  </r>
  <r>
    <x v="1119"/>
    <d v="2025-01-12T00:00:00"/>
    <s v="CUST0128"/>
    <s v="P006"/>
    <n v="1"/>
    <n v="500000"/>
    <n v="500000"/>
    <s v="DISC10"/>
    <n v="50000"/>
    <n v="10000"/>
    <n v="460000"/>
    <s v="E-Wallet"/>
    <s v="J&amp;T"/>
    <x v="0"/>
    <x v="5"/>
    <s v="Yes"/>
    <n v="450000"/>
    <x v="59"/>
    <x v="0"/>
    <x v="0"/>
    <x v="90"/>
    <x v="1"/>
    <x v="3"/>
    <x v="1"/>
    <n v="450000"/>
  </r>
  <r>
    <x v="1120"/>
    <d v="2025-01-11T00:00:00"/>
    <s v="CUST0010"/>
    <s v="P015"/>
    <n v="1"/>
    <n v="500000"/>
    <n v="500000"/>
    <s v="NONE"/>
    <n v="0"/>
    <n v="25000"/>
    <n v="525000"/>
    <s v="Bank Transfer"/>
    <s v="JNE"/>
    <x v="4"/>
    <x v="5"/>
    <s v="No"/>
    <n v="500000"/>
    <x v="19"/>
    <x v="4"/>
    <x v="4"/>
    <x v="192"/>
    <x v="0"/>
    <x v="6"/>
    <x v="1"/>
    <n v="0"/>
  </r>
  <r>
    <x v="1121"/>
    <d v="2025-01-11T00:00:00"/>
    <s v="CUST0110"/>
    <s v="P014"/>
    <n v="1"/>
    <n v="75000"/>
    <n v="75000"/>
    <s v="NEWUSER"/>
    <n v="7500"/>
    <n v="15000"/>
    <n v="82500"/>
    <s v="E-Wallet"/>
    <s v="JNE"/>
    <x v="2"/>
    <x v="5"/>
    <s v="No"/>
    <n v="67500"/>
    <x v="30"/>
    <x v="1"/>
    <x v="1"/>
    <x v="200"/>
    <x v="0"/>
    <x v="1"/>
    <x v="1"/>
    <n v="0"/>
  </r>
  <r>
    <x v="1122"/>
    <d v="2025-01-11T00:00:00"/>
    <s v="CUST0154"/>
    <s v="P042"/>
    <n v="1"/>
    <n v="300000"/>
    <n v="300000"/>
    <s v="DISC15"/>
    <n v="45000"/>
    <n v="25000"/>
    <n v="280000"/>
    <s v="E-Wallet"/>
    <s v="SiCepat"/>
    <x v="4"/>
    <x v="5"/>
    <s v="No"/>
    <n v="255000"/>
    <x v="36"/>
    <x v="0"/>
    <x v="0"/>
    <x v="110"/>
    <x v="1"/>
    <x v="3"/>
    <x v="1"/>
    <n v="0"/>
  </r>
  <r>
    <x v="1123"/>
    <d v="2025-01-11T00:00:00"/>
    <s v="CUST0193"/>
    <s v="P015"/>
    <n v="1"/>
    <n v="500000"/>
    <n v="500000"/>
    <s v="NONE"/>
    <n v="0"/>
    <n v="20000"/>
    <n v="520000"/>
    <s v="E-Wallet"/>
    <s v="SiCepat"/>
    <x v="0"/>
    <x v="5"/>
    <s v="Yes"/>
    <n v="500000"/>
    <x v="19"/>
    <x v="4"/>
    <x v="4"/>
    <x v="39"/>
    <x v="0"/>
    <x v="8"/>
    <x v="2"/>
    <n v="500000"/>
  </r>
  <r>
    <x v="1124"/>
    <d v="2025-01-11T00:00:00"/>
    <s v="CUST0326"/>
    <s v="P059"/>
    <n v="1"/>
    <n v="75000"/>
    <n v="75000"/>
    <s v="DISC10"/>
    <n v="7500"/>
    <n v="25000"/>
    <n v="92500"/>
    <s v="COD"/>
    <s v="JNE"/>
    <x v="2"/>
    <x v="5"/>
    <s v="No"/>
    <n v="67500"/>
    <x v="16"/>
    <x v="5"/>
    <x v="5"/>
    <x v="17"/>
    <x v="0"/>
    <x v="6"/>
    <x v="0"/>
    <n v="0"/>
  </r>
  <r>
    <x v="1125"/>
    <d v="2025-01-11T00:00:00"/>
    <s v="CUST0002"/>
    <s v="P050"/>
    <n v="1"/>
    <n v="200000"/>
    <n v="200000"/>
    <s v="DISC10"/>
    <n v="20000"/>
    <n v="10000"/>
    <n v="190000"/>
    <s v="Credit Card"/>
    <s v="SiCepat"/>
    <x v="3"/>
    <x v="5"/>
    <s v="No"/>
    <n v="180000"/>
    <x v="34"/>
    <x v="1"/>
    <x v="1"/>
    <x v="184"/>
    <x v="1"/>
    <x v="6"/>
    <x v="1"/>
    <n v="0"/>
  </r>
  <r>
    <x v="1126"/>
    <d v="2025-01-10T00:00:00"/>
    <s v="CUST0054"/>
    <s v="P052"/>
    <n v="2"/>
    <n v="200000"/>
    <n v="400000"/>
    <s v="NONE"/>
    <n v="0"/>
    <n v="30000"/>
    <n v="430000"/>
    <s v="Bank Transfer"/>
    <s v="AnterAja"/>
    <x v="2"/>
    <x v="5"/>
    <s v="No"/>
    <n v="400000"/>
    <x v="56"/>
    <x v="3"/>
    <x v="3"/>
    <x v="129"/>
    <x v="0"/>
    <x v="4"/>
    <x v="1"/>
    <n v="0"/>
  </r>
  <r>
    <x v="1127"/>
    <d v="2025-01-10T00:00:00"/>
    <s v="CUST0149"/>
    <s v="P036"/>
    <n v="2"/>
    <n v="150000"/>
    <n v="300000"/>
    <s v="DISC10"/>
    <n v="30000"/>
    <n v="25000"/>
    <n v="295000"/>
    <s v="Bank Transfer"/>
    <s v="JNE"/>
    <x v="0"/>
    <x v="5"/>
    <s v="Yes"/>
    <n v="270000"/>
    <x v="2"/>
    <x v="0"/>
    <x v="0"/>
    <x v="284"/>
    <x v="0"/>
    <x v="1"/>
    <x v="1"/>
    <n v="270000"/>
  </r>
  <r>
    <x v="1128"/>
    <d v="2025-01-10T00:00:00"/>
    <s v="CUST0298"/>
    <s v="P040"/>
    <n v="1"/>
    <n v="75000"/>
    <n v="75000"/>
    <s v="NONE"/>
    <n v="0"/>
    <n v="30000"/>
    <n v="105000"/>
    <s v="Credit Card"/>
    <s v="J&amp;T"/>
    <x v="0"/>
    <x v="5"/>
    <s v="Yes"/>
    <n v="75000"/>
    <x v="28"/>
    <x v="3"/>
    <x v="3"/>
    <x v="293"/>
    <x v="0"/>
    <x v="9"/>
    <x v="1"/>
    <n v="75000"/>
  </r>
  <r>
    <x v="1129"/>
    <d v="2025-01-10T00:00:00"/>
    <s v="CUST0348"/>
    <s v="P029"/>
    <n v="4"/>
    <n v="500000"/>
    <n v="2000000"/>
    <s v="DISC10"/>
    <n v="200000"/>
    <n v="20000"/>
    <n v="1820000"/>
    <s v="E-Wallet"/>
    <s v="J&amp;T"/>
    <x v="0"/>
    <x v="5"/>
    <s v="Yes"/>
    <n v="1800000"/>
    <x v="35"/>
    <x v="5"/>
    <x v="5"/>
    <x v="302"/>
    <x v="0"/>
    <x v="0"/>
    <x v="1"/>
    <n v="1800000"/>
  </r>
  <r>
    <x v="1130"/>
    <d v="2025-01-10T00:00:00"/>
    <s v="CUST0212"/>
    <s v="P048"/>
    <n v="2"/>
    <n v="300000"/>
    <n v="600000"/>
    <s v="NEWUSER"/>
    <n v="60000"/>
    <n v="15000"/>
    <n v="555000"/>
    <s v="E-Wallet"/>
    <s v="J&amp;T"/>
    <x v="0"/>
    <x v="5"/>
    <s v="Yes"/>
    <n v="540000"/>
    <x v="21"/>
    <x v="0"/>
    <x v="0"/>
    <x v="218"/>
    <x v="0"/>
    <x v="2"/>
    <x v="0"/>
    <n v="540000"/>
  </r>
  <r>
    <x v="1131"/>
    <d v="2025-01-10T00:00:00"/>
    <s v="CUST0004"/>
    <s v="P031"/>
    <n v="1"/>
    <n v="150000"/>
    <n v="150000"/>
    <s v="NONE"/>
    <n v="0"/>
    <n v="25000"/>
    <n v="175000"/>
    <s v="E-Wallet"/>
    <s v="SiCepat"/>
    <x v="0"/>
    <x v="5"/>
    <s v="Yes"/>
    <n v="150000"/>
    <x v="20"/>
    <x v="2"/>
    <x v="2"/>
    <x v="272"/>
    <x v="1"/>
    <x v="6"/>
    <x v="2"/>
    <n v="150000"/>
  </r>
  <r>
    <x v="1132"/>
    <d v="2025-01-10T00:00:00"/>
    <s v="CUST0008"/>
    <s v="P021"/>
    <n v="2"/>
    <n v="200000"/>
    <n v="400000"/>
    <s v="NONE"/>
    <n v="0"/>
    <n v="20000"/>
    <n v="420000"/>
    <s v="Credit Card"/>
    <s v="J&amp;T"/>
    <x v="0"/>
    <x v="5"/>
    <s v="Yes"/>
    <n v="400000"/>
    <x v="32"/>
    <x v="4"/>
    <x v="4"/>
    <x v="244"/>
    <x v="1"/>
    <x v="0"/>
    <x v="1"/>
    <n v="400000"/>
  </r>
  <r>
    <x v="1133"/>
    <d v="2025-01-10T00:00:00"/>
    <s v="CUST0080"/>
    <s v="P004"/>
    <n v="1"/>
    <n v="300000"/>
    <n v="300000"/>
    <s v="DISC15"/>
    <n v="45000"/>
    <n v="20000"/>
    <n v="275000"/>
    <s v="E-Wallet"/>
    <s v="SiCepat"/>
    <x v="4"/>
    <x v="5"/>
    <s v="No"/>
    <n v="255000"/>
    <x v="22"/>
    <x v="3"/>
    <x v="3"/>
    <x v="77"/>
    <x v="1"/>
    <x v="2"/>
    <x v="0"/>
    <n v="0"/>
  </r>
  <r>
    <x v="1134"/>
    <d v="2025-01-09T00:00:00"/>
    <s v="CUST0344"/>
    <s v="P037"/>
    <n v="1"/>
    <n v="100000"/>
    <n v="100000"/>
    <s v="NEWUSER"/>
    <n v="10000"/>
    <n v="10000"/>
    <n v="100000"/>
    <s v="Bank Transfer"/>
    <s v="SiCepat"/>
    <x v="0"/>
    <x v="5"/>
    <s v="Yes"/>
    <n v="90000"/>
    <x v="4"/>
    <x v="2"/>
    <x v="2"/>
    <x v="246"/>
    <x v="1"/>
    <x v="8"/>
    <x v="1"/>
    <n v="90000"/>
  </r>
  <r>
    <x v="1135"/>
    <d v="2025-01-09T00:00:00"/>
    <s v="CUST0316"/>
    <s v="P014"/>
    <n v="2"/>
    <n v="75000"/>
    <n v="150000"/>
    <s v="NONE"/>
    <n v="0"/>
    <n v="10000"/>
    <n v="160000"/>
    <s v="COD"/>
    <s v="SiCepat"/>
    <x v="0"/>
    <x v="5"/>
    <s v="Yes"/>
    <n v="150000"/>
    <x v="30"/>
    <x v="1"/>
    <x v="1"/>
    <x v="183"/>
    <x v="0"/>
    <x v="5"/>
    <x v="1"/>
    <n v="150000"/>
  </r>
  <r>
    <x v="1136"/>
    <d v="2025-01-09T00:00:00"/>
    <s v="CUST0100"/>
    <s v="P022"/>
    <n v="3"/>
    <n v="150000"/>
    <n v="450000"/>
    <s v="DISC15"/>
    <n v="67500"/>
    <n v="10000"/>
    <n v="392500"/>
    <s v="Bank Transfer"/>
    <s v="J&amp;T"/>
    <x v="2"/>
    <x v="5"/>
    <s v="No"/>
    <n v="382500"/>
    <x v="55"/>
    <x v="3"/>
    <x v="3"/>
    <x v="34"/>
    <x v="0"/>
    <x v="2"/>
    <x v="1"/>
    <n v="0"/>
  </r>
  <r>
    <x v="1137"/>
    <d v="2025-01-09T00:00:00"/>
    <s v="CUST0145"/>
    <s v="P005"/>
    <n v="1"/>
    <n v="75000"/>
    <n v="75000"/>
    <s v="FLASHSALE"/>
    <n v="15000"/>
    <n v="20000"/>
    <n v="80000"/>
    <s v="E-Wallet"/>
    <s v="JNE"/>
    <x v="0"/>
    <x v="5"/>
    <s v="Yes"/>
    <n v="60000"/>
    <x v="12"/>
    <x v="5"/>
    <x v="5"/>
    <x v="258"/>
    <x v="0"/>
    <x v="9"/>
    <x v="0"/>
    <n v="60000"/>
  </r>
  <r>
    <x v="1138"/>
    <d v="2025-01-09T00:00:00"/>
    <s v="CUST0289"/>
    <s v="P060"/>
    <n v="1"/>
    <n v="150000"/>
    <n v="150000"/>
    <s v="NONE"/>
    <n v="0"/>
    <n v="20000"/>
    <n v="170000"/>
    <s v="E-Wallet"/>
    <s v="JNE"/>
    <x v="2"/>
    <x v="5"/>
    <s v="No"/>
    <n v="150000"/>
    <x v="0"/>
    <x v="0"/>
    <x v="0"/>
    <x v="102"/>
    <x v="0"/>
    <x v="2"/>
    <x v="0"/>
    <n v="0"/>
  </r>
  <r>
    <x v="1139"/>
    <d v="2025-01-09T00:00:00"/>
    <s v="CUST0060"/>
    <s v="P049"/>
    <n v="1"/>
    <n v="200000"/>
    <n v="200000"/>
    <s v="FLASHSALE"/>
    <n v="40000"/>
    <n v="30000"/>
    <n v="190000"/>
    <s v="Bank Transfer"/>
    <s v="SiCepat"/>
    <x v="0"/>
    <x v="5"/>
    <s v="Yes"/>
    <n v="160000"/>
    <x v="17"/>
    <x v="2"/>
    <x v="2"/>
    <x v="80"/>
    <x v="1"/>
    <x v="0"/>
    <x v="1"/>
    <n v="160000"/>
  </r>
  <r>
    <x v="1140"/>
    <d v="2025-01-09T00:00:00"/>
    <s v="CUST0215"/>
    <s v="P012"/>
    <n v="1"/>
    <n v="300000"/>
    <n v="300000"/>
    <s v="NONE"/>
    <n v="0"/>
    <n v="15000"/>
    <n v="315000"/>
    <s v="Credit Card"/>
    <s v="J&amp;T"/>
    <x v="4"/>
    <x v="5"/>
    <s v="No"/>
    <n v="300000"/>
    <x v="40"/>
    <x v="0"/>
    <x v="0"/>
    <x v="179"/>
    <x v="1"/>
    <x v="6"/>
    <x v="1"/>
    <n v="0"/>
  </r>
  <r>
    <x v="1141"/>
    <d v="2025-01-09T00:00:00"/>
    <s v="CUST0139"/>
    <s v="P011"/>
    <n v="3"/>
    <n v="75000"/>
    <n v="225000"/>
    <s v="NEWUSER"/>
    <n v="22500"/>
    <n v="30000"/>
    <n v="232500"/>
    <s v="E-Wallet"/>
    <s v="J&amp;T"/>
    <x v="1"/>
    <x v="5"/>
    <s v="No"/>
    <n v="202500"/>
    <x v="57"/>
    <x v="5"/>
    <x v="5"/>
    <x v="256"/>
    <x v="1"/>
    <x v="2"/>
    <x v="0"/>
    <n v="0"/>
  </r>
  <r>
    <x v="1142"/>
    <d v="2025-01-09T00:00:00"/>
    <s v="CUST0135"/>
    <s v="P016"/>
    <n v="1"/>
    <n v="150000"/>
    <n v="150000"/>
    <s v="NONE"/>
    <n v="0"/>
    <n v="30000"/>
    <n v="180000"/>
    <s v="E-Wallet"/>
    <s v="SiCepat"/>
    <x v="0"/>
    <x v="5"/>
    <s v="Yes"/>
    <n v="150000"/>
    <x v="8"/>
    <x v="3"/>
    <x v="3"/>
    <x v="305"/>
    <x v="1"/>
    <x v="4"/>
    <x v="1"/>
    <n v="150000"/>
  </r>
  <r>
    <x v="1143"/>
    <d v="2025-01-09T00:00:00"/>
    <s v="CUST0065"/>
    <s v="P003"/>
    <n v="4"/>
    <n v="150000"/>
    <n v="600000"/>
    <s v="NEWUSER"/>
    <n v="60000"/>
    <n v="25000"/>
    <n v="565000"/>
    <s v="Credit Card"/>
    <s v="SiCepat"/>
    <x v="0"/>
    <x v="5"/>
    <s v="Yes"/>
    <n v="540000"/>
    <x v="37"/>
    <x v="4"/>
    <x v="4"/>
    <x v="335"/>
    <x v="1"/>
    <x v="5"/>
    <x v="1"/>
    <n v="540000"/>
  </r>
  <r>
    <x v="1144"/>
    <d v="2025-01-08T00:00:00"/>
    <s v="CUST0141"/>
    <s v="P042"/>
    <n v="3"/>
    <n v="300000"/>
    <n v="900000"/>
    <s v="DISC10"/>
    <n v="90000"/>
    <n v="10000"/>
    <n v="820000"/>
    <s v="Bank Transfer"/>
    <s v="JNE"/>
    <x v="2"/>
    <x v="5"/>
    <s v="No"/>
    <n v="810000"/>
    <x v="36"/>
    <x v="0"/>
    <x v="0"/>
    <x v="56"/>
    <x v="1"/>
    <x v="8"/>
    <x v="1"/>
    <n v="0"/>
  </r>
  <r>
    <x v="1145"/>
    <d v="2025-01-08T00:00:00"/>
    <s v="CUST0214"/>
    <s v="P008"/>
    <n v="1"/>
    <n v="150000"/>
    <n v="150000"/>
    <s v="NEWUSER"/>
    <n v="15000"/>
    <n v="30000"/>
    <n v="165000"/>
    <s v="Bank Transfer"/>
    <s v="AnterAja"/>
    <x v="0"/>
    <x v="5"/>
    <s v="Yes"/>
    <n v="135000"/>
    <x v="18"/>
    <x v="1"/>
    <x v="1"/>
    <x v="213"/>
    <x v="0"/>
    <x v="3"/>
    <x v="1"/>
    <n v="135000"/>
  </r>
  <r>
    <x v="1146"/>
    <d v="2025-01-08T00:00:00"/>
    <s v="CUST0225"/>
    <s v="P023"/>
    <n v="1"/>
    <n v="50000"/>
    <n v="50000"/>
    <s v="NONE"/>
    <n v="0"/>
    <n v="20000"/>
    <n v="70000"/>
    <s v="Bank Transfer"/>
    <s v="SiCepat"/>
    <x v="0"/>
    <x v="5"/>
    <s v="Yes"/>
    <n v="50000"/>
    <x v="14"/>
    <x v="5"/>
    <x v="5"/>
    <x v="177"/>
    <x v="0"/>
    <x v="6"/>
    <x v="0"/>
    <n v="50000"/>
  </r>
  <r>
    <x v="1147"/>
    <d v="2025-01-08T00:00:00"/>
    <s v="CUST0058"/>
    <s v="P046"/>
    <n v="4"/>
    <n v="100000"/>
    <n v="400000"/>
    <s v="NONE"/>
    <n v="0"/>
    <n v="15000"/>
    <n v="415000"/>
    <s v="E-Wallet"/>
    <s v="JNE"/>
    <x v="0"/>
    <x v="5"/>
    <s v="Yes"/>
    <n v="400000"/>
    <x v="7"/>
    <x v="3"/>
    <x v="3"/>
    <x v="152"/>
    <x v="0"/>
    <x v="6"/>
    <x v="0"/>
    <n v="400000"/>
  </r>
  <r>
    <x v="1148"/>
    <d v="2025-01-08T00:00:00"/>
    <s v="CUST0344"/>
    <s v="P003"/>
    <n v="1"/>
    <n v="150000"/>
    <n v="150000"/>
    <s v="NONE"/>
    <n v="0"/>
    <n v="15000"/>
    <n v="165000"/>
    <s v="COD"/>
    <s v="J&amp;T"/>
    <x v="0"/>
    <x v="5"/>
    <s v="Yes"/>
    <n v="150000"/>
    <x v="37"/>
    <x v="4"/>
    <x v="4"/>
    <x v="246"/>
    <x v="1"/>
    <x v="8"/>
    <x v="1"/>
    <n v="150000"/>
  </r>
  <r>
    <x v="1149"/>
    <d v="2025-01-08T00:00:00"/>
    <s v="CUST0010"/>
    <s v="P003"/>
    <n v="3"/>
    <n v="150000"/>
    <n v="450000"/>
    <s v="NEWUSER"/>
    <n v="45000"/>
    <n v="25000"/>
    <n v="430000"/>
    <s v="Credit Card"/>
    <s v="J&amp;T"/>
    <x v="0"/>
    <x v="5"/>
    <s v="Yes"/>
    <n v="405000"/>
    <x v="37"/>
    <x v="4"/>
    <x v="4"/>
    <x v="192"/>
    <x v="0"/>
    <x v="6"/>
    <x v="1"/>
    <n v="405000"/>
  </r>
  <r>
    <x v="1150"/>
    <d v="2025-01-07T00:00:00"/>
    <s v="CUST0155"/>
    <s v="P028"/>
    <n v="3"/>
    <n v="50000"/>
    <n v="150000"/>
    <s v="FLASHSALE"/>
    <n v="30000"/>
    <n v="15000"/>
    <n v="135000"/>
    <s v="Credit Card"/>
    <s v="J&amp;T"/>
    <x v="1"/>
    <x v="5"/>
    <s v="No"/>
    <n v="120000"/>
    <x v="31"/>
    <x v="3"/>
    <x v="3"/>
    <x v="336"/>
    <x v="1"/>
    <x v="1"/>
    <x v="1"/>
    <n v="0"/>
  </r>
  <r>
    <x v="1151"/>
    <d v="2025-01-07T00:00:00"/>
    <s v="CUST0045"/>
    <s v="P059"/>
    <n v="4"/>
    <n v="75000"/>
    <n v="300000"/>
    <s v="NONE"/>
    <n v="0"/>
    <n v="10000"/>
    <n v="310000"/>
    <s v="E-Wallet"/>
    <s v="SiCepat"/>
    <x v="2"/>
    <x v="5"/>
    <s v="No"/>
    <n v="300000"/>
    <x v="16"/>
    <x v="5"/>
    <x v="5"/>
    <x v="78"/>
    <x v="0"/>
    <x v="6"/>
    <x v="0"/>
    <n v="0"/>
  </r>
  <r>
    <x v="1152"/>
    <d v="2025-01-07T00:00:00"/>
    <s v="CUST0278"/>
    <s v="P017"/>
    <n v="1"/>
    <n v="100000"/>
    <n v="100000"/>
    <s v="DISC10"/>
    <n v="10000"/>
    <n v="30000"/>
    <n v="120000"/>
    <s v="Bank Transfer"/>
    <s v="JNE"/>
    <x v="0"/>
    <x v="5"/>
    <s v="Yes"/>
    <n v="90000"/>
    <x v="39"/>
    <x v="5"/>
    <x v="5"/>
    <x v="161"/>
    <x v="1"/>
    <x v="1"/>
    <x v="0"/>
    <n v="90000"/>
  </r>
  <r>
    <x v="1153"/>
    <d v="2025-01-07T00:00:00"/>
    <s v="CUST0030"/>
    <s v="P019"/>
    <n v="1"/>
    <n v="500000"/>
    <n v="500000"/>
    <s v="NEWUSER"/>
    <n v="50000"/>
    <n v="15000"/>
    <n v="465000"/>
    <s v="E-Wallet"/>
    <s v="AnterAja"/>
    <x v="0"/>
    <x v="5"/>
    <s v="Yes"/>
    <n v="450000"/>
    <x v="23"/>
    <x v="2"/>
    <x v="2"/>
    <x v="337"/>
    <x v="0"/>
    <x v="0"/>
    <x v="1"/>
    <n v="450000"/>
  </r>
  <r>
    <x v="1154"/>
    <d v="2025-01-07T00:00:00"/>
    <s v="CUST0269"/>
    <s v="P056"/>
    <n v="1"/>
    <n v="100000"/>
    <n v="100000"/>
    <s v="NONE"/>
    <n v="0"/>
    <n v="20000"/>
    <n v="120000"/>
    <s v="E-Wallet"/>
    <s v="JNE"/>
    <x v="0"/>
    <x v="5"/>
    <s v="Yes"/>
    <n v="100000"/>
    <x v="54"/>
    <x v="1"/>
    <x v="1"/>
    <x v="311"/>
    <x v="0"/>
    <x v="1"/>
    <x v="1"/>
    <n v="100000"/>
  </r>
  <r>
    <x v="1155"/>
    <d v="2025-01-07T00:00:00"/>
    <s v="CUST0216"/>
    <s v="P005"/>
    <n v="2"/>
    <n v="75000"/>
    <n v="150000"/>
    <s v="NONE"/>
    <n v="0"/>
    <n v="30000"/>
    <n v="180000"/>
    <s v="E-Wallet"/>
    <s v="JNE"/>
    <x v="0"/>
    <x v="5"/>
    <s v="Yes"/>
    <n v="150000"/>
    <x v="12"/>
    <x v="5"/>
    <x v="5"/>
    <x v="109"/>
    <x v="0"/>
    <x v="4"/>
    <x v="1"/>
    <n v="150000"/>
  </r>
  <r>
    <x v="1156"/>
    <d v="2025-01-07T00:00:00"/>
    <s v="CUST0160"/>
    <s v="P048"/>
    <n v="1"/>
    <n v="300000"/>
    <n v="300000"/>
    <s v="NONE"/>
    <n v="0"/>
    <n v="15000"/>
    <n v="315000"/>
    <s v="Credit Card"/>
    <s v="J&amp;T"/>
    <x v="0"/>
    <x v="5"/>
    <s v="Yes"/>
    <n v="300000"/>
    <x v="21"/>
    <x v="0"/>
    <x v="0"/>
    <x v="319"/>
    <x v="1"/>
    <x v="7"/>
    <x v="2"/>
    <n v="300000"/>
  </r>
  <r>
    <x v="1157"/>
    <d v="2025-01-06T00:00:00"/>
    <s v="CUST0073"/>
    <s v="P039"/>
    <n v="4"/>
    <n v="35000"/>
    <n v="140000"/>
    <s v="FLASHSALE"/>
    <n v="28000"/>
    <n v="25000"/>
    <n v="137000"/>
    <s v="Credit Card"/>
    <s v="AnterAja"/>
    <x v="0"/>
    <x v="5"/>
    <s v="Yes"/>
    <n v="112000"/>
    <x v="11"/>
    <x v="4"/>
    <x v="4"/>
    <x v="308"/>
    <x v="1"/>
    <x v="9"/>
    <x v="0"/>
    <n v="112000"/>
  </r>
  <r>
    <x v="1158"/>
    <d v="2025-01-06T00:00:00"/>
    <s v="CUST0206"/>
    <s v="P032"/>
    <n v="1"/>
    <n v="35000"/>
    <n v="35000"/>
    <s v="DISC10"/>
    <n v="3500"/>
    <n v="30000"/>
    <n v="61500"/>
    <s v="COD"/>
    <s v="AnterAja"/>
    <x v="4"/>
    <x v="5"/>
    <s v="No"/>
    <n v="31500"/>
    <x v="29"/>
    <x v="1"/>
    <x v="1"/>
    <x v="235"/>
    <x v="0"/>
    <x v="4"/>
    <x v="1"/>
    <n v="0"/>
  </r>
  <r>
    <x v="1159"/>
    <d v="2025-01-06T00:00:00"/>
    <s v="CUST0112"/>
    <s v="P056"/>
    <n v="1"/>
    <n v="100000"/>
    <n v="100000"/>
    <s v="FLASHSALE"/>
    <n v="20000"/>
    <n v="25000"/>
    <n v="105000"/>
    <s v="COD"/>
    <s v="SiCepat"/>
    <x v="0"/>
    <x v="5"/>
    <s v="Yes"/>
    <n v="80000"/>
    <x v="54"/>
    <x v="1"/>
    <x v="1"/>
    <x v="58"/>
    <x v="1"/>
    <x v="9"/>
    <x v="1"/>
    <n v="80000"/>
  </r>
  <r>
    <x v="1160"/>
    <d v="2025-01-06T00:00:00"/>
    <s v="CUST0084"/>
    <s v="P027"/>
    <n v="2"/>
    <n v="200000"/>
    <n v="400000"/>
    <s v="DISC15"/>
    <n v="60000"/>
    <n v="20000"/>
    <n v="360000"/>
    <s v="Credit Card"/>
    <s v="SiCepat"/>
    <x v="0"/>
    <x v="5"/>
    <s v="Yes"/>
    <n v="340000"/>
    <x v="51"/>
    <x v="4"/>
    <x v="4"/>
    <x v="297"/>
    <x v="0"/>
    <x v="9"/>
    <x v="1"/>
    <n v="340000"/>
  </r>
  <r>
    <x v="1161"/>
    <d v="2025-01-06T00:00:00"/>
    <s v="CUST0149"/>
    <s v="P013"/>
    <n v="3"/>
    <n v="75000"/>
    <n v="225000"/>
    <s v="DISC10"/>
    <n v="22500"/>
    <n v="10000"/>
    <n v="212500"/>
    <s v="E-Wallet"/>
    <s v="SiCepat"/>
    <x v="0"/>
    <x v="5"/>
    <s v="Yes"/>
    <n v="202500"/>
    <x v="50"/>
    <x v="2"/>
    <x v="2"/>
    <x v="284"/>
    <x v="0"/>
    <x v="1"/>
    <x v="1"/>
    <n v="202500"/>
  </r>
  <r>
    <x v="1162"/>
    <d v="2025-01-05T00:00:00"/>
    <s v="CUST0002"/>
    <s v="P022"/>
    <n v="1"/>
    <n v="150000"/>
    <n v="150000"/>
    <s v="DISC10"/>
    <n v="15000"/>
    <n v="25000"/>
    <n v="160000"/>
    <s v="E-Wallet"/>
    <s v="AnterAja"/>
    <x v="0"/>
    <x v="5"/>
    <s v="Yes"/>
    <n v="135000"/>
    <x v="55"/>
    <x v="3"/>
    <x v="3"/>
    <x v="184"/>
    <x v="1"/>
    <x v="6"/>
    <x v="1"/>
    <n v="135000"/>
  </r>
  <r>
    <x v="1163"/>
    <d v="2025-01-05T00:00:00"/>
    <s v="CUST0054"/>
    <s v="P047"/>
    <n v="4"/>
    <n v="500000"/>
    <n v="2000000"/>
    <s v="DISC10"/>
    <n v="200000"/>
    <n v="20000"/>
    <n v="1820000"/>
    <s v="COD"/>
    <s v="J&amp;T"/>
    <x v="4"/>
    <x v="5"/>
    <s v="No"/>
    <n v="1800000"/>
    <x v="49"/>
    <x v="5"/>
    <x v="5"/>
    <x v="129"/>
    <x v="0"/>
    <x v="4"/>
    <x v="1"/>
    <n v="0"/>
  </r>
  <r>
    <x v="1164"/>
    <d v="2025-01-05T00:00:00"/>
    <s v="CUST0184"/>
    <s v="P020"/>
    <n v="1"/>
    <n v="75000"/>
    <n v="75000"/>
    <s v="FLASHSALE"/>
    <n v="15000"/>
    <n v="15000"/>
    <n v="75000"/>
    <s v="COD"/>
    <s v="JNE"/>
    <x v="1"/>
    <x v="5"/>
    <s v="No"/>
    <n v="60000"/>
    <x v="6"/>
    <x v="1"/>
    <x v="1"/>
    <x v="253"/>
    <x v="1"/>
    <x v="7"/>
    <x v="1"/>
    <n v="0"/>
  </r>
  <r>
    <x v="1165"/>
    <d v="2025-01-05T00:00:00"/>
    <s v="CUST0330"/>
    <s v="P052"/>
    <n v="2"/>
    <n v="200000"/>
    <n v="400000"/>
    <s v="NONE"/>
    <n v="0"/>
    <n v="25000"/>
    <n v="425000"/>
    <s v="E-Wallet"/>
    <s v="SiCepat"/>
    <x v="0"/>
    <x v="5"/>
    <s v="Yes"/>
    <n v="400000"/>
    <x v="56"/>
    <x v="3"/>
    <x v="3"/>
    <x v="74"/>
    <x v="1"/>
    <x v="1"/>
    <x v="1"/>
    <n v="400000"/>
  </r>
  <r>
    <x v="1166"/>
    <d v="2025-01-05T00:00:00"/>
    <s v="CUST0077"/>
    <s v="P032"/>
    <n v="1"/>
    <n v="35000"/>
    <n v="35000"/>
    <s v="NONE"/>
    <n v="0"/>
    <n v="25000"/>
    <n v="60000"/>
    <s v="Credit Card"/>
    <s v="JNE"/>
    <x v="0"/>
    <x v="5"/>
    <s v="Yes"/>
    <n v="35000"/>
    <x v="29"/>
    <x v="1"/>
    <x v="1"/>
    <x v="325"/>
    <x v="1"/>
    <x v="4"/>
    <x v="1"/>
    <n v="35000"/>
  </r>
  <r>
    <x v="1167"/>
    <d v="2025-01-05T00:00:00"/>
    <s v="CUST0016"/>
    <s v="P017"/>
    <n v="3"/>
    <n v="100000"/>
    <n v="300000"/>
    <s v="NONE"/>
    <n v="0"/>
    <n v="15000"/>
    <n v="315000"/>
    <s v="E-Wallet"/>
    <s v="AnterAja"/>
    <x v="0"/>
    <x v="5"/>
    <s v="Yes"/>
    <n v="300000"/>
    <x v="39"/>
    <x v="5"/>
    <x v="5"/>
    <x v="130"/>
    <x v="0"/>
    <x v="7"/>
    <x v="1"/>
    <n v="300000"/>
  </r>
  <r>
    <x v="1168"/>
    <d v="2025-01-04T00:00:00"/>
    <s v="CUST0154"/>
    <s v="P058"/>
    <n v="2"/>
    <n v="35000"/>
    <n v="70000"/>
    <s v="NEWUSER"/>
    <n v="7000"/>
    <n v="30000"/>
    <n v="93000"/>
    <s v="E-Wallet"/>
    <s v="SiCepat"/>
    <x v="0"/>
    <x v="5"/>
    <s v="Yes"/>
    <n v="63000"/>
    <x v="24"/>
    <x v="3"/>
    <x v="3"/>
    <x v="110"/>
    <x v="1"/>
    <x v="3"/>
    <x v="1"/>
    <n v="63000"/>
  </r>
  <r>
    <x v="1169"/>
    <d v="2025-01-04T00:00:00"/>
    <s v="CUST0102"/>
    <s v="P058"/>
    <n v="4"/>
    <n v="35000"/>
    <n v="140000"/>
    <s v="DISC10"/>
    <n v="14000"/>
    <n v="10000"/>
    <n v="136000"/>
    <s v="Bank Transfer"/>
    <s v="JNE"/>
    <x v="0"/>
    <x v="5"/>
    <s v="Yes"/>
    <n v="126000"/>
    <x v="24"/>
    <x v="3"/>
    <x v="3"/>
    <x v="236"/>
    <x v="1"/>
    <x v="2"/>
    <x v="1"/>
    <n v="126000"/>
  </r>
  <r>
    <x v="1170"/>
    <d v="2025-01-04T00:00:00"/>
    <s v="CUST0323"/>
    <s v="P034"/>
    <n v="1"/>
    <n v="50000"/>
    <n v="50000"/>
    <s v="NONE"/>
    <n v="0"/>
    <n v="30000"/>
    <n v="80000"/>
    <s v="Bank Transfer"/>
    <s v="AnterAja"/>
    <x v="0"/>
    <x v="5"/>
    <s v="Yes"/>
    <n v="50000"/>
    <x v="42"/>
    <x v="3"/>
    <x v="3"/>
    <x v="5"/>
    <x v="0"/>
    <x v="3"/>
    <x v="1"/>
    <n v="50000"/>
  </r>
  <r>
    <x v="1171"/>
    <d v="2025-01-04T00:00:00"/>
    <s v="CUST0214"/>
    <s v="P007"/>
    <n v="2"/>
    <n v="150000"/>
    <n v="300000"/>
    <s v="NONE"/>
    <n v="0"/>
    <n v="20000"/>
    <n v="320000"/>
    <s v="Bank Transfer"/>
    <s v="AnterAja"/>
    <x v="0"/>
    <x v="5"/>
    <s v="Yes"/>
    <n v="300000"/>
    <x v="52"/>
    <x v="2"/>
    <x v="2"/>
    <x v="213"/>
    <x v="0"/>
    <x v="3"/>
    <x v="1"/>
    <n v="300000"/>
  </r>
  <r>
    <x v="1172"/>
    <d v="2025-01-04T00:00:00"/>
    <s v="CUST0327"/>
    <s v="P026"/>
    <n v="4"/>
    <n v="200000"/>
    <n v="800000"/>
    <s v="DISC10"/>
    <n v="80000"/>
    <n v="10000"/>
    <n v="730000"/>
    <s v="Bank Transfer"/>
    <s v="JNE"/>
    <x v="1"/>
    <x v="5"/>
    <s v="No"/>
    <n v="720000"/>
    <x v="3"/>
    <x v="1"/>
    <x v="1"/>
    <x v="255"/>
    <x v="1"/>
    <x v="9"/>
    <x v="1"/>
    <n v="0"/>
  </r>
  <r>
    <x v="1173"/>
    <d v="2025-01-04T00:00:00"/>
    <s v="CUST0109"/>
    <s v="P010"/>
    <n v="2"/>
    <n v="50000"/>
    <n v="100000"/>
    <s v="NONE"/>
    <n v="0"/>
    <n v="10000"/>
    <n v="110000"/>
    <s v="COD"/>
    <s v="AnterAja"/>
    <x v="0"/>
    <x v="5"/>
    <s v="Yes"/>
    <n v="100000"/>
    <x v="13"/>
    <x v="3"/>
    <x v="3"/>
    <x v="280"/>
    <x v="1"/>
    <x v="0"/>
    <x v="2"/>
    <n v="100000"/>
  </r>
  <r>
    <x v="1174"/>
    <d v="2025-01-04T00:00:00"/>
    <s v="CUST0349"/>
    <s v="P041"/>
    <n v="4"/>
    <n v="75000"/>
    <n v="300000"/>
    <s v="FLASHSALE"/>
    <n v="60000"/>
    <n v="25000"/>
    <n v="265000"/>
    <s v="Credit Card"/>
    <s v="J&amp;T"/>
    <x v="0"/>
    <x v="5"/>
    <s v="Yes"/>
    <n v="240000"/>
    <x v="15"/>
    <x v="5"/>
    <x v="5"/>
    <x v="205"/>
    <x v="0"/>
    <x v="3"/>
    <x v="1"/>
    <n v="240000"/>
  </r>
  <r>
    <x v="1175"/>
    <d v="2025-01-04T00:00:00"/>
    <s v="CUST0076"/>
    <s v="P009"/>
    <n v="2"/>
    <n v="300000"/>
    <n v="600000"/>
    <s v="NONE"/>
    <n v="0"/>
    <n v="25000"/>
    <n v="625000"/>
    <s v="COD"/>
    <s v="J&amp;T"/>
    <x v="2"/>
    <x v="5"/>
    <s v="No"/>
    <n v="600000"/>
    <x v="45"/>
    <x v="4"/>
    <x v="4"/>
    <x v="150"/>
    <x v="1"/>
    <x v="0"/>
    <x v="1"/>
    <n v="0"/>
  </r>
  <r>
    <x v="1176"/>
    <d v="2025-01-04T00:00:00"/>
    <s v="CUST0079"/>
    <s v="P017"/>
    <n v="2"/>
    <n v="100000"/>
    <n v="200000"/>
    <s v="DISC15"/>
    <n v="30000"/>
    <n v="10000"/>
    <n v="180000"/>
    <s v="Credit Card"/>
    <s v="AnterAja"/>
    <x v="0"/>
    <x v="5"/>
    <s v="Yes"/>
    <n v="170000"/>
    <x v="39"/>
    <x v="5"/>
    <x v="5"/>
    <x v="70"/>
    <x v="1"/>
    <x v="4"/>
    <x v="1"/>
    <n v="170000"/>
  </r>
  <r>
    <x v="1177"/>
    <d v="2025-01-04T00:00:00"/>
    <s v="CUST0126"/>
    <s v="P047"/>
    <n v="1"/>
    <n v="500000"/>
    <n v="500000"/>
    <s v="DISC10"/>
    <n v="50000"/>
    <n v="10000"/>
    <n v="460000"/>
    <s v="Bank Transfer"/>
    <s v="J&amp;T"/>
    <x v="4"/>
    <x v="5"/>
    <s v="No"/>
    <n v="450000"/>
    <x v="49"/>
    <x v="5"/>
    <x v="5"/>
    <x v="154"/>
    <x v="1"/>
    <x v="8"/>
    <x v="0"/>
    <n v="0"/>
  </r>
  <r>
    <x v="1178"/>
    <d v="2025-01-04T00:00:00"/>
    <s v="CUST0021"/>
    <s v="P031"/>
    <n v="2"/>
    <n v="150000"/>
    <n v="300000"/>
    <s v="NONE"/>
    <n v="0"/>
    <n v="20000"/>
    <n v="320000"/>
    <s v="COD"/>
    <s v="JNE"/>
    <x v="0"/>
    <x v="5"/>
    <s v="Yes"/>
    <n v="300000"/>
    <x v="20"/>
    <x v="2"/>
    <x v="2"/>
    <x v="279"/>
    <x v="1"/>
    <x v="8"/>
    <x v="2"/>
    <n v="300000"/>
  </r>
  <r>
    <x v="1179"/>
    <d v="2025-01-03T00:00:00"/>
    <s v="CUST0047"/>
    <s v="P031"/>
    <n v="2"/>
    <n v="150000"/>
    <n v="300000"/>
    <s v="NEWUSER"/>
    <n v="30000"/>
    <n v="20000"/>
    <n v="290000"/>
    <s v="E-Wallet"/>
    <s v="JNE"/>
    <x v="0"/>
    <x v="5"/>
    <s v="Yes"/>
    <n v="270000"/>
    <x v="20"/>
    <x v="2"/>
    <x v="2"/>
    <x v="232"/>
    <x v="0"/>
    <x v="9"/>
    <x v="2"/>
    <n v="270000"/>
  </r>
  <r>
    <x v="1180"/>
    <d v="2025-01-03T00:00:00"/>
    <s v="CUST0314"/>
    <s v="P024"/>
    <n v="4"/>
    <n v="500000"/>
    <n v="2000000"/>
    <s v="NONE"/>
    <n v="0"/>
    <n v="25000"/>
    <n v="2025000"/>
    <s v="Bank Transfer"/>
    <s v="AnterAja"/>
    <x v="0"/>
    <x v="5"/>
    <s v="Yes"/>
    <n v="2000000"/>
    <x v="43"/>
    <x v="0"/>
    <x v="0"/>
    <x v="32"/>
    <x v="0"/>
    <x v="4"/>
    <x v="2"/>
    <n v="2000000"/>
  </r>
  <r>
    <x v="1181"/>
    <d v="2025-01-03T00:00:00"/>
    <s v="CUST0347"/>
    <s v="P052"/>
    <n v="1"/>
    <n v="200000"/>
    <n v="200000"/>
    <s v="DISC15"/>
    <n v="30000"/>
    <n v="10000"/>
    <n v="180000"/>
    <s v="COD"/>
    <s v="SiCepat"/>
    <x v="0"/>
    <x v="5"/>
    <s v="Yes"/>
    <n v="170000"/>
    <x v="56"/>
    <x v="3"/>
    <x v="3"/>
    <x v="48"/>
    <x v="0"/>
    <x v="0"/>
    <x v="1"/>
    <n v="170000"/>
  </r>
  <r>
    <x v="1182"/>
    <d v="2025-01-02T00:00:00"/>
    <s v="CUST0206"/>
    <s v="P013"/>
    <n v="2"/>
    <n v="75000"/>
    <n v="150000"/>
    <s v="DISC10"/>
    <n v="15000"/>
    <n v="10000"/>
    <n v="145000"/>
    <s v="Bank Transfer"/>
    <s v="JNE"/>
    <x v="0"/>
    <x v="5"/>
    <s v="Yes"/>
    <n v="135000"/>
    <x v="50"/>
    <x v="2"/>
    <x v="2"/>
    <x v="235"/>
    <x v="0"/>
    <x v="4"/>
    <x v="1"/>
    <n v="135000"/>
  </r>
  <r>
    <x v="1183"/>
    <d v="2025-01-02T00:00:00"/>
    <s v="CUST0018"/>
    <s v="P047"/>
    <n v="1"/>
    <n v="500000"/>
    <n v="500000"/>
    <s v="DISC10"/>
    <n v="50000"/>
    <n v="15000"/>
    <n v="465000"/>
    <s v="Credit Card"/>
    <s v="SiCepat"/>
    <x v="0"/>
    <x v="5"/>
    <s v="Yes"/>
    <n v="450000"/>
    <x v="49"/>
    <x v="5"/>
    <x v="5"/>
    <x v="317"/>
    <x v="0"/>
    <x v="9"/>
    <x v="0"/>
    <n v="450000"/>
  </r>
  <r>
    <x v="1184"/>
    <d v="2025-01-02T00:00:00"/>
    <s v="CUST0249"/>
    <s v="P013"/>
    <n v="2"/>
    <n v="75000"/>
    <n v="150000"/>
    <s v="DISC15"/>
    <n v="22500"/>
    <n v="20000"/>
    <n v="147500"/>
    <s v="Bank Transfer"/>
    <s v="SiCepat"/>
    <x v="0"/>
    <x v="5"/>
    <s v="Yes"/>
    <n v="127500"/>
    <x v="50"/>
    <x v="2"/>
    <x v="2"/>
    <x v="101"/>
    <x v="0"/>
    <x v="7"/>
    <x v="1"/>
    <n v="127500"/>
  </r>
  <r>
    <x v="1185"/>
    <d v="2025-01-02T00:00:00"/>
    <s v="CUST0350"/>
    <s v="P013"/>
    <n v="1"/>
    <n v="75000"/>
    <n v="75000"/>
    <s v="NEWUSER"/>
    <n v="7500"/>
    <n v="30000"/>
    <n v="97500"/>
    <s v="COD"/>
    <s v="AnterAja"/>
    <x v="0"/>
    <x v="5"/>
    <s v="Yes"/>
    <n v="67500"/>
    <x v="50"/>
    <x v="2"/>
    <x v="2"/>
    <x v="180"/>
    <x v="0"/>
    <x v="4"/>
    <x v="1"/>
    <n v="67500"/>
  </r>
  <r>
    <x v="1186"/>
    <d v="2025-01-02T00:00:00"/>
    <s v="CUST0243"/>
    <s v="P041"/>
    <n v="1"/>
    <n v="75000"/>
    <n v="75000"/>
    <s v="DISC10"/>
    <n v="7500"/>
    <n v="25000"/>
    <n v="92500"/>
    <s v="COD"/>
    <s v="AnterAja"/>
    <x v="1"/>
    <x v="5"/>
    <s v="No"/>
    <n v="67500"/>
    <x v="15"/>
    <x v="5"/>
    <x v="5"/>
    <x v="338"/>
    <x v="1"/>
    <x v="4"/>
    <x v="1"/>
    <n v="0"/>
  </r>
  <r>
    <x v="1187"/>
    <d v="2025-01-02T00:00:00"/>
    <s v="CUST0101"/>
    <s v="P021"/>
    <n v="1"/>
    <n v="200000"/>
    <n v="200000"/>
    <s v="DISC15"/>
    <n v="30000"/>
    <n v="30000"/>
    <n v="200000"/>
    <s v="E-Wallet"/>
    <s v="JNE"/>
    <x v="0"/>
    <x v="5"/>
    <s v="Yes"/>
    <n v="170000"/>
    <x v="32"/>
    <x v="4"/>
    <x v="4"/>
    <x v="332"/>
    <x v="1"/>
    <x v="0"/>
    <x v="1"/>
    <n v="170000"/>
  </r>
  <r>
    <x v="1188"/>
    <d v="2025-01-02T00:00:00"/>
    <s v="CUST0329"/>
    <s v="P056"/>
    <n v="1"/>
    <n v="100000"/>
    <n v="100000"/>
    <s v="DISC15"/>
    <n v="15000"/>
    <n v="25000"/>
    <n v="110000"/>
    <s v="E-Wallet"/>
    <s v="JNE"/>
    <x v="0"/>
    <x v="5"/>
    <s v="Yes"/>
    <n v="85000"/>
    <x v="54"/>
    <x v="1"/>
    <x v="1"/>
    <x v="290"/>
    <x v="1"/>
    <x v="0"/>
    <x v="2"/>
    <n v="85000"/>
  </r>
  <r>
    <x v="1189"/>
    <d v="2025-01-02T00:00:00"/>
    <s v="CUST0314"/>
    <s v="P019"/>
    <n v="3"/>
    <n v="500000"/>
    <n v="1500000"/>
    <s v="NONE"/>
    <n v="0"/>
    <n v="30000"/>
    <n v="1530000"/>
    <s v="COD"/>
    <s v="J&amp;T"/>
    <x v="0"/>
    <x v="5"/>
    <s v="Yes"/>
    <n v="1500000"/>
    <x v="23"/>
    <x v="2"/>
    <x v="2"/>
    <x v="32"/>
    <x v="0"/>
    <x v="4"/>
    <x v="2"/>
    <n v="1500000"/>
  </r>
  <r>
    <x v="1190"/>
    <d v="2025-01-02T00:00:00"/>
    <s v="CUST0172"/>
    <s v="P037"/>
    <n v="3"/>
    <n v="100000"/>
    <n v="300000"/>
    <s v="NEWUSER"/>
    <n v="30000"/>
    <n v="25000"/>
    <n v="295000"/>
    <s v="COD"/>
    <s v="J&amp;T"/>
    <x v="2"/>
    <x v="5"/>
    <s v="No"/>
    <n v="270000"/>
    <x v="4"/>
    <x v="2"/>
    <x v="2"/>
    <x v="9"/>
    <x v="0"/>
    <x v="0"/>
    <x v="1"/>
    <n v="0"/>
  </r>
  <r>
    <x v="1191"/>
    <d v="2025-01-02T00:00:00"/>
    <s v="CUST0311"/>
    <s v="P040"/>
    <n v="3"/>
    <n v="75000"/>
    <n v="225000"/>
    <s v="DISC10"/>
    <n v="22500"/>
    <n v="10000"/>
    <n v="212500"/>
    <s v="Bank Transfer"/>
    <s v="J&amp;T"/>
    <x v="1"/>
    <x v="5"/>
    <s v="No"/>
    <n v="202500"/>
    <x v="28"/>
    <x v="3"/>
    <x v="3"/>
    <x v="4"/>
    <x v="0"/>
    <x v="2"/>
    <x v="2"/>
    <n v="0"/>
  </r>
  <r>
    <x v="1192"/>
    <d v="2025-01-01T00:00:00"/>
    <s v="CUST0072"/>
    <s v="P023"/>
    <n v="3"/>
    <n v="50000"/>
    <n v="150000"/>
    <s v="NONE"/>
    <n v="0"/>
    <n v="15000"/>
    <n v="165000"/>
    <s v="E-Wallet"/>
    <s v="JNE"/>
    <x v="0"/>
    <x v="5"/>
    <s v="Yes"/>
    <n v="150000"/>
    <x v="14"/>
    <x v="5"/>
    <x v="5"/>
    <x v="86"/>
    <x v="1"/>
    <x v="8"/>
    <x v="1"/>
    <n v="150000"/>
  </r>
  <r>
    <x v="1193"/>
    <d v="2025-01-01T00:00:00"/>
    <s v="CUST0153"/>
    <s v="P045"/>
    <n v="1"/>
    <n v="100000"/>
    <n v="100000"/>
    <s v="NONE"/>
    <n v="0"/>
    <n v="30000"/>
    <n v="130000"/>
    <s v="E-Wallet"/>
    <s v="JNE"/>
    <x v="1"/>
    <x v="5"/>
    <s v="No"/>
    <n v="100000"/>
    <x v="10"/>
    <x v="4"/>
    <x v="4"/>
    <x v="223"/>
    <x v="1"/>
    <x v="2"/>
    <x v="1"/>
    <n v="0"/>
  </r>
  <r>
    <x v="1194"/>
    <d v="2025-01-01T00:00:00"/>
    <s v="CUST0307"/>
    <s v="P005"/>
    <n v="2"/>
    <n v="75000"/>
    <n v="150000"/>
    <s v="FLASHSALE"/>
    <n v="30000"/>
    <n v="25000"/>
    <n v="145000"/>
    <s v="Credit Card"/>
    <s v="JNE"/>
    <x v="0"/>
    <x v="5"/>
    <s v="Yes"/>
    <n v="120000"/>
    <x v="12"/>
    <x v="5"/>
    <x v="5"/>
    <x v="71"/>
    <x v="0"/>
    <x v="0"/>
    <x v="1"/>
    <n v="120000"/>
  </r>
  <r>
    <x v="1195"/>
    <d v="2025-01-01T00:00:00"/>
    <s v="CUST0295"/>
    <s v="P021"/>
    <n v="1"/>
    <n v="200000"/>
    <n v="200000"/>
    <s v="NEWUSER"/>
    <n v="20000"/>
    <n v="10000"/>
    <n v="190000"/>
    <s v="E-Wallet"/>
    <s v="AnterAja"/>
    <x v="0"/>
    <x v="5"/>
    <s v="Yes"/>
    <n v="180000"/>
    <x v="32"/>
    <x v="4"/>
    <x v="4"/>
    <x v="339"/>
    <x v="0"/>
    <x v="1"/>
    <x v="0"/>
    <n v="180000"/>
  </r>
  <r>
    <x v="1196"/>
    <d v="2025-01-01T00:00:00"/>
    <s v="CUST0133"/>
    <s v="P016"/>
    <n v="4"/>
    <n v="150000"/>
    <n v="600000"/>
    <s v="NONE"/>
    <n v="0"/>
    <n v="10000"/>
    <n v="610000"/>
    <s v="COD"/>
    <s v="AnterAja"/>
    <x v="0"/>
    <x v="5"/>
    <s v="Yes"/>
    <n v="600000"/>
    <x v="8"/>
    <x v="3"/>
    <x v="3"/>
    <x v="310"/>
    <x v="1"/>
    <x v="2"/>
    <x v="0"/>
    <n v="600000"/>
  </r>
  <r>
    <x v="1197"/>
    <d v="2025-01-01T00:00:00"/>
    <s v="CUST0021"/>
    <s v="P019"/>
    <n v="2"/>
    <n v="500000"/>
    <n v="1000000"/>
    <s v="NONE"/>
    <n v="0"/>
    <n v="25000"/>
    <n v="1025000"/>
    <s v="COD"/>
    <s v="SiCepat"/>
    <x v="2"/>
    <x v="5"/>
    <s v="No"/>
    <n v="1000000"/>
    <x v="23"/>
    <x v="2"/>
    <x v="2"/>
    <x v="279"/>
    <x v="1"/>
    <x v="8"/>
    <x v="2"/>
    <n v="0"/>
  </r>
  <r>
    <x v="1198"/>
    <d v="2025-01-01T00:00:00"/>
    <s v="CUST0296"/>
    <s v="P032"/>
    <n v="3"/>
    <n v="35000"/>
    <n v="105000"/>
    <s v="NONE"/>
    <n v="0"/>
    <n v="20000"/>
    <n v="125000"/>
    <s v="COD"/>
    <s v="J&amp;T"/>
    <x v="0"/>
    <x v="5"/>
    <s v="Yes"/>
    <n v="105000"/>
    <x v="29"/>
    <x v="1"/>
    <x v="1"/>
    <x v="64"/>
    <x v="1"/>
    <x v="0"/>
    <x v="1"/>
    <n v="105000"/>
  </r>
  <r>
    <x v="1199"/>
    <d v="2025-01-01T00:00:00"/>
    <s v="CUST0244"/>
    <s v="P034"/>
    <n v="2"/>
    <n v="50000"/>
    <n v="100000"/>
    <s v="NONE"/>
    <n v="0"/>
    <n v="25000"/>
    <n v="125000"/>
    <s v="Bank Transfer"/>
    <s v="JNE"/>
    <x v="0"/>
    <x v="5"/>
    <s v="Yes"/>
    <n v="100000"/>
    <x v="42"/>
    <x v="3"/>
    <x v="3"/>
    <x v="104"/>
    <x v="0"/>
    <x v="6"/>
    <x v="1"/>
    <n v="1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45D3B3-F112-4534-A6D4-6B7D4C3ADF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H14" firstHeaderRow="0" firstDataRow="1" firstDataCol="1"/>
  <pivotFields count="27">
    <pivotField dataField="1" showAll="0"/>
    <pivotField numFmtId="14" showAll="0"/>
    <pivotField showAll="0"/>
    <pivotField showAll="0"/>
    <pivotField dataField="1" showAll="0"/>
    <pivotField numFmtId="166" showAll="0"/>
    <pivotField dataField="1" numFmtId="166" showAll="0"/>
    <pivotField showAll="0"/>
    <pivotField numFmtId="166" showAll="0"/>
    <pivotField numFmtId="166" showAll="0"/>
    <pivotField dataField="1" numFmtId="166" showAll="0"/>
    <pivotField showAll="0"/>
    <pivotField showAll="0"/>
    <pivotField showAll="0"/>
    <pivotField numFmtId="167" showAll="0">
      <items count="7">
        <item x="5"/>
        <item x="4"/>
        <item x="3"/>
        <item x="2"/>
        <item x="1"/>
        <item x="0"/>
        <item t="default"/>
      </items>
    </pivotField>
    <pivotField showAll="0"/>
    <pivotField dataField="1" numFmtId="166" showAll="0"/>
    <pivotField showAll="0"/>
    <pivotField showAll="0"/>
    <pivotField showAll="0"/>
    <pivotField showAll="0"/>
    <pivotField showAll="0"/>
    <pivotField showAll="0"/>
    <pivotField showAll="0"/>
    <pivotField dataField="1"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6"/>
  </rowFields>
  <rowItems count="7">
    <i>
      <x v="1"/>
    </i>
    <i>
      <x v="2"/>
    </i>
    <i>
      <x v="3"/>
    </i>
    <i>
      <x v="4"/>
    </i>
    <i>
      <x v="5"/>
    </i>
    <i>
      <x v="6"/>
    </i>
    <i t="grand">
      <x/>
    </i>
  </rowItems>
  <colFields count="1">
    <field x="-2"/>
  </colFields>
  <colItems count="6">
    <i>
      <x/>
    </i>
    <i i="1">
      <x v="1"/>
    </i>
    <i i="2">
      <x v="2"/>
    </i>
    <i i="3">
      <x v="3"/>
    </i>
    <i i="4">
      <x v="4"/>
    </i>
    <i i="5">
      <x v="5"/>
    </i>
  </colItems>
  <dataFields count="6">
    <dataField name="Count of order_id" fld="0" subtotal="count" baseField="0" baseItem="0"/>
    <dataField name="Sum of quantity" fld="4" baseField="0" baseItem="0"/>
    <dataField name="Sum of gross_sales" fld="6" baseField="0" baseItem="0" numFmtId="166"/>
    <dataField name="Sum of total_amount" fld="10" baseField="0" baseItem="0" numFmtId="166"/>
    <dataField name="Sum of net_sales" fld="16" baseField="0" baseItem="0" numFmtId="166"/>
    <dataField name="Sum of revenue" fld="24" baseField="0" baseItem="0" numFmtId="166"/>
  </dataFields>
  <formats count="7">
    <format dxfId="37">
      <pivotArea collapsedLevelsAreSubtotals="1" fieldPosition="0">
        <references count="1">
          <reference field="26" count="1">
            <x v="1"/>
          </reference>
        </references>
      </pivotArea>
    </format>
    <format dxfId="36">
      <pivotArea collapsedLevelsAreSubtotals="1" fieldPosition="0">
        <references count="1">
          <reference field="26" count="1">
            <x v="2"/>
          </reference>
        </references>
      </pivotArea>
    </format>
    <format dxfId="35">
      <pivotArea collapsedLevelsAreSubtotals="1" fieldPosition="0">
        <references count="1">
          <reference field="26" count="1">
            <x v="3"/>
          </reference>
        </references>
      </pivotArea>
    </format>
    <format dxfId="34">
      <pivotArea collapsedLevelsAreSubtotals="1" fieldPosition="0">
        <references count="1">
          <reference field="26" count="1">
            <x v="4"/>
          </reference>
        </references>
      </pivotArea>
    </format>
    <format dxfId="33">
      <pivotArea collapsedLevelsAreSubtotals="1" fieldPosition="0">
        <references count="1">
          <reference field="26" count="1">
            <x v="5"/>
          </reference>
        </references>
      </pivotArea>
    </format>
    <format dxfId="32">
      <pivotArea collapsedLevelsAreSubtotals="1" fieldPosition="0">
        <references count="1">
          <reference field="26" count="1">
            <x v="6"/>
          </reference>
        </references>
      </pivotArea>
    </format>
    <format dxfId="31">
      <pivotArea dataOnly="0" labelOnly="1" fieldPosition="0">
        <references count="1">
          <reference field="26" count="6">
            <x v="1"/>
            <x v="2"/>
            <x v="3"/>
            <x v="4"/>
            <x v="5"/>
            <x v="6"/>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3F9DCD-2698-40F1-AC33-D142FCF4A1A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D29" firstHeaderRow="0" firstDataRow="1" firstDataCol="1"/>
  <pivotFields count="27">
    <pivotField dataField="1" showAll="0"/>
    <pivotField numFmtId="14" showAll="0"/>
    <pivotField showAll="0"/>
    <pivotField showAll="0"/>
    <pivotField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showAll="0"/>
    <pivotField showAll="0"/>
    <pivotField showAll="0"/>
    <pivotField showAll="0"/>
    <pivotField showAll="0"/>
    <pivotField axis="axisRow" showAll="0" sortType="descending">
      <items count="11">
        <item x="5"/>
        <item x="9"/>
        <item x="6"/>
        <item x="8"/>
        <item x="4"/>
        <item x="7"/>
        <item x="0"/>
        <item x="3"/>
        <item x="2"/>
        <item x="1"/>
        <item t="default"/>
      </items>
      <autoSortScope>
        <pivotArea dataOnly="0" outline="0" fieldPosition="0">
          <references count="1">
            <reference field="4294967294" count="1" selected="0">
              <x v="1"/>
            </reference>
          </references>
        </pivotArea>
      </autoSortScope>
    </pivotField>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2"/>
  </rowFields>
  <rowItems count="11">
    <i>
      <x v="4"/>
    </i>
    <i>
      <x v="8"/>
    </i>
    <i>
      <x v="9"/>
    </i>
    <i>
      <x v="5"/>
    </i>
    <i>
      <x v="3"/>
    </i>
    <i>
      <x v="7"/>
    </i>
    <i>
      <x v="2"/>
    </i>
    <i>
      <x/>
    </i>
    <i>
      <x v="6"/>
    </i>
    <i>
      <x v="1"/>
    </i>
    <i t="grand">
      <x/>
    </i>
  </rowItems>
  <colFields count="1">
    <field x="-2"/>
  </colFields>
  <colItems count="2">
    <i>
      <x/>
    </i>
    <i i="1">
      <x v="1"/>
    </i>
  </colItems>
  <dataFields count="2">
    <dataField name="Count of order_id" fld="0" subtotal="count" baseField="0" baseItem="0"/>
    <dataField name="Sum of revenue" fld="2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B3502-595C-4F06-9F9B-31C1BA8B77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K7:L13" firstHeaderRow="1" firstDataRow="1" firstDataCol="1"/>
  <pivotFields count="27">
    <pivotField dataField="1" showAll="0"/>
    <pivotField numFmtId="14" showAll="0"/>
    <pivotField showAll="0"/>
    <pivotField showAll="0"/>
    <pivotField showAll="0"/>
    <pivotField numFmtId="166" showAll="0"/>
    <pivotField numFmtId="166" showAll="0"/>
    <pivotField showAll="0"/>
    <pivotField numFmtId="166" showAll="0"/>
    <pivotField numFmtId="166" showAll="0"/>
    <pivotField numFmtId="166" showAll="0"/>
    <pivotField showAll="0"/>
    <pivotField showAll="0"/>
    <pivotField axis="axisRow" showAll="0">
      <items count="6">
        <item x="4"/>
        <item x="0"/>
        <item x="1"/>
        <item x="3"/>
        <item x="2"/>
        <item t="default"/>
      </items>
    </pivotField>
    <pivotField numFmtId="167" showAll="0">
      <items count="7">
        <item x="5"/>
        <item x="4"/>
        <item x="3"/>
        <item x="2"/>
        <item x="1"/>
        <item x="0"/>
        <item t="default"/>
      </items>
    </pivotField>
    <pivotField showAll="0"/>
    <pivotField numFmtId="166" showAll="0"/>
    <pivotField showAll="0"/>
    <pivotField showAll="0"/>
    <pivotField showAll="0"/>
    <pivotField showAll="0"/>
    <pivotField showAll="0"/>
    <pivotField showAll="0"/>
    <pivotField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6">
    <i>
      <x/>
    </i>
    <i>
      <x v="1"/>
    </i>
    <i>
      <x v="2"/>
    </i>
    <i>
      <x v="3"/>
    </i>
    <i>
      <x v="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1320E0-0498-4888-9B63-E78A70C567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J30" firstHeaderRow="0" firstDataRow="1" firstDataCol="1"/>
  <pivotFields count="27">
    <pivotField dataField="1" showAll="0"/>
    <pivotField numFmtId="14" showAll="0"/>
    <pivotField showAll="0"/>
    <pivotField showAll="0"/>
    <pivotField dataField="1"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showAll="0"/>
    <pivotField showAll="0"/>
    <pivotField axis="axisRow" showAll="0">
      <items count="7">
        <item x="5"/>
        <item x="2"/>
        <item x="4"/>
        <item x="3"/>
        <item x="0"/>
        <item x="1"/>
        <item t="default"/>
      </items>
    </pivotField>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7">
    <i>
      <x/>
    </i>
    <i>
      <x v="1"/>
    </i>
    <i>
      <x v="2"/>
    </i>
    <i>
      <x v="3"/>
    </i>
    <i>
      <x v="4"/>
    </i>
    <i>
      <x v="5"/>
    </i>
    <i t="grand">
      <x/>
    </i>
  </rowItems>
  <colFields count="1">
    <field x="-2"/>
  </colFields>
  <colItems count="3">
    <i>
      <x/>
    </i>
    <i i="1">
      <x v="1"/>
    </i>
    <i i="2">
      <x v="2"/>
    </i>
  </colItems>
  <dataFields count="3">
    <dataField name="Count of order_id" fld="0" subtotal="count" baseField="0" baseItem="0"/>
    <dataField name="Sum of quantity" fld="4" baseField="0" baseItem="0"/>
    <dataField name="Sum of revenue" fld="2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FA2C61-3735-483A-B3A3-1AA3FF0A1B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E30" firstHeaderRow="0" firstDataRow="1" firstDataCol="1"/>
  <pivotFields count="27">
    <pivotField dataField="1" showAll="0"/>
    <pivotField numFmtId="14" showAll="0"/>
    <pivotField showAll="0"/>
    <pivotField showAll="0"/>
    <pivotField dataField="1"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showAll="0"/>
    <pivotField axis="axisRow" showAll="0" sortType="descending">
      <items count="7">
        <item x="3"/>
        <item x="0"/>
        <item x="2"/>
        <item x="1"/>
        <item x="4"/>
        <item x="5"/>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7">
    <i>
      <x v="1"/>
    </i>
    <i>
      <x v="4"/>
    </i>
    <i>
      <x v="2"/>
    </i>
    <i>
      <x v="5"/>
    </i>
    <i>
      <x v="3"/>
    </i>
    <i>
      <x/>
    </i>
    <i t="grand">
      <x/>
    </i>
  </rowItems>
  <colFields count="1">
    <field x="-2"/>
  </colFields>
  <colItems count="3">
    <i>
      <x/>
    </i>
    <i i="1">
      <x v="1"/>
    </i>
    <i i="2">
      <x v="2"/>
    </i>
  </colItems>
  <dataFields count="3">
    <dataField name="Count of order_id" fld="0" subtotal="count" baseField="0" baseItem="0"/>
    <dataField name="Sum of quantity" fld="4" baseField="0" baseItem="0"/>
    <dataField name="Sum of revenue" fld="2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D1960-A35E-4E64-8001-B56A81D2F1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18" firstHeaderRow="1" firstDataRow="1" firstDataCol="1"/>
  <pivotFields count="27">
    <pivotField showAll="0"/>
    <pivotField numFmtId="14" showAll="0"/>
    <pivotField showAll="0"/>
    <pivotField showAll="0"/>
    <pivotField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axis="axisRow" showAll="0" measureFilter="1" sortType="descending">
      <items count="61">
        <item x="45"/>
        <item x="24"/>
        <item x="49"/>
        <item x="14"/>
        <item x="21"/>
        <item x="2"/>
        <item x="1"/>
        <item x="43"/>
        <item x="59"/>
        <item x="36"/>
        <item x="5"/>
        <item x="33"/>
        <item x="0"/>
        <item x="40"/>
        <item x="16"/>
        <item x="44"/>
        <item x="30"/>
        <item x="47"/>
        <item x="25"/>
        <item x="10"/>
        <item x="57"/>
        <item x="52"/>
        <item x="56"/>
        <item x="13"/>
        <item x="29"/>
        <item x="41"/>
        <item x="26"/>
        <item x="3"/>
        <item x="6"/>
        <item x="27"/>
        <item x="50"/>
        <item x="34"/>
        <item x="18"/>
        <item x="38"/>
        <item x="48"/>
        <item x="9"/>
        <item x="19"/>
        <item x="31"/>
        <item x="42"/>
        <item x="12"/>
        <item x="28"/>
        <item x="55"/>
        <item x="20"/>
        <item x="51"/>
        <item x="23"/>
        <item x="11"/>
        <item x="15"/>
        <item x="35"/>
        <item x="22"/>
        <item x="32"/>
        <item x="53"/>
        <item x="4"/>
        <item x="37"/>
        <item x="8"/>
        <item x="46"/>
        <item x="39"/>
        <item x="7"/>
        <item x="54"/>
        <item x="58"/>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11">
    <i>
      <x v="36"/>
    </i>
    <i>
      <x v="6"/>
    </i>
    <i>
      <x v="2"/>
    </i>
    <i>
      <x v="7"/>
    </i>
    <i>
      <x v="44"/>
    </i>
    <i>
      <x v="47"/>
    </i>
    <i>
      <x v="35"/>
    </i>
    <i>
      <x v="17"/>
    </i>
    <i>
      <x v="15"/>
    </i>
    <i>
      <x v="4"/>
    </i>
    <i t="grand">
      <x/>
    </i>
  </rowItems>
  <colItems count="1">
    <i/>
  </colItems>
  <dataFields count="1">
    <dataField name="Sum of revenue" fld="24" baseField="0" baseItem="0" numFmtId="166"/>
  </dataField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510AE3-4E9E-4A7E-806F-8509F94DC2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G18" firstHeaderRow="1" firstDataRow="1" firstDataCol="1"/>
  <pivotFields count="27">
    <pivotField showAll="0"/>
    <pivotField numFmtId="14" showAll="0"/>
    <pivotField showAll="0"/>
    <pivotField showAll="0"/>
    <pivotField dataField="1"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axis="axisRow" showAll="0" measureFilter="1" sortType="descending">
      <items count="61">
        <item x="45"/>
        <item x="24"/>
        <item x="49"/>
        <item x="14"/>
        <item x="21"/>
        <item x="2"/>
        <item x="1"/>
        <item x="43"/>
        <item x="59"/>
        <item x="36"/>
        <item x="5"/>
        <item x="33"/>
        <item x="0"/>
        <item x="40"/>
        <item x="16"/>
        <item x="44"/>
        <item x="30"/>
        <item x="47"/>
        <item x="25"/>
        <item x="10"/>
        <item x="57"/>
        <item x="52"/>
        <item x="56"/>
        <item x="13"/>
        <item x="29"/>
        <item x="41"/>
        <item x="26"/>
        <item x="3"/>
        <item x="6"/>
        <item x="27"/>
        <item x="50"/>
        <item x="34"/>
        <item x="18"/>
        <item x="38"/>
        <item x="48"/>
        <item x="9"/>
        <item x="19"/>
        <item x="31"/>
        <item x="42"/>
        <item x="12"/>
        <item x="28"/>
        <item x="55"/>
        <item x="20"/>
        <item x="51"/>
        <item x="23"/>
        <item x="11"/>
        <item x="15"/>
        <item x="35"/>
        <item x="22"/>
        <item x="32"/>
        <item x="53"/>
        <item x="4"/>
        <item x="37"/>
        <item x="8"/>
        <item x="46"/>
        <item x="39"/>
        <item x="7"/>
        <item x="54"/>
        <item x="58"/>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11">
    <i>
      <x v="35"/>
    </i>
    <i>
      <x v="48"/>
    </i>
    <i>
      <x v="6"/>
    </i>
    <i>
      <x v="14"/>
    </i>
    <i>
      <x v="52"/>
    </i>
    <i>
      <x v="4"/>
    </i>
    <i>
      <x v="55"/>
    </i>
    <i>
      <x v="32"/>
    </i>
    <i>
      <x v="30"/>
    </i>
    <i>
      <x v="38"/>
    </i>
    <i t="grand">
      <x/>
    </i>
  </rowItems>
  <colItems count="1">
    <i/>
  </colItems>
  <dataFields count="1">
    <dataField name="Sum of quantity" fld="4" baseField="0" baseItem="0"/>
  </dataField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66F018-E686-46B3-8D6E-4611BC767A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9" firstHeaderRow="1" firstDataRow="1" firstDataCol="1"/>
  <pivotFields count="27">
    <pivotField dataField="1" showAll="0"/>
    <pivotField numFmtId="14" showAll="0"/>
    <pivotField showAll="0"/>
    <pivotField showAll="0"/>
    <pivotField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axis="axisRow" showAll="0" measureFilter="1" sortType="descending">
      <items count="61">
        <item x="45"/>
        <item x="24"/>
        <item x="49"/>
        <item x="14"/>
        <item x="21"/>
        <item x="2"/>
        <item x="1"/>
        <item x="43"/>
        <item x="59"/>
        <item x="36"/>
        <item x="5"/>
        <item x="33"/>
        <item x="0"/>
        <item x="40"/>
        <item x="16"/>
        <item x="44"/>
        <item x="30"/>
        <item x="47"/>
        <item x="25"/>
        <item x="10"/>
        <item x="57"/>
        <item x="52"/>
        <item x="56"/>
        <item x="13"/>
        <item x="29"/>
        <item x="41"/>
        <item x="26"/>
        <item x="3"/>
        <item x="6"/>
        <item x="27"/>
        <item x="50"/>
        <item x="34"/>
        <item x="18"/>
        <item x="38"/>
        <item x="48"/>
        <item x="9"/>
        <item x="19"/>
        <item x="31"/>
        <item x="42"/>
        <item x="12"/>
        <item x="28"/>
        <item x="55"/>
        <item x="20"/>
        <item x="51"/>
        <item x="23"/>
        <item x="11"/>
        <item x="15"/>
        <item x="35"/>
        <item x="22"/>
        <item x="32"/>
        <item x="53"/>
        <item x="4"/>
        <item x="37"/>
        <item x="8"/>
        <item x="46"/>
        <item x="39"/>
        <item x="7"/>
        <item x="54"/>
        <item x="58"/>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12">
    <i>
      <x v="35"/>
    </i>
    <i>
      <x v="32"/>
    </i>
    <i>
      <x v="30"/>
    </i>
    <i>
      <x v="38"/>
    </i>
    <i>
      <x v="7"/>
    </i>
    <i>
      <x v="24"/>
    </i>
    <i>
      <x v="48"/>
    </i>
    <i>
      <x v="28"/>
    </i>
    <i>
      <x v="55"/>
    </i>
    <i>
      <x v="6"/>
    </i>
    <i>
      <x v="36"/>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9DB521-F279-4E78-B489-E38828E567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K18" firstHeaderRow="0" firstDataRow="1" firstDataCol="1"/>
  <pivotFields count="27">
    <pivotField dataField="1" showAll="0"/>
    <pivotField numFmtId="14" showAll="0"/>
    <pivotField showAll="0"/>
    <pivotField showAll="0"/>
    <pivotField dataField="1"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showAll="0"/>
    <pivotField showAll="0"/>
    <pivotField showAll="0"/>
    <pivotField showAll="0"/>
    <pivotField showAll="0"/>
    <pivotField showAll="0"/>
    <pivotField axis="axisRow" showAll="0">
      <items count="4">
        <item x="1"/>
        <item x="2"/>
        <item x="0"/>
        <item t="default"/>
      </items>
    </pivotField>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3"/>
  </rowFields>
  <rowItems count="4">
    <i>
      <x/>
    </i>
    <i>
      <x v="1"/>
    </i>
    <i>
      <x v="2"/>
    </i>
    <i t="grand">
      <x/>
    </i>
  </rowItems>
  <colFields count="1">
    <field x="-2"/>
  </colFields>
  <colItems count="3">
    <i>
      <x/>
    </i>
    <i i="1">
      <x v="1"/>
    </i>
    <i i="2">
      <x v="2"/>
    </i>
  </colItems>
  <dataFields count="3">
    <dataField name="Count of order_id" fld="0" subtotal="count" baseField="0" baseItem="0"/>
    <dataField name="Sum of quantity" fld="4" baseField="0" baseItem="0"/>
    <dataField name="Sum of revenue" fld="2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35E45B-1546-4E9B-959D-A4A93259CF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K10" firstHeaderRow="0" firstDataRow="1" firstDataCol="1"/>
  <pivotFields count="27">
    <pivotField dataField="1" showAll="0"/>
    <pivotField numFmtId="14" showAll="0"/>
    <pivotField showAll="0"/>
    <pivotField showAll="0"/>
    <pivotField dataField="1"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showAll="0"/>
    <pivotField showAll="0"/>
    <pivotField showAll="0"/>
    <pivotField showAll="0"/>
    <pivotField axis="axisRow" showAll="0">
      <items count="3">
        <item x="0"/>
        <item x="1"/>
        <item t="default"/>
      </items>
    </pivotField>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3">
    <i>
      <x/>
    </i>
    <i>
      <x v="1"/>
    </i>
    <i t="grand">
      <x/>
    </i>
  </rowItems>
  <colFields count="1">
    <field x="-2"/>
  </colFields>
  <colItems count="3">
    <i>
      <x/>
    </i>
    <i i="1">
      <x v="1"/>
    </i>
    <i i="2">
      <x v="2"/>
    </i>
  </colItems>
  <dataFields count="3">
    <dataField name="Count of order_id" fld="0" subtotal="count" baseField="0" baseItem="0"/>
    <dataField name="Sum of quantity" fld="4" baseField="0" baseItem="0"/>
    <dataField name="Sum of revenue" fld="24" baseField="0" baseItem="0" numFmtId="166"/>
  </dataFields>
  <formats count="1">
    <format dxfId="30">
      <pivotArea dataOnly="0"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113870-160C-4257-8567-9544518847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8" firstHeaderRow="0" firstDataRow="1" firstDataCol="1"/>
  <pivotFields count="27">
    <pivotField dataField="1" showAll="0"/>
    <pivotField numFmtId="14" showAll="0"/>
    <pivotField showAll="0"/>
    <pivotField showAll="0"/>
    <pivotField dataField="1" showAll="0"/>
    <pivotField numFmtId="166" showAll="0"/>
    <pivotField numFmtId="166" showAll="0"/>
    <pivotField showAll="0"/>
    <pivotField numFmtId="166" showAll="0"/>
    <pivotField numFmtId="166" showAll="0"/>
    <pivotField numFmtId="166" showAll="0"/>
    <pivotField showAll="0"/>
    <pivotField showAll="0"/>
    <pivotField showAll="0"/>
    <pivotField numFmtId="167" showAll="0">
      <items count="7">
        <item x="5"/>
        <item x="4"/>
        <item x="3"/>
        <item x="2"/>
        <item x="1"/>
        <item x="0"/>
        <item t="default"/>
      </items>
    </pivotField>
    <pivotField showAll="0"/>
    <pivotField numFmtId="166" showAll="0"/>
    <pivotField showAll="0"/>
    <pivotField showAll="0"/>
    <pivotField showAll="0"/>
    <pivotField axis="axisRow" showAll="0" measureFilter="1" sortType="descending">
      <items count="341">
        <item x="251"/>
        <item x="95"/>
        <item x="28"/>
        <item x="11"/>
        <item x="15"/>
        <item x="318"/>
        <item x="274"/>
        <item x="286"/>
        <item x="99"/>
        <item x="163"/>
        <item x="235"/>
        <item x="182"/>
        <item x="204"/>
        <item x="323"/>
        <item x="194"/>
        <item x="105"/>
        <item x="51"/>
        <item x="332"/>
        <item x="290"/>
        <item x="233"/>
        <item x="152"/>
        <item x="206"/>
        <item x="242"/>
        <item x="175"/>
        <item x="33"/>
        <item x="275"/>
        <item x="56"/>
        <item x="149"/>
        <item x="77"/>
        <item x="246"/>
        <item x="34"/>
        <item x="267"/>
        <item x="110"/>
        <item x="225"/>
        <item x="19"/>
        <item x="207"/>
        <item x="269"/>
        <item x="10"/>
        <item x="54"/>
        <item x="240"/>
        <item x="43"/>
        <item x="197"/>
        <item x="74"/>
        <item x="88"/>
        <item x="145"/>
        <item x="143"/>
        <item x="27"/>
        <item x="86"/>
        <item x="185"/>
        <item x="23"/>
        <item x="201"/>
        <item x="219"/>
        <item x="322"/>
        <item x="26"/>
        <item x="100"/>
        <item x="254"/>
        <item x="37"/>
        <item x="302"/>
        <item x="40"/>
        <item x="162"/>
        <item x="227"/>
        <item x="140"/>
        <item x="328"/>
        <item x="306"/>
        <item x="129"/>
        <item x="265"/>
        <item x="228"/>
        <item x="256"/>
        <item x="293"/>
        <item x="209"/>
        <item x="73"/>
        <item x="134"/>
        <item x="78"/>
        <item x="277"/>
        <item x="266"/>
        <item x="76"/>
        <item x="198"/>
        <item x="90"/>
        <item x="250"/>
        <item x="45"/>
        <item x="29"/>
        <item x="118"/>
        <item x="68"/>
        <item x="13"/>
        <item x="32"/>
        <item x="114"/>
        <item x="93"/>
        <item x="69"/>
        <item x="203"/>
        <item x="116"/>
        <item x="196"/>
        <item x="49"/>
        <item x="107"/>
        <item x="64"/>
        <item x="247"/>
        <item x="7"/>
        <item x="80"/>
        <item x="316"/>
        <item x="212"/>
        <item x="157"/>
        <item x="210"/>
        <item x="47"/>
        <item x="260"/>
        <item x="186"/>
        <item x="52"/>
        <item x="16"/>
        <item x="148"/>
        <item x="119"/>
        <item x="230"/>
        <item x="262"/>
        <item x="282"/>
        <item x="123"/>
        <item x="108"/>
        <item x="289"/>
        <item x="38"/>
        <item x="53"/>
        <item x="94"/>
        <item x="142"/>
        <item x="317"/>
        <item x="103"/>
        <item x="168"/>
        <item x="22"/>
        <item x="91"/>
        <item x="4"/>
        <item x="253"/>
        <item x="112"/>
        <item x="171"/>
        <item x="199"/>
        <item x="315"/>
        <item x="50"/>
        <item x="337"/>
        <item x="31"/>
        <item x="223"/>
        <item x="161"/>
        <item x="126"/>
        <item x="89"/>
        <item x="117"/>
        <item x="153"/>
        <item x="193"/>
        <item x="156"/>
        <item x="65"/>
        <item x="288"/>
        <item x="150"/>
        <item x="313"/>
        <item x="208"/>
        <item x="222"/>
        <item x="331"/>
        <item x="166"/>
        <item x="8"/>
        <item x="169"/>
        <item x="101"/>
        <item x="278"/>
        <item x="130"/>
        <item x="96"/>
        <item x="312"/>
        <item x="224"/>
        <item x="326"/>
        <item x="296"/>
        <item x="131"/>
        <item x="84"/>
        <item x="245"/>
        <item x="241"/>
        <item x="280"/>
        <item x="102"/>
        <item x="301"/>
        <item x="333"/>
        <item x="311"/>
        <item x="309"/>
        <item x="70"/>
        <item x="36"/>
        <item x="137"/>
        <item x="165"/>
        <item x="336"/>
        <item x="292"/>
        <item x="188"/>
        <item x="71"/>
        <item x="179"/>
        <item x="338"/>
        <item x="184"/>
        <item x="214"/>
        <item x="308"/>
        <item x="178"/>
        <item x="305"/>
        <item x="291"/>
        <item x="295"/>
        <item x="248"/>
        <item x="122"/>
        <item x="1"/>
        <item x="263"/>
        <item x="82"/>
        <item x="85"/>
        <item x="236"/>
        <item x="268"/>
        <item x="176"/>
        <item x="44"/>
        <item x="321"/>
        <item x="3"/>
        <item x="9"/>
        <item x="164"/>
        <item x="151"/>
        <item x="339"/>
        <item x="132"/>
        <item x="181"/>
        <item x="238"/>
        <item x="180"/>
        <item x="59"/>
        <item x="249"/>
        <item x="283"/>
        <item x="55"/>
        <item x="226"/>
        <item x="97"/>
        <item x="12"/>
        <item x="111"/>
        <item x="61"/>
        <item x="158"/>
        <item x="255"/>
        <item x="14"/>
        <item x="213"/>
        <item x="272"/>
        <item x="124"/>
        <item x="173"/>
        <item x="334"/>
        <item x="195"/>
        <item x="187"/>
        <item x="35"/>
        <item x="285"/>
        <item x="270"/>
        <item x="192"/>
        <item x="174"/>
        <item x="75"/>
        <item x="63"/>
        <item x="5"/>
        <item x="67"/>
        <item x="320"/>
        <item x="264"/>
        <item x="133"/>
        <item x="155"/>
        <item x="170"/>
        <item x="211"/>
        <item x="58"/>
        <item x="281"/>
        <item x="87"/>
        <item x="41"/>
        <item x="205"/>
        <item x="252"/>
        <item x="106"/>
        <item x="273"/>
        <item x="287"/>
        <item x="0"/>
        <item x="232"/>
        <item x="304"/>
        <item x="42"/>
        <item x="20"/>
        <item x="141"/>
        <item x="191"/>
        <item x="92"/>
        <item x="98"/>
        <item x="244"/>
        <item x="234"/>
        <item x="109"/>
        <item x="221"/>
        <item x="72"/>
        <item x="154"/>
        <item x="159"/>
        <item x="330"/>
        <item x="46"/>
        <item x="21"/>
        <item x="57"/>
        <item x="303"/>
        <item x="127"/>
        <item x="261"/>
        <item x="167"/>
        <item x="307"/>
        <item x="189"/>
        <item x="294"/>
        <item x="136"/>
        <item x="25"/>
        <item x="113"/>
        <item x="39"/>
        <item x="18"/>
        <item x="83"/>
        <item x="2"/>
        <item x="335"/>
        <item x="218"/>
        <item x="298"/>
        <item x="237"/>
        <item x="128"/>
        <item x="271"/>
        <item x="147"/>
        <item x="144"/>
        <item x="327"/>
        <item x="239"/>
        <item x="30"/>
        <item x="62"/>
        <item x="300"/>
        <item x="258"/>
        <item x="125"/>
        <item x="324"/>
        <item x="48"/>
        <item x="6"/>
        <item x="190"/>
        <item x="310"/>
        <item x="104"/>
        <item x="325"/>
        <item x="202"/>
        <item x="216"/>
        <item x="229"/>
        <item x="217"/>
        <item x="231"/>
        <item x="66"/>
        <item x="200"/>
        <item x="319"/>
        <item x="279"/>
        <item x="115"/>
        <item x="243"/>
        <item x="259"/>
        <item x="299"/>
        <item x="60"/>
        <item x="160"/>
        <item x="297"/>
        <item x="314"/>
        <item x="183"/>
        <item x="276"/>
        <item x="79"/>
        <item x="81"/>
        <item x="329"/>
        <item x="215"/>
        <item x="172"/>
        <item x="121"/>
        <item x="284"/>
        <item x="220"/>
        <item x="138"/>
        <item x="139"/>
        <item x="177"/>
        <item x="17"/>
        <item x="257"/>
        <item x="135"/>
        <item x="120"/>
        <item x="146"/>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11">
    <i>
      <x v="84"/>
    </i>
    <i>
      <x v="252"/>
    </i>
    <i>
      <x v="90"/>
    </i>
    <i>
      <x v="41"/>
    </i>
    <i>
      <x v="86"/>
    </i>
    <i>
      <x v="124"/>
    </i>
    <i>
      <x v="321"/>
    </i>
    <i>
      <x v="313"/>
    </i>
    <i>
      <x v="16"/>
    </i>
    <i>
      <x v="4"/>
    </i>
    <i t="grand">
      <x/>
    </i>
  </rowItems>
  <colFields count="1">
    <field x="-2"/>
  </colFields>
  <colItems count="3">
    <i>
      <x/>
    </i>
    <i i="1">
      <x v="1"/>
    </i>
    <i i="2">
      <x v="2"/>
    </i>
  </colItems>
  <dataFields count="3">
    <dataField name="Sum of revenue" fld="24" baseField="0" baseItem="0" numFmtId="166"/>
    <dataField name="Count of order_id" fld="0" subtotal="count" baseField="0" baseItem="0"/>
    <dataField name="Sum of quantity" fld="4" baseField="0" baseItem="0"/>
  </dataFields>
  <formats count="6">
    <format dxfId="11">
      <pivotArea type="all" dataOnly="0" outline="0" fieldPosition="0"/>
    </format>
    <format dxfId="4">
      <pivotArea outline="0" collapsedLevelsAreSubtotals="1" fieldPosition="0"/>
    </format>
    <format dxfId="3">
      <pivotArea field="20" type="button" dataOnly="0" labelOnly="1" outline="0" axis="axisRow" fieldPosition="0"/>
    </format>
    <format dxfId="2">
      <pivotArea dataOnly="0" labelOnly="1" fieldPosition="0">
        <references count="1">
          <reference field="20" count="10">
            <x v="4"/>
            <x v="16"/>
            <x v="41"/>
            <x v="84"/>
            <x v="86"/>
            <x v="90"/>
            <x v="124"/>
            <x v="252"/>
            <x v="313"/>
            <x v="321"/>
          </reference>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2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8EC07992-F805-491F-9270-4DF536095125}" autoFormatId="16" applyNumberFormats="0" applyBorderFormats="0" applyFontFormats="0" applyPatternFormats="0" applyAlignmentFormats="0" applyWidthHeightFormats="0">
  <queryTableRefresh nextId="6">
    <queryTableFields count="5">
      <queryTableField id="1" name="Column" tableColumnId="1"/>
      <queryTableField id="2" name="Total Rows" tableColumnId="2"/>
      <queryTableField id="3" name="Missing" tableColumnId="3"/>
      <queryTableField id="4" name="Missing %" tableColumnId="4"/>
      <queryTableField id="5" name="Statu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BFE00FF-0727-4B00-8EE7-C028CB8B540A}" autoFormatId="16" applyNumberFormats="0" applyBorderFormats="0" applyFontFormats="0" applyPatternFormats="0" applyAlignmentFormats="0" applyWidthHeightFormats="0">
  <queryTableRefresh nextId="25">
    <queryTableFields count="24">
      <queryTableField id="1" name="order_id" tableColumnId="1"/>
      <queryTableField id="2" name="order_date" tableColumnId="2"/>
      <queryTableField id="3" name="customer_id" tableColumnId="3"/>
      <queryTableField id="4" name="product_id" tableColumnId="4"/>
      <queryTableField id="5" name="quantity" tableColumnId="5"/>
      <queryTableField id="6" name="unit_price" tableColumnId="6"/>
      <queryTableField id="7" name="gross_sales" tableColumnId="7"/>
      <queryTableField id="8" name="promo_code" tableColumnId="8"/>
      <queryTableField id="9" name="discount" tableColumnId="9"/>
      <queryTableField id="10" name="shipping_cost" tableColumnId="10"/>
      <queryTableField id="11" name="total_amount" tableColumnId="11"/>
      <queryTableField id="12" name="payment_method" tableColumnId="12"/>
      <queryTableField id="13" name="courier" tableColumnId="13"/>
      <queryTableField id="14" name="order_status" tableColumnId="14"/>
      <queryTableField id="15" name="month" tableColumnId="15"/>
      <queryTableField id="16" name="is_delivered" tableColumnId="16"/>
      <queryTableField id="17" name="net_sales" tableColumnId="17"/>
      <queryTableField id="18" name="product_name" tableColumnId="18"/>
      <queryTableField id="19" name="category" tableColumnId="19"/>
      <queryTableField id="20" name="brand" tableColumnId="20"/>
      <queryTableField id="21" name="customer_name" tableColumnId="21"/>
      <queryTableField id="22" name="gender" tableColumnId="22"/>
      <queryTableField id="23" name="city" tableColumnId="23"/>
      <queryTableField id="24" name="customer_segment"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5395F15-DDCB-404C-AF42-F9EBE94CE886}" name="raw__2" displayName="raw__2" ref="B4:F28" tableType="queryTable" totalsRowShown="0">
  <autoFilter ref="B4:F28" xr:uid="{A5395F15-DDCB-404C-AF42-F9EBE94CE886}"/>
  <tableColumns count="5">
    <tableColumn id="1" xr3:uid="{33A92CAB-FB83-405F-874E-CC7BC90D98EB}" uniqueName="1" name="Column" queryTableFieldId="1"/>
    <tableColumn id="2" xr3:uid="{B6F6DE2C-C96E-4612-84D4-C9BFCE687A75}" uniqueName="2" name="Total Rows" queryTableFieldId="2"/>
    <tableColumn id="3" xr3:uid="{685B7A8C-74D9-4648-87F5-37EFDF3940D8}" uniqueName="3" name="Missing" queryTableFieldId="3"/>
    <tableColumn id="4" xr3:uid="{1CEFF6D9-B322-4662-8089-171B5C139668}" uniqueName="4" name="Missing %" queryTableFieldId="4"/>
    <tableColumn id="5" xr3:uid="{BC318D73-4220-433F-B32A-08A76FC922D2}" uniqueName="5" name="Status" queryTableFieldId="5" dataDxfId="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8A8667-8FAC-4CE2-9F8D-4B8B74AC4C9F}" name="Table6" displayName="Table6" ref="H26:M29" totalsRowShown="0">
  <autoFilter ref="H26:M29" xr:uid="{9A8A8667-8FAC-4CE2-9F8D-4B8B74AC4C9F}"/>
  <tableColumns count="6">
    <tableColumn id="1" xr3:uid="{F5496022-E50A-4486-BAC2-FC5BA91C5726}" name="Check Item"/>
    <tableColumn id="2" xr3:uid="{3F138AB7-B480-440A-BC10-9F9E7168DBFF}" name="Table"/>
    <tableColumn id="3" xr3:uid="{E563EADA-3E80-4A80-A83F-1966D3565886}" name="Key"/>
    <tableColumn id="4" xr3:uid="{99B6026B-6A4D-45B4-9F23-622D928D5790}" name="Total Row"/>
    <tableColumn id="5" xr3:uid="{43EA6081-C3E3-44A0-9C80-745FD0EBD1A7}" name="Unique Value"/>
    <tableColumn id="6" xr3:uid="{C82BF544-41EF-403D-8C2A-E67D33F9C641}" name="Status">
      <calculatedColumnFormula>IF(K27=L27,"Unique","Duplicate")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68B83AD-7736-4C00-85BF-F49143ACFB6F}" name="clean" displayName="clean" ref="A1:Y1201" totalsRowShown="0">
  <autoFilter ref="A1:Y1201" xr:uid="{E68B83AD-7736-4C00-85BF-F49143ACFB6F}"/>
  <tableColumns count="25">
    <tableColumn id="1" xr3:uid="{C92208BA-BC84-4D9A-BD9E-A4801F33EAAE}" name="order_id"/>
    <tableColumn id="2" xr3:uid="{12446A39-5C70-4E73-A232-B77FBB683435}" name="order_date" dataDxfId="63"/>
    <tableColumn id="3" xr3:uid="{28FE6483-55D2-45FA-8CB5-B87D495231A0}" name="customer_id"/>
    <tableColumn id="4" xr3:uid="{AAC478FD-B806-409F-A99D-024156D47513}" name="product_id"/>
    <tableColumn id="5" xr3:uid="{D963BFF5-E5DF-49A2-B8C4-A2F914D343D8}" name="quantity"/>
    <tableColumn id="6" xr3:uid="{ED28693A-A12F-467E-B15B-02D768970228}" name="unit_price" dataDxfId="62"/>
    <tableColumn id="7" xr3:uid="{3AB562DF-778D-4DC8-84D5-60888CC58F60}" name="gross_sales" dataDxfId="61"/>
    <tableColumn id="8" xr3:uid="{9B9963CC-123A-44B0-9141-A77EF11938CD}" name="promo_code"/>
    <tableColumn id="9" xr3:uid="{A9E03A47-7F90-4B0B-8DE5-C26552E26825}" name="discount" dataDxfId="60"/>
    <tableColumn id="10" xr3:uid="{7DBCA8E0-8F47-4323-8722-4E515BBE0002}" name="shipping_cost" dataDxfId="59"/>
    <tableColumn id="11" xr3:uid="{1D53E44F-4B4A-4832-9C3F-582302E7166A}" name="total_amount" dataDxfId="58"/>
    <tableColumn id="12" xr3:uid="{65322006-8D0C-4A7D-BF57-9B8013FE101E}" name="payment_method"/>
    <tableColumn id="13" xr3:uid="{09158710-4FEA-4521-B523-D2652A92377A}" name="courier"/>
    <tableColumn id="14" xr3:uid="{492EE200-E11A-4460-B8F6-FA5F8299B858}" name="order_status"/>
    <tableColumn id="15" xr3:uid="{0513C374-7721-4D49-8743-3F2B7C856113}" name="month" dataDxfId="57"/>
    <tableColumn id="16" xr3:uid="{3646833A-916D-4A24-A517-340042E577BC}" name="is_delivered"/>
    <tableColumn id="17" xr3:uid="{10CB7BFA-8664-43AD-8CEA-0CB44DBA8752}" name="net_sales" dataDxfId="56"/>
    <tableColumn id="18" xr3:uid="{43CCA2A1-DEFA-4B77-B1B1-4FFDE8F82ACB}" name="product_name"/>
    <tableColumn id="19" xr3:uid="{5C76CC55-EE02-455F-9618-5FE6D15C3213}" name="category"/>
    <tableColumn id="20" xr3:uid="{64DC86F3-F630-435B-BED7-6217A2E18E7D}" name="brand"/>
    <tableColumn id="21" xr3:uid="{6ED476A2-F582-4303-8885-7FBC20447272}" name="customer_name"/>
    <tableColumn id="22" xr3:uid="{76F6EA5D-E12C-486A-BA7F-D580CAFB85AC}" name="gender"/>
    <tableColumn id="23" xr3:uid="{37D78214-20D6-4A7E-854F-C088BE58D007}" name="city"/>
    <tableColumn id="24" xr3:uid="{29FFF1D6-4DCA-40C5-A29F-91FCA68163AC}" name="customer_segment"/>
    <tableColumn id="25" xr3:uid="{413225EB-1D56-451B-A96E-13A024FD1683}" name="revenue" dataDxfId="55">
      <calculatedColumnFormula>IF(clean[[#This Row],[is_delivered]]="Yes",clean[[#This Row],[net_sales]],0 )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010DA3-4974-4E7C-B095-659770259AAD}" name="raw" displayName="raw" ref="A1:X1201" tableType="queryTable" totalsRowShown="0">
  <autoFilter ref="A1:X1201" xr:uid="{15010DA3-4974-4E7C-B095-659770259AAD}"/>
  <tableColumns count="24">
    <tableColumn id="1" xr3:uid="{0133C30C-D0E1-4C49-8EB7-F99E18DDB062}" uniqueName="1" name="order_id" queryTableFieldId="1" dataDxfId="54"/>
    <tableColumn id="2" xr3:uid="{1075D542-08F7-4EC5-B6AF-CBE53D6E6D8A}" uniqueName="2" name="order_date" queryTableFieldId="2" dataDxfId="53"/>
    <tableColumn id="3" xr3:uid="{E4482293-F6AC-48C7-B3D8-1380C25DEDE7}" uniqueName="3" name="customer_id" queryTableFieldId="3" dataDxfId="52"/>
    <tableColumn id="4" xr3:uid="{309EA998-C59C-493D-908A-EF8621ABC782}" uniqueName="4" name="product_id" queryTableFieldId="4" dataDxfId="51"/>
    <tableColumn id="5" xr3:uid="{41F7A126-B17B-48CF-B0F7-8F47C3BF2572}" uniqueName="5" name="quantity" queryTableFieldId="5"/>
    <tableColumn id="6" xr3:uid="{526471F2-3F2D-4EA6-B420-A803B975215C}" uniqueName="6" name="unit_price" queryTableFieldId="6"/>
    <tableColumn id="7" xr3:uid="{4D1818D3-47A0-47F0-9A3C-8C7C98D5EA46}" uniqueName="7" name="gross_sales" queryTableFieldId="7"/>
    <tableColumn id="8" xr3:uid="{6E789E84-9AD2-49F8-815E-33AE7000C3ED}" uniqueName="8" name="promo_code" queryTableFieldId="8" dataDxfId="50"/>
    <tableColumn id="9" xr3:uid="{E8C80BBF-891E-4B76-AC2E-FC85E27E79D3}" uniqueName="9" name="discount" queryTableFieldId="9"/>
    <tableColumn id="10" xr3:uid="{36AF6067-13AB-46D4-8151-AB0538C48F81}" uniqueName="10" name="shipping_cost" queryTableFieldId="10"/>
    <tableColumn id="11" xr3:uid="{A4DB7B27-8299-4029-9556-6166446B0D91}" uniqueName="11" name="total_amount" queryTableFieldId="11"/>
    <tableColumn id="12" xr3:uid="{C1CA1F44-6BAB-480E-B464-0077592654BC}" uniqueName="12" name="payment_method" queryTableFieldId="12" dataDxfId="49"/>
    <tableColumn id="13" xr3:uid="{875B7A03-A01B-41CA-86BB-784DA284923F}" uniqueName="13" name="courier" queryTableFieldId="13" dataDxfId="48"/>
    <tableColumn id="14" xr3:uid="{2B9B9A94-F74E-4498-80E2-E5C89DE2909D}" uniqueName="14" name="order_status" queryTableFieldId="14" dataDxfId="47"/>
    <tableColumn id="15" xr3:uid="{4E1C8EC2-2A3C-48E9-9901-8B5F8627E096}" uniqueName="15" name="month" queryTableFieldId="15" dataDxfId="46"/>
    <tableColumn id="16" xr3:uid="{219FCBAA-D261-4BCF-987A-2FFF650B3F24}" uniqueName="16" name="is_delivered" queryTableFieldId="16" dataDxfId="45"/>
    <tableColumn id="17" xr3:uid="{227FEED6-BE59-43A0-A6A7-9AB3485571D9}" uniqueName="17" name="net_sales" queryTableFieldId="17"/>
    <tableColumn id="18" xr3:uid="{05BC35AD-1D65-4A3C-A8EE-5E2E3140BA0C}" uniqueName="18" name="product_name" queryTableFieldId="18" dataDxfId="44"/>
    <tableColumn id="19" xr3:uid="{222F61F2-5F87-435D-9274-C51C540395A4}" uniqueName="19" name="category" queryTableFieldId="19" dataDxfId="43"/>
    <tableColumn id="20" xr3:uid="{A3336D18-0A71-4134-B81A-ECBF6267598C}" uniqueName="20" name="brand" queryTableFieldId="20" dataDxfId="42"/>
    <tableColumn id="21" xr3:uid="{DFA961DA-D1C6-457F-9202-E0363D6BD663}" uniqueName="21" name="customer_name" queryTableFieldId="21" dataDxfId="41"/>
    <tableColumn id="22" xr3:uid="{5A36F9ED-5EF5-4471-8821-B86E7F115216}" uniqueName="22" name="gender" queryTableFieldId="22" dataDxfId="40"/>
    <tableColumn id="23" xr3:uid="{82313462-9297-4672-9569-AD5B4A032671}" uniqueName="23" name="city" queryTableFieldId="23" dataDxfId="39"/>
    <tableColumn id="24" xr3:uid="{7F215D03-4402-47EE-85FB-20DB035BD39C}" uniqueName="24" name="customer_segment" queryTableFieldId="24"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FE703D-A3FC-4127-952D-106B121DEFA7}" name="orders" displayName="orders" ref="A1:Q1201" totalsRowShown="0" headerRowDxfId="29" headerRowBorderDxfId="28" tableBorderDxfId="27">
  <autoFilter ref="A1:Q1201" xr:uid="{24FE703D-A3FC-4127-952D-106B121DEFA7}"/>
  <tableColumns count="17">
    <tableColumn id="1" xr3:uid="{39278A1F-5116-48E3-8272-B3966CE91ED2}" name="order_id"/>
    <tableColumn id="2" xr3:uid="{FF3D7321-2EA5-4633-B2F3-B0ACA799EFA7}" name="order_date" dataDxfId="26"/>
    <tableColumn id="3" xr3:uid="{AA731604-FB8C-41F4-91EB-8B1D46A85255}" name="customer_id"/>
    <tableColumn id="4" xr3:uid="{A5142C8E-2A6E-43AF-90FA-F3F0BA20747D}" name="product_id"/>
    <tableColumn id="5" xr3:uid="{3C7188F5-18B2-4BD8-B2A8-A950DB3C0B2D}" name="quantity"/>
    <tableColumn id="6" xr3:uid="{8A3DB269-097E-45B8-AE26-3690681B0543}" name="unit_price" dataDxfId="25"/>
    <tableColumn id="7" xr3:uid="{F49F401A-720A-4DDF-A0FE-2F1909D93A09}" name="gross_sales" dataDxfId="24"/>
    <tableColumn id="8" xr3:uid="{E5189FEA-5C98-4226-A6AF-BF9F9D1E0210}" name="promo_code"/>
    <tableColumn id="9" xr3:uid="{51C89018-E204-4A48-B69D-A8608C9B704F}" name="discount" dataDxfId="23"/>
    <tableColumn id="10" xr3:uid="{1E24A4E9-EE11-4011-A2DA-19EAB1000C6E}" name="shipping_cost" dataDxfId="22"/>
    <tableColumn id="11" xr3:uid="{AE02F740-5A8E-4822-94C8-7D890308A88B}" name="total_amount" dataDxfId="21"/>
    <tableColumn id="12" xr3:uid="{0CB9DD04-EDEC-4DBA-A3E1-823F8687FDB7}" name="payment_method"/>
    <tableColumn id="13" xr3:uid="{9CC40C95-DA7C-4949-8EC1-3F84A0C55B58}" name="courier"/>
    <tableColumn id="14" xr3:uid="{4278FF9D-FD1F-4BCE-8C52-F0ED70FBE360}" name="order_status"/>
    <tableColumn id="15" xr3:uid="{A9A425CB-9324-43AF-9597-1043501AA43E}" name="month"/>
    <tableColumn id="16" xr3:uid="{14149D63-E928-4C4C-AC31-370C1816F790}" name="is_delivered"/>
    <tableColumn id="17" xr3:uid="{4D28C16C-1168-4235-AA16-D61A48193BB5}" name="net_sales" dataDxfId="2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89BDE-07D5-48CB-9D58-CF3A45D15C11}" name="customers" displayName="customers" ref="A1:E351" totalsRowShown="0" headerRowDxfId="19" headerRowBorderDxfId="18" tableBorderDxfId="17">
  <autoFilter ref="A1:E351" xr:uid="{60789BDE-07D5-48CB-9D58-CF3A45D15C11}"/>
  <tableColumns count="5">
    <tableColumn id="1" xr3:uid="{7ECBEE0C-49BF-453E-BA49-168677E8F628}" name="customer_id"/>
    <tableColumn id="2" xr3:uid="{2721EA88-A9CA-4FD9-BD3E-0D684CA2A5F8}" name="customer_name" dataDxfId="16"/>
    <tableColumn id="3" xr3:uid="{501A9BAF-164A-4AC9-AEA8-E81FAD7B5405}" name="gender"/>
    <tableColumn id="4" xr3:uid="{3108368E-D595-4ABC-B534-FEBBC79C5B41}" name="city"/>
    <tableColumn id="5" xr3:uid="{8CC911E1-B728-42AA-A7A7-0B1B46E5E80A}" name="customer_segmen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C39DF3-3BD0-4F7C-973A-54DFC1CBB82A}" name="products" displayName="products" ref="A1:E61" totalsRowShown="0" headerRowDxfId="15" headerRowBorderDxfId="14" tableBorderDxfId="13">
  <autoFilter ref="A1:E61" xr:uid="{46C39DF3-3BD0-4F7C-973A-54DFC1CBB82A}"/>
  <tableColumns count="5">
    <tableColumn id="1" xr3:uid="{FD33F381-0BDD-401B-94C2-8FC0864BD9D8}" name="product_id"/>
    <tableColumn id="2" xr3:uid="{A513FB7B-426C-4025-A647-FBC1A6010981}" name="product_name" dataDxfId="12"/>
    <tableColumn id="3" xr3:uid="{6E8C5F63-460D-4C46-B480-D36D34E35D4F}" name="category"/>
    <tableColumn id="4" xr3:uid="{82A037DB-83E7-4769-B3D5-14BC3316D3E8}" name="brand"/>
    <tableColumn id="5" xr3:uid="{A09CC2AB-2DCA-4597-B93F-06EE9E60F21D}" name="unit_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1.bin"/><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387BD-938E-4242-A788-53042B284006}">
  <dimension ref="B2:Y29"/>
  <sheetViews>
    <sheetView tabSelected="1" topLeftCell="E1" workbookViewId="0">
      <selection activeCell="H28" sqref="H28"/>
    </sheetView>
  </sheetViews>
  <sheetFormatPr defaultRowHeight="14.4"/>
  <cols>
    <col min="1" max="2" width="16.6640625" bestFit="1" customWidth="1"/>
    <col min="3" max="3" width="12.33203125" bestFit="1" customWidth="1"/>
    <col min="4" max="4" width="9.5546875" bestFit="1" customWidth="1"/>
    <col min="5" max="5" width="12" bestFit="1" customWidth="1"/>
    <col min="6" max="6" width="8.44140625" bestFit="1" customWidth="1"/>
    <col min="7" max="7" width="11.6640625" bestFit="1" customWidth="1"/>
    <col min="8" max="8" width="12.5546875" bestFit="1" customWidth="1"/>
    <col min="9" max="9" width="14" bestFit="1" customWidth="1"/>
    <col min="10" max="10" width="10.44140625" bestFit="1" customWidth="1"/>
    <col min="11" max="12" width="14.77734375" bestFit="1" customWidth="1"/>
    <col min="13" max="13" width="18.5546875" bestFit="1" customWidth="1"/>
    <col min="14" max="14" width="9.109375" bestFit="1" customWidth="1"/>
    <col min="15" max="15" width="13.77734375" bestFit="1" customWidth="1"/>
    <col min="16" max="16" width="12.5546875" bestFit="1" customWidth="1"/>
    <col min="17" max="17" width="13.21875" bestFit="1" customWidth="1"/>
    <col min="18" max="18" width="11" bestFit="1" customWidth="1"/>
    <col min="19" max="19" width="11.33203125" customWidth="1"/>
    <col min="20" max="20" width="10.5546875" bestFit="1" customWidth="1"/>
    <col min="21" max="21" width="13.6640625" bestFit="1" customWidth="1"/>
    <col min="22" max="22" width="16.21875" customWidth="1"/>
    <col min="23" max="23" width="13.5546875" bestFit="1" customWidth="1"/>
    <col min="24" max="24" width="10.109375" bestFit="1" customWidth="1"/>
    <col min="25" max="25" width="8.109375" customWidth="1"/>
  </cols>
  <sheetData>
    <row r="2" spans="2:25">
      <c r="B2" s="66" t="s">
        <v>2104</v>
      </c>
      <c r="C2" s="66"/>
      <c r="D2" s="66"/>
      <c r="E2" s="66"/>
      <c r="F2" s="66"/>
      <c r="T2" s="67" t="s">
        <v>2105</v>
      </c>
      <c r="U2" s="68"/>
      <c r="V2" s="68"/>
      <c r="W2" s="69"/>
    </row>
    <row r="3" spans="2:25">
      <c r="T3" s="10"/>
      <c r="W3" s="11"/>
    </row>
    <row r="4" spans="2:25" ht="15" thickBot="1">
      <c r="B4" t="s">
        <v>2097</v>
      </c>
      <c r="C4" t="s">
        <v>2098</v>
      </c>
      <c r="D4" t="s">
        <v>2099</v>
      </c>
      <c r="E4" t="s">
        <v>2100</v>
      </c>
      <c r="F4" t="s">
        <v>2101</v>
      </c>
      <c r="H4" s="12" t="s">
        <v>857</v>
      </c>
      <c r="I4" s="13" t="s">
        <v>858</v>
      </c>
      <c r="J4" s="13" t="s">
        <v>0</v>
      </c>
      <c r="K4" s="13" t="s">
        <v>720</v>
      </c>
      <c r="L4" s="13" t="s">
        <v>865</v>
      </c>
      <c r="M4" s="13" t="s">
        <v>866</v>
      </c>
      <c r="N4" s="14" t="s">
        <v>867</v>
      </c>
      <c r="O4" s="15"/>
      <c r="P4" s="16" t="s">
        <v>866</v>
      </c>
      <c r="Q4" s="15"/>
      <c r="R4" s="17"/>
      <c r="T4" s="18" t="s">
        <v>858</v>
      </c>
      <c r="U4" s="19">
        <v>45745</v>
      </c>
      <c r="W4" s="20">
        <v>45745</v>
      </c>
    </row>
    <row r="5" spans="2:25" ht="15" thickTop="1">
      <c r="B5" t="s">
        <v>861</v>
      </c>
      <c r="C5">
        <v>1200</v>
      </c>
      <c r="D5">
        <v>8</v>
      </c>
      <c r="E5">
        <v>6.6666666666666697E-3</v>
      </c>
      <c r="F5" t="s">
        <v>2102</v>
      </c>
      <c r="H5" s="21" t="s">
        <v>1056</v>
      </c>
      <c r="I5" s="22">
        <v>45758</v>
      </c>
      <c r="J5" s="23" t="s">
        <v>390</v>
      </c>
      <c r="K5" s="23" t="s">
        <v>737</v>
      </c>
      <c r="L5" s="23" t="s">
        <v>873</v>
      </c>
      <c r="M5" s="23"/>
      <c r="N5" s="24" t="s">
        <v>875</v>
      </c>
      <c r="P5" s="25" t="s">
        <v>2106</v>
      </c>
      <c r="R5" s="11"/>
      <c r="T5" s="26" t="s">
        <v>724</v>
      </c>
      <c r="U5">
        <v>200000</v>
      </c>
      <c r="W5" s="27">
        <v>200000</v>
      </c>
    </row>
    <row r="6" spans="2:25">
      <c r="B6" t="s">
        <v>866</v>
      </c>
      <c r="C6">
        <v>1200</v>
      </c>
      <c r="D6">
        <v>8</v>
      </c>
      <c r="E6">
        <v>6.6666666666666697E-3</v>
      </c>
      <c r="F6" t="s">
        <v>2102</v>
      </c>
      <c r="H6" s="28" t="s">
        <v>1054</v>
      </c>
      <c r="I6" s="29">
        <v>45812</v>
      </c>
      <c r="J6" s="30" t="s">
        <v>150</v>
      </c>
      <c r="K6" s="30" t="s">
        <v>817</v>
      </c>
      <c r="L6" s="30" t="s">
        <v>884</v>
      </c>
      <c r="M6" s="30"/>
      <c r="N6" s="31" t="s">
        <v>875</v>
      </c>
      <c r="P6" s="25" t="s">
        <v>2106</v>
      </c>
      <c r="R6" s="11"/>
      <c r="T6" s="32" t="s">
        <v>860</v>
      </c>
      <c r="U6">
        <v>400000</v>
      </c>
      <c r="W6" s="27">
        <v>400000</v>
      </c>
    </row>
    <row r="7" spans="2:25">
      <c r="B7" t="s">
        <v>857</v>
      </c>
      <c r="C7">
        <v>1200</v>
      </c>
      <c r="D7">
        <v>0</v>
      </c>
      <c r="E7">
        <v>0</v>
      </c>
      <c r="F7" t="s">
        <v>2103</v>
      </c>
      <c r="H7" s="21" t="s">
        <v>1026</v>
      </c>
      <c r="I7" s="22">
        <v>45688</v>
      </c>
      <c r="J7" s="23" t="s">
        <v>686</v>
      </c>
      <c r="K7" s="23" t="s">
        <v>775</v>
      </c>
      <c r="L7" s="23" t="s">
        <v>880</v>
      </c>
      <c r="M7" s="23"/>
      <c r="N7" s="24" t="s">
        <v>875</v>
      </c>
      <c r="P7" s="25" t="s">
        <v>2106</v>
      </c>
      <c r="R7" s="11"/>
      <c r="T7" s="32" t="s">
        <v>862</v>
      </c>
      <c r="U7">
        <v>0</v>
      </c>
      <c r="W7" s="33">
        <v>0</v>
      </c>
    </row>
    <row r="8" spans="2:25">
      <c r="B8" t="s">
        <v>2</v>
      </c>
      <c r="C8">
        <v>1200</v>
      </c>
      <c r="D8">
        <v>0</v>
      </c>
      <c r="E8">
        <v>0</v>
      </c>
      <c r="F8" t="s">
        <v>2103</v>
      </c>
      <c r="H8" s="28" t="s">
        <v>1316</v>
      </c>
      <c r="I8" s="29">
        <v>45759</v>
      </c>
      <c r="J8" s="30" t="s">
        <v>402</v>
      </c>
      <c r="K8" s="30" t="s">
        <v>837</v>
      </c>
      <c r="L8" s="30" t="s">
        <v>884</v>
      </c>
      <c r="M8" s="30"/>
      <c r="N8" s="31" t="s">
        <v>875</v>
      </c>
      <c r="P8" s="25" t="s">
        <v>2106</v>
      </c>
      <c r="R8" s="11"/>
      <c r="T8" s="32" t="s">
        <v>863</v>
      </c>
      <c r="U8">
        <v>10000</v>
      </c>
      <c r="W8" s="27">
        <v>10000</v>
      </c>
    </row>
    <row r="9" spans="2:25">
      <c r="B9" t="s">
        <v>1</v>
      </c>
      <c r="C9">
        <v>1200</v>
      </c>
      <c r="D9">
        <v>0</v>
      </c>
      <c r="E9">
        <v>0</v>
      </c>
      <c r="F9" t="s">
        <v>2103</v>
      </c>
      <c r="H9" s="21" t="s">
        <v>1458</v>
      </c>
      <c r="I9" s="22">
        <v>45833</v>
      </c>
      <c r="J9" s="23" t="s">
        <v>113</v>
      </c>
      <c r="K9" s="23" t="s">
        <v>799</v>
      </c>
      <c r="L9" s="23" t="s">
        <v>889</v>
      </c>
      <c r="M9" s="23"/>
      <c r="N9" s="24" t="s">
        <v>890</v>
      </c>
      <c r="P9" s="25" t="s">
        <v>2106</v>
      </c>
      <c r="R9" s="11"/>
      <c r="T9" s="18" t="s">
        <v>864</v>
      </c>
      <c r="U9">
        <v>410000</v>
      </c>
      <c r="W9" s="27">
        <v>410000</v>
      </c>
    </row>
    <row r="10" spans="2:25">
      <c r="B10" t="s">
        <v>723</v>
      </c>
      <c r="C10">
        <v>1200</v>
      </c>
      <c r="D10">
        <v>0</v>
      </c>
      <c r="E10">
        <v>0</v>
      </c>
      <c r="F10" t="s">
        <v>2103</v>
      </c>
      <c r="H10" s="28" t="s">
        <v>1473</v>
      </c>
      <c r="I10" s="29">
        <v>45709</v>
      </c>
      <c r="J10" s="30" t="s">
        <v>588</v>
      </c>
      <c r="K10" s="30" t="s">
        <v>777</v>
      </c>
      <c r="L10" s="30" t="s">
        <v>889</v>
      </c>
      <c r="M10" s="30"/>
      <c r="N10" s="31" t="s">
        <v>875</v>
      </c>
      <c r="P10" s="25" t="s">
        <v>2106</v>
      </c>
      <c r="R10" s="11"/>
      <c r="T10" s="26" t="s">
        <v>868</v>
      </c>
      <c r="U10">
        <v>45717</v>
      </c>
      <c r="W10" s="27">
        <v>45717</v>
      </c>
    </row>
    <row r="11" spans="2:25">
      <c r="B11" t="s">
        <v>722</v>
      </c>
      <c r="C11">
        <v>1200</v>
      </c>
      <c r="D11">
        <v>0</v>
      </c>
      <c r="E11">
        <v>0</v>
      </c>
      <c r="F11" t="s">
        <v>2103</v>
      </c>
      <c r="H11" s="21" t="s">
        <v>1560</v>
      </c>
      <c r="I11" s="22">
        <v>45803</v>
      </c>
      <c r="J11" s="23" t="s">
        <v>131</v>
      </c>
      <c r="K11" s="23" t="s">
        <v>773</v>
      </c>
      <c r="L11" s="23" t="s">
        <v>880</v>
      </c>
      <c r="M11" s="23"/>
      <c r="N11" s="24" t="s">
        <v>875</v>
      </c>
      <c r="P11" s="25" t="s">
        <v>2106</v>
      </c>
      <c r="R11" s="11"/>
      <c r="T11" s="34" t="s">
        <v>870</v>
      </c>
      <c r="U11" s="35">
        <v>45717</v>
      </c>
      <c r="V11" s="36"/>
      <c r="W11" s="37">
        <v>45717</v>
      </c>
    </row>
    <row r="12" spans="2:25">
      <c r="B12" t="s">
        <v>721</v>
      </c>
      <c r="C12">
        <v>1200</v>
      </c>
      <c r="D12">
        <v>0</v>
      </c>
      <c r="E12">
        <v>0</v>
      </c>
      <c r="F12" t="s">
        <v>2103</v>
      </c>
      <c r="H12" s="38" t="s">
        <v>1874</v>
      </c>
      <c r="I12" s="39">
        <v>45719</v>
      </c>
      <c r="J12" s="40" t="s">
        <v>592</v>
      </c>
      <c r="K12" s="40" t="s">
        <v>839</v>
      </c>
      <c r="L12" s="40" t="s">
        <v>873</v>
      </c>
      <c r="M12" s="40"/>
      <c r="N12" s="41" t="s">
        <v>875</v>
      </c>
      <c r="P12" s="25" t="s">
        <v>2106</v>
      </c>
      <c r="R12" s="11"/>
    </row>
    <row r="13" spans="2:25">
      <c r="B13" t="s">
        <v>870</v>
      </c>
      <c r="C13">
        <v>1200</v>
      </c>
      <c r="D13">
        <v>0</v>
      </c>
      <c r="E13">
        <v>0</v>
      </c>
      <c r="F13" t="s">
        <v>2103</v>
      </c>
      <c r="H13" s="10"/>
      <c r="R13" s="11"/>
    </row>
    <row r="14" spans="2:25" ht="15" thickBot="1">
      <c r="B14" t="s">
        <v>869</v>
      </c>
      <c r="C14">
        <v>1200</v>
      </c>
      <c r="D14">
        <v>0</v>
      </c>
      <c r="E14">
        <v>0</v>
      </c>
      <c r="F14" t="s">
        <v>2103</v>
      </c>
      <c r="H14" s="42" t="s">
        <v>857</v>
      </c>
      <c r="I14" s="43" t="s">
        <v>858</v>
      </c>
      <c r="J14" s="43" t="s">
        <v>0</v>
      </c>
      <c r="K14" s="43" t="s">
        <v>720</v>
      </c>
      <c r="L14" s="43" t="s">
        <v>859</v>
      </c>
      <c r="M14" s="43" t="s">
        <v>724</v>
      </c>
      <c r="N14" s="43" t="s">
        <v>860</v>
      </c>
      <c r="O14" s="43" t="s">
        <v>861</v>
      </c>
      <c r="P14" s="43" t="s">
        <v>862</v>
      </c>
      <c r="R14" s="44" t="s">
        <v>861</v>
      </c>
      <c r="T14" s="70" t="s">
        <v>2107</v>
      </c>
      <c r="U14" s="71"/>
      <c r="V14" s="71"/>
      <c r="W14" s="71"/>
      <c r="X14" s="71"/>
      <c r="Y14" s="72"/>
    </row>
    <row r="15" spans="2:25" ht="15" thickTop="1">
      <c r="B15" t="s">
        <v>868</v>
      </c>
      <c r="C15">
        <v>1200</v>
      </c>
      <c r="D15">
        <v>0</v>
      </c>
      <c r="E15">
        <v>0</v>
      </c>
      <c r="F15" t="s">
        <v>2103</v>
      </c>
      <c r="H15" s="21" t="s">
        <v>1021</v>
      </c>
      <c r="I15" s="22">
        <v>45706</v>
      </c>
      <c r="J15" s="23" t="s">
        <v>101</v>
      </c>
      <c r="K15" s="23" t="s">
        <v>811</v>
      </c>
      <c r="L15" s="23">
        <v>1</v>
      </c>
      <c r="M15" s="23">
        <v>35000</v>
      </c>
      <c r="N15" s="23">
        <v>35000</v>
      </c>
      <c r="O15" s="23"/>
      <c r="P15" s="23">
        <v>3500</v>
      </c>
      <c r="R15" s="45" t="s">
        <v>886</v>
      </c>
      <c r="T15" s="46"/>
      <c r="Y15" s="47"/>
    </row>
    <row r="16" spans="2:25">
      <c r="B16" t="s">
        <v>867</v>
      </c>
      <c r="C16">
        <v>1200</v>
      </c>
      <c r="D16">
        <v>0</v>
      </c>
      <c r="E16">
        <v>0</v>
      </c>
      <c r="F16" t="s">
        <v>2103</v>
      </c>
      <c r="H16" s="28" t="s">
        <v>1035</v>
      </c>
      <c r="I16" s="29">
        <v>45769</v>
      </c>
      <c r="J16" s="30" t="s">
        <v>522</v>
      </c>
      <c r="K16" s="30" t="s">
        <v>771</v>
      </c>
      <c r="L16" s="30">
        <v>1</v>
      </c>
      <c r="M16" s="30">
        <v>500000</v>
      </c>
      <c r="N16" s="30">
        <v>500000</v>
      </c>
      <c r="O16" s="30"/>
      <c r="P16" s="30">
        <v>0</v>
      </c>
      <c r="R16" s="48" t="s">
        <v>872</v>
      </c>
      <c r="T16" s="49" t="s">
        <v>2108</v>
      </c>
      <c r="U16" s="73" t="s">
        <v>2109</v>
      </c>
      <c r="V16" s="73"/>
      <c r="W16" s="73"/>
      <c r="X16" s="73"/>
      <c r="Y16" s="74"/>
    </row>
    <row r="17" spans="2:18">
      <c r="B17" t="s">
        <v>865</v>
      </c>
      <c r="C17">
        <v>1200</v>
      </c>
      <c r="D17">
        <v>0</v>
      </c>
      <c r="E17">
        <v>0</v>
      </c>
      <c r="F17" t="s">
        <v>2103</v>
      </c>
      <c r="H17" s="21" t="s">
        <v>1096</v>
      </c>
      <c r="I17" s="22">
        <v>45734</v>
      </c>
      <c r="J17" s="23" t="s">
        <v>432</v>
      </c>
      <c r="K17" s="23" t="s">
        <v>771</v>
      </c>
      <c r="L17" s="23">
        <v>1</v>
      </c>
      <c r="M17" s="23">
        <v>500000</v>
      </c>
      <c r="N17" s="23">
        <v>500000</v>
      </c>
      <c r="O17" s="23"/>
      <c r="P17" s="23">
        <v>0</v>
      </c>
      <c r="R17" s="50" t="s">
        <v>872</v>
      </c>
    </row>
    <row r="18" spans="2:18">
      <c r="B18" t="s">
        <v>864</v>
      </c>
      <c r="C18">
        <v>1200</v>
      </c>
      <c r="D18">
        <v>0</v>
      </c>
      <c r="E18">
        <v>0</v>
      </c>
      <c r="F18" t="s">
        <v>2103</v>
      </c>
      <c r="H18" s="28" t="s">
        <v>1414</v>
      </c>
      <c r="I18" s="29">
        <v>45710</v>
      </c>
      <c r="J18" s="30" t="s">
        <v>678</v>
      </c>
      <c r="K18" s="30" t="s">
        <v>853</v>
      </c>
      <c r="L18" s="30">
        <v>4</v>
      </c>
      <c r="M18" s="30">
        <v>75000</v>
      </c>
      <c r="N18" s="30">
        <v>300000</v>
      </c>
      <c r="O18" s="30"/>
      <c r="P18" s="30">
        <v>0</v>
      </c>
      <c r="R18" s="48" t="s">
        <v>872</v>
      </c>
    </row>
    <row r="19" spans="2:18">
      <c r="B19" t="s">
        <v>863</v>
      </c>
      <c r="C19">
        <v>1200</v>
      </c>
      <c r="D19">
        <v>0</v>
      </c>
      <c r="E19">
        <v>0</v>
      </c>
      <c r="F19" t="s">
        <v>2103</v>
      </c>
      <c r="H19" s="21" t="s">
        <v>1552</v>
      </c>
      <c r="I19" s="22">
        <v>45678</v>
      </c>
      <c r="J19" s="23" t="s">
        <v>202</v>
      </c>
      <c r="K19" s="23" t="s">
        <v>767</v>
      </c>
      <c r="L19" s="23">
        <v>3</v>
      </c>
      <c r="M19" s="23">
        <v>150000</v>
      </c>
      <c r="N19" s="23">
        <v>450000</v>
      </c>
      <c r="O19" s="23"/>
      <c r="P19" s="23">
        <v>45000</v>
      </c>
      <c r="R19" s="45" t="s">
        <v>886</v>
      </c>
    </row>
    <row r="20" spans="2:18">
      <c r="B20" t="s">
        <v>862</v>
      </c>
      <c r="C20">
        <v>1200</v>
      </c>
      <c r="D20">
        <v>0</v>
      </c>
      <c r="E20">
        <v>0</v>
      </c>
      <c r="F20" t="s">
        <v>2103</v>
      </c>
      <c r="H20" s="28" t="s">
        <v>1787</v>
      </c>
      <c r="I20" s="29">
        <v>45661</v>
      </c>
      <c r="J20" s="30" t="s">
        <v>170</v>
      </c>
      <c r="K20" s="30" t="s">
        <v>753</v>
      </c>
      <c r="L20" s="30">
        <v>2</v>
      </c>
      <c r="M20" s="30">
        <v>300000</v>
      </c>
      <c r="N20" s="30">
        <v>600000</v>
      </c>
      <c r="O20" s="30"/>
      <c r="P20" s="30">
        <v>0</v>
      </c>
      <c r="R20" s="48" t="s">
        <v>872</v>
      </c>
    </row>
    <row r="21" spans="2:18">
      <c r="B21" t="s">
        <v>860</v>
      </c>
      <c r="C21">
        <v>1200</v>
      </c>
      <c r="D21">
        <v>0</v>
      </c>
      <c r="E21">
        <v>0</v>
      </c>
      <c r="F21" t="s">
        <v>2103</v>
      </c>
      <c r="H21" s="21" t="s">
        <v>1801</v>
      </c>
      <c r="I21" s="22">
        <v>45801</v>
      </c>
      <c r="J21" s="23" t="s">
        <v>30</v>
      </c>
      <c r="K21" s="23" t="s">
        <v>761</v>
      </c>
      <c r="L21" s="23">
        <v>2</v>
      </c>
      <c r="M21" s="23">
        <v>75000</v>
      </c>
      <c r="N21" s="23">
        <v>150000</v>
      </c>
      <c r="O21" s="23"/>
      <c r="P21" s="23">
        <v>15000</v>
      </c>
      <c r="R21" s="45" t="s">
        <v>886</v>
      </c>
    </row>
    <row r="22" spans="2:18">
      <c r="B22" t="s">
        <v>724</v>
      </c>
      <c r="C22">
        <v>1200</v>
      </c>
      <c r="D22">
        <v>0</v>
      </c>
      <c r="E22">
        <v>0</v>
      </c>
      <c r="F22" t="s">
        <v>2103</v>
      </c>
      <c r="H22" s="51" t="s">
        <v>2075</v>
      </c>
      <c r="I22" s="52">
        <v>45777</v>
      </c>
      <c r="J22" s="53" t="s">
        <v>478</v>
      </c>
      <c r="K22" s="53" t="s">
        <v>745</v>
      </c>
      <c r="L22" s="53">
        <v>2</v>
      </c>
      <c r="M22" s="53">
        <v>500000</v>
      </c>
      <c r="N22" s="53">
        <v>1000000</v>
      </c>
      <c r="O22" s="53"/>
      <c r="P22" s="53">
        <v>0</v>
      </c>
      <c r="Q22" s="36"/>
      <c r="R22" s="54" t="s">
        <v>872</v>
      </c>
    </row>
    <row r="23" spans="2:18">
      <c r="B23" t="s">
        <v>859</v>
      </c>
      <c r="C23">
        <v>1200</v>
      </c>
      <c r="D23">
        <v>0</v>
      </c>
      <c r="E23">
        <v>0</v>
      </c>
      <c r="F23" t="s">
        <v>2103</v>
      </c>
    </row>
    <row r="24" spans="2:18">
      <c r="B24" t="s">
        <v>720</v>
      </c>
      <c r="C24">
        <v>1200</v>
      </c>
      <c r="D24">
        <v>0</v>
      </c>
      <c r="E24">
        <v>0</v>
      </c>
      <c r="F24" t="s">
        <v>2103</v>
      </c>
      <c r="H24" s="67" t="s">
        <v>2110</v>
      </c>
      <c r="I24" s="68"/>
      <c r="J24" s="68"/>
      <c r="K24" s="68"/>
      <c r="L24" s="68"/>
      <c r="M24" s="69"/>
    </row>
    <row r="25" spans="2:18">
      <c r="B25" t="s">
        <v>0</v>
      </c>
      <c r="C25">
        <v>1200</v>
      </c>
      <c r="D25">
        <v>0</v>
      </c>
      <c r="E25">
        <v>0</v>
      </c>
      <c r="F25" t="s">
        <v>2103</v>
      </c>
      <c r="H25" s="10"/>
      <c r="M25" s="11"/>
    </row>
    <row r="26" spans="2:18">
      <c r="B26" t="s">
        <v>858</v>
      </c>
      <c r="C26">
        <v>1200</v>
      </c>
      <c r="D26">
        <v>0</v>
      </c>
      <c r="E26">
        <v>0</v>
      </c>
      <c r="F26" t="s">
        <v>2103</v>
      </c>
      <c r="H26" s="10" t="s">
        <v>2111</v>
      </c>
      <c r="I26" t="s">
        <v>2112</v>
      </c>
      <c r="J26" t="s">
        <v>2113</v>
      </c>
      <c r="K26" t="s">
        <v>2114</v>
      </c>
      <c r="L26" t="s">
        <v>2115</v>
      </c>
      <c r="M26" s="11" t="s">
        <v>2101</v>
      </c>
    </row>
    <row r="27" spans="2:18">
      <c r="B27" t="s">
        <v>3</v>
      </c>
      <c r="C27">
        <v>1200</v>
      </c>
      <c r="D27">
        <v>0</v>
      </c>
      <c r="E27">
        <v>0</v>
      </c>
      <c r="F27" t="s">
        <v>2103</v>
      </c>
      <c r="H27" s="10" t="s">
        <v>2116</v>
      </c>
      <c r="I27" t="s">
        <v>2117</v>
      </c>
      <c r="J27" t="s">
        <v>857</v>
      </c>
      <c r="K27">
        <f>COUNTA(orders[order_id])</f>
        <v>1200</v>
      </c>
      <c r="L27">
        <f>COUNTA(_xlfn.UNIQUE(orders[order_id]))</f>
        <v>1200</v>
      </c>
      <c r="M27" s="11" t="str">
        <f>IF(K27=L27,"Unique","Duplicate")</f>
        <v>Unique</v>
      </c>
    </row>
    <row r="28" spans="2:18">
      <c r="B28" t="s">
        <v>4</v>
      </c>
      <c r="C28">
        <v>1200</v>
      </c>
      <c r="D28">
        <v>0</v>
      </c>
      <c r="E28">
        <v>0</v>
      </c>
      <c r="F28" t="s">
        <v>2103</v>
      </c>
      <c r="H28" s="10" t="s">
        <v>2118</v>
      </c>
      <c r="I28" t="s">
        <v>2119</v>
      </c>
      <c r="J28" t="s">
        <v>0</v>
      </c>
      <c r="K28">
        <f>COUNTA(customers[customer_id])</f>
        <v>350</v>
      </c>
      <c r="L28">
        <f>COUNTA(_xlfn.UNIQUE(customers[customer_id]))</f>
        <v>350</v>
      </c>
      <c r="M28" s="11" t="str">
        <f t="shared" ref="M28:M29" si="0">IF(K28=L28,"Unique","Duplicate")</f>
        <v>Unique</v>
      </c>
    </row>
    <row r="29" spans="2:18">
      <c r="H29" s="55" t="s">
        <v>2120</v>
      </c>
      <c r="I29" s="36" t="s">
        <v>2121</v>
      </c>
      <c r="J29" s="36" t="s">
        <v>720</v>
      </c>
      <c r="K29" s="36">
        <f>COUNTA(products[product_id])</f>
        <v>60</v>
      </c>
      <c r="L29" s="36">
        <f>COUNTA(_xlfn.UNIQUE(products[product_id]))</f>
        <v>60</v>
      </c>
      <c r="M29" s="11" t="str">
        <f t="shared" si="0"/>
        <v>Unique</v>
      </c>
    </row>
  </sheetData>
  <mergeCells count="5">
    <mergeCell ref="B2:F2"/>
    <mergeCell ref="T2:W2"/>
    <mergeCell ref="T14:Y14"/>
    <mergeCell ref="U16:Y16"/>
    <mergeCell ref="H24:M24"/>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46B83-ADB8-4611-A84C-4E3592E45F29}">
  <dimension ref="A1:Y1201"/>
  <sheetViews>
    <sheetView topLeftCell="V1" workbookViewId="0">
      <selection activeCell="Y1" sqref="Y1"/>
    </sheetView>
  </sheetViews>
  <sheetFormatPr defaultRowHeight="14.4"/>
  <cols>
    <col min="1" max="1" width="10.33203125" bestFit="1" customWidth="1"/>
    <col min="2" max="2" width="12.5546875" bestFit="1" customWidth="1"/>
    <col min="3" max="3" width="13.6640625" bestFit="1" customWidth="1"/>
    <col min="4" max="4" width="12.44140625" bestFit="1" customWidth="1"/>
    <col min="5" max="5" width="10.33203125" bestFit="1" customWidth="1"/>
    <col min="6" max="6" width="13.5546875" bestFit="1" customWidth="1"/>
    <col min="7" max="7" width="15" bestFit="1" customWidth="1"/>
    <col min="8" max="8" width="14" bestFit="1" customWidth="1"/>
    <col min="9" max="9" width="13.5546875" bestFit="1" customWidth="1"/>
    <col min="10" max="11" width="16.21875" bestFit="1" customWidth="1"/>
    <col min="12" max="12" width="18.5546875" bestFit="1" customWidth="1"/>
    <col min="13" max="13" width="10.44140625" bestFit="1" customWidth="1"/>
    <col min="14" max="14" width="13.77734375" bestFit="1" customWidth="1"/>
    <col min="16" max="16" width="13.21875" bestFit="1" customWidth="1"/>
    <col min="17" max="17" width="15" bestFit="1" customWidth="1"/>
    <col min="18" max="18" width="37.44140625" bestFit="1" customWidth="1"/>
    <col min="19" max="19" width="10.5546875" bestFit="1" customWidth="1"/>
    <col min="20" max="20" width="8.21875" bestFit="1" customWidth="1"/>
    <col min="21" max="21" width="30.44140625" bestFit="1" customWidth="1"/>
    <col min="22" max="22" width="9.109375" bestFit="1" customWidth="1"/>
    <col min="23" max="23" width="10.109375" bestFit="1" customWidth="1"/>
    <col min="24" max="24" width="19.5546875" bestFit="1" customWidth="1"/>
    <col min="25" max="25" width="15" bestFit="1" customWidth="1"/>
  </cols>
  <sheetData>
    <row r="1" spans="1:25">
      <c r="A1" t="s">
        <v>857</v>
      </c>
      <c r="B1" s="9" t="s">
        <v>858</v>
      </c>
      <c r="C1" t="s">
        <v>0</v>
      </c>
      <c r="D1" t="s">
        <v>720</v>
      </c>
      <c r="E1" t="s">
        <v>859</v>
      </c>
      <c r="F1" s="56" t="s">
        <v>724</v>
      </c>
      <c r="G1" s="56" t="s">
        <v>860</v>
      </c>
      <c r="H1" t="s">
        <v>861</v>
      </c>
      <c r="I1" s="56" t="s">
        <v>862</v>
      </c>
      <c r="J1" s="56" t="s">
        <v>863</v>
      </c>
      <c r="K1" s="56" t="s">
        <v>864</v>
      </c>
      <c r="L1" t="s">
        <v>865</v>
      </c>
      <c r="M1" t="s">
        <v>866</v>
      </c>
      <c r="N1" t="s">
        <v>867</v>
      </c>
      <c r="O1" s="57" t="s">
        <v>868</v>
      </c>
      <c r="P1" t="s">
        <v>869</v>
      </c>
      <c r="Q1" s="56" t="s">
        <v>870</v>
      </c>
      <c r="R1" t="s">
        <v>721</v>
      </c>
      <c r="S1" t="s">
        <v>722</v>
      </c>
      <c r="T1" t="s">
        <v>723</v>
      </c>
      <c r="U1" t="s">
        <v>1</v>
      </c>
      <c r="V1" t="s">
        <v>2</v>
      </c>
      <c r="W1" t="s">
        <v>3</v>
      </c>
      <c r="X1" t="s">
        <v>4</v>
      </c>
      <c r="Y1" s="58" t="s">
        <v>2108</v>
      </c>
    </row>
    <row r="2" spans="1:25">
      <c r="A2" t="s">
        <v>958</v>
      </c>
      <c r="B2" s="9">
        <v>45838</v>
      </c>
      <c r="C2" t="s">
        <v>65</v>
      </c>
      <c r="D2" t="s">
        <v>855</v>
      </c>
      <c r="E2">
        <v>1</v>
      </c>
      <c r="F2" s="56">
        <v>150000</v>
      </c>
      <c r="G2" s="56">
        <v>150000</v>
      </c>
      <c r="H2" t="s">
        <v>872</v>
      </c>
      <c r="I2" s="56">
        <v>0</v>
      </c>
      <c r="J2" s="56">
        <v>10000</v>
      </c>
      <c r="K2" s="56">
        <v>160000</v>
      </c>
      <c r="L2" t="s">
        <v>873</v>
      </c>
      <c r="M2" t="s">
        <v>901</v>
      </c>
      <c r="N2" t="s">
        <v>875</v>
      </c>
      <c r="O2" s="57">
        <v>45809</v>
      </c>
      <c r="P2" t="s">
        <v>877</v>
      </c>
      <c r="Q2" s="56">
        <v>150000</v>
      </c>
      <c r="R2" t="s">
        <v>856</v>
      </c>
      <c r="S2" t="s">
        <v>747</v>
      </c>
      <c r="T2" t="s">
        <v>748</v>
      </c>
      <c r="U2" t="s">
        <v>66</v>
      </c>
      <c r="V2" t="s">
        <v>23</v>
      </c>
      <c r="W2" t="s">
        <v>29</v>
      </c>
      <c r="X2" t="s">
        <v>24</v>
      </c>
      <c r="Y2" s="56">
        <f>IF(clean[[#This Row],[is_delivered]]="Yes",clean[[#This Row],[net_sales]],0 )</f>
        <v>150000</v>
      </c>
    </row>
    <row r="3" spans="1:25">
      <c r="A3" t="s">
        <v>1142</v>
      </c>
      <c r="B3" s="9">
        <v>45838</v>
      </c>
      <c r="C3" t="s">
        <v>456</v>
      </c>
      <c r="D3" t="s">
        <v>771</v>
      </c>
      <c r="E3">
        <v>2</v>
      </c>
      <c r="F3" s="56">
        <v>500000</v>
      </c>
      <c r="G3" s="56">
        <v>1000000</v>
      </c>
      <c r="H3" t="s">
        <v>883</v>
      </c>
      <c r="I3" s="56">
        <v>100000</v>
      </c>
      <c r="J3" s="56">
        <v>20000</v>
      </c>
      <c r="K3" s="56">
        <v>920000</v>
      </c>
      <c r="L3" t="s">
        <v>873</v>
      </c>
      <c r="M3" t="s">
        <v>874</v>
      </c>
      <c r="N3" t="s">
        <v>905</v>
      </c>
      <c r="O3" s="57">
        <v>45809</v>
      </c>
      <c r="P3" t="s">
        <v>892</v>
      </c>
      <c r="Q3" s="56">
        <v>900000</v>
      </c>
      <c r="R3" t="s">
        <v>772</v>
      </c>
      <c r="S3" t="s">
        <v>747</v>
      </c>
      <c r="T3" t="s">
        <v>748</v>
      </c>
      <c r="U3" t="s">
        <v>457</v>
      </c>
      <c r="V3" t="s">
        <v>7</v>
      </c>
      <c r="W3" t="s">
        <v>46</v>
      </c>
      <c r="X3" t="s">
        <v>9</v>
      </c>
      <c r="Y3" s="56">
        <f>IF(clean[[#This Row],[is_delivered]]="Yes",clean[[#This Row],[net_sales]],0 )</f>
        <v>0</v>
      </c>
    </row>
    <row r="4" spans="1:25">
      <c r="A4" t="s">
        <v>944</v>
      </c>
      <c r="B4" s="9">
        <v>45838</v>
      </c>
      <c r="C4" t="s">
        <v>358</v>
      </c>
      <c r="D4" t="s">
        <v>807</v>
      </c>
      <c r="E4">
        <v>4</v>
      </c>
      <c r="F4" s="56">
        <v>150000</v>
      </c>
      <c r="G4" s="56">
        <v>600000</v>
      </c>
      <c r="H4" t="s">
        <v>883</v>
      </c>
      <c r="I4" s="56">
        <v>60000</v>
      </c>
      <c r="J4" s="56">
        <v>15000</v>
      </c>
      <c r="K4" s="56">
        <v>555000</v>
      </c>
      <c r="L4" t="s">
        <v>889</v>
      </c>
      <c r="M4" t="s">
        <v>901</v>
      </c>
      <c r="N4" t="s">
        <v>890</v>
      </c>
      <c r="O4" s="57">
        <v>45809</v>
      </c>
      <c r="P4" t="s">
        <v>892</v>
      </c>
      <c r="Q4" s="56">
        <v>540000</v>
      </c>
      <c r="R4" t="s">
        <v>808</v>
      </c>
      <c r="S4" t="s">
        <v>747</v>
      </c>
      <c r="T4" t="s">
        <v>748</v>
      </c>
      <c r="U4" t="s">
        <v>359</v>
      </c>
      <c r="V4" t="s">
        <v>7</v>
      </c>
      <c r="W4" t="s">
        <v>137</v>
      </c>
      <c r="X4" t="s">
        <v>9</v>
      </c>
      <c r="Y4" s="56">
        <f>IF(clean[[#This Row],[is_delivered]]="Yes",clean[[#This Row],[net_sales]],0 )</f>
        <v>0</v>
      </c>
    </row>
    <row r="5" spans="1:25">
      <c r="A5" t="s">
        <v>1324</v>
      </c>
      <c r="B5" s="9">
        <v>45838</v>
      </c>
      <c r="C5" t="s">
        <v>105</v>
      </c>
      <c r="D5" t="s">
        <v>787</v>
      </c>
      <c r="E5">
        <v>4</v>
      </c>
      <c r="F5" s="56">
        <v>200000</v>
      </c>
      <c r="G5" s="56">
        <v>800000</v>
      </c>
      <c r="H5" t="s">
        <v>895</v>
      </c>
      <c r="I5" s="56">
        <v>120000</v>
      </c>
      <c r="J5" s="56">
        <v>25000</v>
      </c>
      <c r="K5" s="56">
        <v>705000</v>
      </c>
      <c r="L5" t="s">
        <v>880</v>
      </c>
      <c r="M5" t="s">
        <v>874</v>
      </c>
      <c r="N5" t="s">
        <v>875</v>
      </c>
      <c r="O5" s="57">
        <v>45809</v>
      </c>
      <c r="P5" t="s">
        <v>877</v>
      </c>
      <c r="Q5" s="56">
        <v>680000</v>
      </c>
      <c r="R5" t="s">
        <v>788</v>
      </c>
      <c r="S5" t="s">
        <v>731</v>
      </c>
      <c r="T5" t="s">
        <v>732</v>
      </c>
      <c r="U5" t="s">
        <v>106</v>
      </c>
      <c r="V5" t="s">
        <v>23</v>
      </c>
      <c r="W5" t="s">
        <v>8</v>
      </c>
      <c r="X5" t="s">
        <v>15</v>
      </c>
      <c r="Y5" s="56">
        <f>IF(clean[[#This Row],[is_delivered]]="Yes",clean[[#This Row],[net_sales]],0 )</f>
        <v>680000</v>
      </c>
    </row>
    <row r="6" spans="1:25">
      <c r="A6" t="s">
        <v>1330</v>
      </c>
      <c r="B6" s="9">
        <v>45838</v>
      </c>
      <c r="C6" t="s">
        <v>640</v>
      </c>
      <c r="D6" t="s">
        <v>809</v>
      </c>
      <c r="E6">
        <v>1</v>
      </c>
      <c r="F6" s="56">
        <v>100000</v>
      </c>
      <c r="G6" s="56">
        <v>100000</v>
      </c>
      <c r="H6" t="s">
        <v>883</v>
      </c>
      <c r="I6" s="56">
        <v>10000</v>
      </c>
      <c r="J6" s="56">
        <v>15000</v>
      </c>
      <c r="K6" s="56">
        <v>105000</v>
      </c>
      <c r="L6" t="s">
        <v>889</v>
      </c>
      <c r="M6" t="s">
        <v>901</v>
      </c>
      <c r="N6" t="s">
        <v>921</v>
      </c>
      <c r="O6" s="57">
        <v>45809</v>
      </c>
      <c r="P6" t="s">
        <v>892</v>
      </c>
      <c r="Q6" s="56">
        <v>90000</v>
      </c>
      <c r="R6" t="s">
        <v>810</v>
      </c>
      <c r="S6" t="s">
        <v>727</v>
      </c>
      <c r="T6" t="s">
        <v>728</v>
      </c>
      <c r="U6" t="s">
        <v>641</v>
      </c>
      <c r="V6" t="s">
        <v>23</v>
      </c>
      <c r="W6" t="s">
        <v>137</v>
      </c>
      <c r="X6" t="s">
        <v>15</v>
      </c>
      <c r="Y6" s="56">
        <f>IF(clean[[#This Row],[is_delivered]]="Yes",clean[[#This Row],[net_sales]],0 )</f>
        <v>0</v>
      </c>
    </row>
    <row r="7" spans="1:25">
      <c r="A7" t="s">
        <v>1646</v>
      </c>
      <c r="B7" s="9">
        <v>45838</v>
      </c>
      <c r="C7" t="s">
        <v>664</v>
      </c>
      <c r="D7" t="s">
        <v>843</v>
      </c>
      <c r="E7">
        <v>1</v>
      </c>
      <c r="F7" s="56">
        <v>100000</v>
      </c>
      <c r="G7" s="56">
        <v>100000</v>
      </c>
      <c r="H7" t="s">
        <v>883</v>
      </c>
      <c r="I7" s="56">
        <v>10000</v>
      </c>
      <c r="J7" s="56">
        <v>30000</v>
      </c>
      <c r="K7" s="56">
        <v>120000</v>
      </c>
      <c r="L7" t="s">
        <v>873</v>
      </c>
      <c r="M7" t="s">
        <v>901</v>
      </c>
      <c r="N7" t="s">
        <v>911</v>
      </c>
      <c r="O7" s="57">
        <v>45809</v>
      </c>
      <c r="P7" t="s">
        <v>892</v>
      </c>
      <c r="Q7" s="56">
        <v>90000</v>
      </c>
      <c r="R7" t="s">
        <v>844</v>
      </c>
      <c r="S7" t="s">
        <v>747</v>
      </c>
      <c r="T7" t="s">
        <v>748</v>
      </c>
      <c r="U7" t="s">
        <v>665</v>
      </c>
      <c r="V7" t="s">
        <v>23</v>
      </c>
      <c r="W7" t="s">
        <v>8</v>
      </c>
      <c r="X7" t="s">
        <v>9</v>
      </c>
      <c r="Y7" s="56">
        <f>IF(clean[[#This Row],[is_delivered]]="Yes",clean[[#This Row],[net_sales]],0 )</f>
        <v>0</v>
      </c>
    </row>
    <row r="8" spans="1:25">
      <c r="A8" t="s">
        <v>1695</v>
      </c>
      <c r="B8" s="9">
        <v>45838</v>
      </c>
      <c r="C8" t="s">
        <v>638</v>
      </c>
      <c r="D8" t="s">
        <v>775</v>
      </c>
      <c r="E8">
        <v>1</v>
      </c>
      <c r="F8" s="56">
        <v>75000</v>
      </c>
      <c r="G8" s="56">
        <v>75000</v>
      </c>
      <c r="H8" t="s">
        <v>895</v>
      </c>
      <c r="I8" s="56">
        <v>11250</v>
      </c>
      <c r="J8" s="56">
        <v>15000</v>
      </c>
      <c r="K8" s="56">
        <v>78750</v>
      </c>
      <c r="L8" t="s">
        <v>884</v>
      </c>
      <c r="M8" t="s">
        <v>881</v>
      </c>
      <c r="N8" t="s">
        <v>911</v>
      </c>
      <c r="O8" s="57">
        <v>45809</v>
      </c>
      <c r="P8" t="s">
        <v>892</v>
      </c>
      <c r="Q8" s="56">
        <v>63750</v>
      </c>
      <c r="R8" t="s">
        <v>776</v>
      </c>
      <c r="S8" t="s">
        <v>731</v>
      </c>
      <c r="T8" t="s">
        <v>732</v>
      </c>
      <c r="U8" t="s">
        <v>639</v>
      </c>
      <c r="V8" t="s">
        <v>7</v>
      </c>
      <c r="W8" t="s">
        <v>56</v>
      </c>
      <c r="X8" t="s">
        <v>15</v>
      </c>
      <c r="Y8" s="56">
        <f>IF(clean[[#This Row],[is_delivered]]="Yes",clean[[#This Row],[net_sales]],0 )</f>
        <v>0</v>
      </c>
    </row>
    <row r="9" spans="1:25">
      <c r="A9" t="s">
        <v>1847</v>
      </c>
      <c r="B9" s="9">
        <v>45838</v>
      </c>
      <c r="C9" t="s">
        <v>652</v>
      </c>
      <c r="D9" t="s">
        <v>827</v>
      </c>
      <c r="E9">
        <v>2</v>
      </c>
      <c r="F9" s="56">
        <v>100000</v>
      </c>
      <c r="G9" s="56">
        <v>200000</v>
      </c>
      <c r="H9" t="s">
        <v>872</v>
      </c>
      <c r="I9" s="56">
        <v>0</v>
      </c>
      <c r="J9" s="56">
        <v>10000</v>
      </c>
      <c r="K9" s="56">
        <v>210000</v>
      </c>
      <c r="L9" t="s">
        <v>889</v>
      </c>
      <c r="M9" t="s">
        <v>881</v>
      </c>
      <c r="N9" t="s">
        <v>875</v>
      </c>
      <c r="O9" s="57">
        <v>45809</v>
      </c>
      <c r="P9" t="s">
        <v>877</v>
      </c>
      <c r="Q9" s="56">
        <v>200000</v>
      </c>
      <c r="R9" t="s">
        <v>828</v>
      </c>
      <c r="S9" t="s">
        <v>739</v>
      </c>
      <c r="T9" t="s">
        <v>740</v>
      </c>
      <c r="U9" t="s">
        <v>653</v>
      </c>
      <c r="V9" t="s">
        <v>23</v>
      </c>
      <c r="W9" t="s">
        <v>137</v>
      </c>
      <c r="X9" t="s">
        <v>24</v>
      </c>
      <c r="Y9" s="56">
        <f>IF(clean[[#This Row],[is_delivered]]="Yes",clean[[#This Row],[net_sales]],0 )</f>
        <v>200000</v>
      </c>
    </row>
    <row r="10" spans="1:25">
      <c r="A10" t="s">
        <v>1856</v>
      </c>
      <c r="B10" s="9">
        <v>45838</v>
      </c>
      <c r="C10" t="s">
        <v>232</v>
      </c>
      <c r="D10" t="s">
        <v>767</v>
      </c>
      <c r="E10">
        <v>1</v>
      </c>
      <c r="F10" s="56">
        <v>150000</v>
      </c>
      <c r="G10" s="56">
        <v>150000</v>
      </c>
      <c r="H10" t="s">
        <v>872</v>
      </c>
      <c r="I10" s="56">
        <v>0</v>
      </c>
      <c r="J10" s="56">
        <v>15000</v>
      </c>
      <c r="K10" s="56">
        <v>165000</v>
      </c>
      <c r="L10" t="s">
        <v>889</v>
      </c>
      <c r="M10" t="s">
        <v>881</v>
      </c>
      <c r="N10" t="s">
        <v>875</v>
      </c>
      <c r="O10" s="57">
        <v>45809</v>
      </c>
      <c r="P10" t="s">
        <v>877</v>
      </c>
      <c r="Q10" s="56">
        <v>150000</v>
      </c>
      <c r="R10" t="s">
        <v>768</v>
      </c>
      <c r="S10" t="s">
        <v>739</v>
      </c>
      <c r="T10" t="s">
        <v>740</v>
      </c>
      <c r="U10" t="s">
        <v>233</v>
      </c>
      <c r="V10" t="s">
        <v>23</v>
      </c>
      <c r="W10" t="s">
        <v>137</v>
      </c>
      <c r="X10" t="s">
        <v>9</v>
      </c>
      <c r="Y10" s="56">
        <f>IF(clean[[#This Row],[is_delivered]]="Yes",clean[[#This Row],[net_sales]],0 )</f>
        <v>150000</v>
      </c>
    </row>
    <row r="11" spans="1:25">
      <c r="A11" t="s">
        <v>2004</v>
      </c>
      <c r="B11" s="9">
        <v>45838</v>
      </c>
      <c r="C11" t="s">
        <v>358</v>
      </c>
      <c r="D11" t="s">
        <v>845</v>
      </c>
      <c r="E11">
        <v>2</v>
      </c>
      <c r="F11" s="56">
        <v>300000</v>
      </c>
      <c r="G11" s="56">
        <v>600000</v>
      </c>
      <c r="H11" t="s">
        <v>872</v>
      </c>
      <c r="I11" s="56">
        <v>0</v>
      </c>
      <c r="J11" s="56">
        <v>30000</v>
      </c>
      <c r="K11" s="56">
        <v>630000</v>
      </c>
      <c r="L11" t="s">
        <v>884</v>
      </c>
      <c r="M11" t="s">
        <v>901</v>
      </c>
      <c r="N11" t="s">
        <v>905</v>
      </c>
      <c r="O11" s="57">
        <v>45809</v>
      </c>
      <c r="P11" t="s">
        <v>892</v>
      </c>
      <c r="Q11" s="56">
        <v>600000</v>
      </c>
      <c r="R11" t="s">
        <v>846</v>
      </c>
      <c r="S11" t="s">
        <v>727</v>
      </c>
      <c r="T11" t="s">
        <v>728</v>
      </c>
      <c r="U11" t="s">
        <v>359</v>
      </c>
      <c r="V11" t="s">
        <v>7</v>
      </c>
      <c r="W11" t="s">
        <v>137</v>
      </c>
      <c r="X11" t="s">
        <v>9</v>
      </c>
      <c r="Y11" s="56">
        <f>IF(clean[[#This Row],[is_delivered]]="Yes",clean[[#This Row],[net_sales]],0 )</f>
        <v>0</v>
      </c>
    </row>
    <row r="12" spans="1:25">
      <c r="A12" t="s">
        <v>1555</v>
      </c>
      <c r="B12" s="9">
        <v>45837</v>
      </c>
      <c r="C12" t="s">
        <v>362</v>
      </c>
      <c r="D12" t="s">
        <v>825</v>
      </c>
      <c r="E12">
        <v>1</v>
      </c>
      <c r="F12" s="56">
        <v>100000</v>
      </c>
      <c r="G12" s="56">
        <v>100000</v>
      </c>
      <c r="H12" t="s">
        <v>872</v>
      </c>
      <c r="I12" s="56">
        <v>0</v>
      </c>
      <c r="J12" s="56">
        <v>30000</v>
      </c>
      <c r="K12" s="56">
        <v>130000</v>
      </c>
      <c r="L12" t="s">
        <v>880</v>
      </c>
      <c r="M12" t="s">
        <v>881</v>
      </c>
      <c r="N12" t="s">
        <v>875</v>
      </c>
      <c r="O12" s="57">
        <v>45809</v>
      </c>
      <c r="P12" t="s">
        <v>877</v>
      </c>
      <c r="Q12" s="56">
        <v>100000</v>
      </c>
      <c r="R12" t="s">
        <v>826</v>
      </c>
      <c r="S12" t="s">
        <v>735</v>
      </c>
      <c r="T12" t="s">
        <v>736</v>
      </c>
      <c r="U12" t="s">
        <v>363</v>
      </c>
      <c r="V12" t="s">
        <v>23</v>
      </c>
      <c r="W12" t="s">
        <v>29</v>
      </c>
      <c r="X12" t="s">
        <v>9</v>
      </c>
      <c r="Y12" s="56">
        <f>IF(clean[[#This Row],[is_delivered]]="Yes",clean[[#This Row],[net_sales]],0 )</f>
        <v>100000</v>
      </c>
    </row>
    <row r="13" spans="1:25">
      <c r="A13" t="s">
        <v>1722</v>
      </c>
      <c r="B13" s="9">
        <v>45837</v>
      </c>
      <c r="C13" t="s">
        <v>360</v>
      </c>
      <c r="D13" t="s">
        <v>813</v>
      </c>
      <c r="E13">
        <v>1</v>
      </c>
      <c r="F13" s="56">
        <v>35000</v>
      </c>
      <c r="G13" s="56">
        <v>35000</v>
      </c>
      <c r="H13" t="s">
        <v>872</v>
      </c>
      <c r="I13" s="56">
        <v>0</v>
      </c>
      <c r="J13" s="56">
        <v>10000</v>
      </c>
      <c r="K13" s="56">
        <v>45000</v>
      </c>
      <c r="L13" t="s">
        <v>889</v>
      </c>
      <c r="M13" t="s">
        <v>881</v>
      </c>
      <c r="N13" t="s">
        <v>875</v>
      </c>
      <c r="O13" s="57">
        <v>45809</v>
      </c>
      <c r="P13" t="s">
        <v>877</v>
      </c>
      <c r="Q13" s="56">
        <v>35000</v>
      </c>
      <c r="R13" t="s">
        <v>814</v>
      </c>
      <c r="S13" t="s">
        <v>735</v>
      </c>
      <c r="T13" t="s">
        <v>736</v>
      </c>
      <c r="U13" t="s">
        <v>361</v>
      </c>
      <c r="V13" t="s">
        <v>23</v>
      </c>
      <c r="W13" t="s">
        <v>137</v>
      </c>
      <c r="X13" t="s">
        <v>9</v>
      </c>
      <c r="Y13" s="56">
        <f>IF(clean[[#This Row],[is_delivered]]="Yes",clean[[#This Row],[net_sales]],0 )</f>
        <v>35000</v>
      </c>
    </row>
    <row r="14" spans="1:25">
      <c r="A14" t="s">
        <v>1964</v>
      </c>
      <c r="B14" s="9">
        <v>45837</v>
      </c>
      <c r="C14" t="s">
        <v>702</v>
      </c>
      <c r="D14" t="s">
        <v>741</v>
      </c>
      <c r="E14">
        <v>1</v>
      </c>
      <c r="F14" s="56">
        <v>75000</v>
      </c>
      <c r="G14" s="56">
        <v>75000</v>
      </c>
      <c r="H14" t="s">
        <v>872</v>
      </c>
      <c r="I14" s="56">
        <v>0</v>
      </c>
      <c r="J14" s="56">
        <v>15000</v>
      </c>
      <c r="K14" s="56">
        <v>90000</v>
      </c>
      <c r="L14" t="s">
        <v>880</v>
      </c>
      <c r="M14" t="s">
        <v>903</v>
      </c>
      <c r="N14" t="s">
        <v>875</v>
      </c>
      <c r="O14" s="57">
        <v>45809</v>
      </c>
      <c r="P14" t="s">
        <v>877</v>
      </c>
      <c r="Q14" s="56">
        <v>75000</v>
      </c>
      <c r="R14" t="s">
        <v>742</v>
      </c>
      <c r="S14" t="s">
        <v>743</v>
      </c>
      <c r="T14" t="s">
        <v>744</v>
      </c>
      <c r="U14" t="s">
        <v>703</v>
      </c>
      <c r="V14" t="s">
        <v>23</v>
      </c>
      <c r="W14" t="s">
        <v>20</v>
      </c>
      <c r="X14" t="s">
        <v>9</v>
      </c>
      <c r="Y14" s="56">
        <f>IF(clean[[#This Row],[is_delivered]]="Yes",clean[[#This Row],[net_sales]],0 )</f>
        <v>75000</v>
      </c>
    </row>
    <row r="15" spans="1:25">
      <c r="A15" t="s">
        <v>1967</v>
      </c>
      <c r="B15" s="9">
        <v>45837</v>
      </c>
      <c r="C15" t="s">
        <v>216</v>
      </c>
      <c r="D15" t="s">
        <v>755</v>
      </c>
      <c r="E15">
        <v>1</v>
      </c>
      <c r="F15" s="56">
        <v>50000</v>
      </c>
      <c r="G15" s="56">
        <v>50000</v>
      </c>
      <c r="H15" t="s">
        <v>886</v>
      </c>
      <c r="I15" s="56">
        <v>5000</v>
      </c>
      <c r="J15" s="56">
        <v>20000</v>
      </c>
      <c r="K15" s="56">
        <v>65000</v>
      </c>
      <c r="L15" t="s">
        <v>884</v>
      </c>
      <c r="M15" t="s">
        <v>874</v>
      </c>
      <c r="N15" t="s">
        <v>875</v>
      </c>
      <c r="O15" s="57">
        <v>45809</v>
      </c>
      <c r="P15" t="s">
        <v>877</v>
      </c>
      <c r="Q15" s="56">
        <v>45000</v>
      </c>
      <c r="R15" t="s">
        <v>756</v>
      </c>
      <c r="S15" t="s">
        <v>739</v>
      </c>
      <c r="T15" t="s">
        <v>740</v>
      </c>
      <c r="U15" t="s">
        <v>217</v>
      </c>
      <c r="V15" t="s">
        <v>7</v>
      </c>
      <c r="W15" t="s">
        <v>12</v>
      </c>
      <c r="X15" t="s">
        <v>24</v>
      </c>
      <c r="Y15" s="56">
        <f>IF(clean[[#This Row],[is_delivered]]="Yes",clean[[#This Row],[net_sales]],0 )</f>
        <v>45000</v>
      </c>
    </row>
    <row r="16" spans="1:25">
      <c r="A16" t="s">
        <v>1161</v>
      </c>
      <c r="B16" s="9">
        <v>45836</v>
      </c>
      <c r="C16" t="s">
        <v>390</v>
      </c>
      <c r="D16" t="s">
        <v>781</v>
      </c>
      <c r="E16">
        <v>1</v>
      </c>
      <c r="F16" s="56">
        <v>50000</v>
      </c>
      <c r="G16" s="56">
        <v>50000</v>
      </c>
      <c r="H16" t="s">
        <v>895</v>
      </c>
      <c r="I16" s="56">
        <v>7500</v>
      </c>
      <c r="J16" s="56">
        <v>15000</v>
      </c>
      <c r="K16" s="56">
        <v>57500</v>
      </c>
      <c r="L16" t="s">
        <v>880</v>
      </c>
      <c r="M16" t="s">
        <v>901</v>
      </c>
      <c r="N16" t="s">
        <v>875</v>
      </c>
      <c r="O16" s="57">
        <v>45809</v>
      </c>
      <c r="P16" t="s">
        <v>877</v>
      </c>
      <c r="Q16" s="56">
        <v>42500</v>
      </c>
      <c r="R16" t="s">
        <v>782</v>
      </c>
      <c r="S16" t="s">
        <v>743</v>
      </c>
      <c r="T16" t="s">
        <v>744</v>
      </c>
      <c r="U16" t="s">
        <v>391</v>
      </c>
      <c r="V16" t="s">
        <v>23</v>
      </c>
      <c r="W16" t="s">
        <v>56</v>
      </c>
      <c r="X16" t="s">
        <v>15</v>
      </c>
      <c r="Y16" s="56">
        <f>IF(clean[[#This Row],[is_delivered]]="Yes",clean[[#This Row],[net_sales]],0 )</f>
        <v>42500</v>
      </c>
    </row>
    <row r="17" spans="1:25">
      <c r="A17" t="s">
        <v>962</v>
      </c>
      <c r="B17" s="9">
        <v>45836</v>
      </c>
      <c r="C17" t="s">
        <v>194</v>
      </c>
      <c r="D17" t="s">
        <v>817</v>
      </c>
      <c r="E17">
        <v>1</v>
      </c>
      <c r="F17" s="56">
        <v>75000</v>
      </c>
      <c r="G17" s="56">
        <v>75000</v>
      </c>
      <c r="H17" t="s">
        <v>886</v>
      </c>
      <c r="I17" s="56">
        <v>7500</v>
      </c>
      <c r="J17" s="56">
        <v>25000</v>
      </c>
      <c r="K17" s="56">
        <v>92500</v>
      </c>
      <c r="L17" t="s">
        <v>884</v>
      </c>
      <c r="M17" t="s">
        <v>881</v>
      </c>
      <c r="N17" t="s">
        <v>875</v>
      </c>
      <c r="O17" s="57">
        <v>45809</v>
      </c>
      <c r="P17" t="s">
        <v>877</v>
      </c>
      <c r="Q17" s="56">
        <v>67500</v>
      </c>
      <c r="R17" t="s">
        <v>818</v>
      </c>
      <c r="S17" t="s">
        <v>743</v>
      </c>
      <c r="T17" t="s">
        <v>744</v>
      </c>
      <c r="U17" t="s">
        <v>195</v>
      </c>
      <c r="V17" t="s">
        <v>7</v>
      </c>
      <c r="W17" t="s">
        <v>36</v>
      </c>
      <c r="X17" t="s">
        <v>24</v>
      </c>
      <c r="Y17" s="56">
        <f>IF(clean[[#This Row],[is_delivered]]="Yes",clean[[#This Row],[net_sales]],0 )</f>
        <v>67500</v>
      </c>
    </row>
    <row r="18" spans="1:25">
      <c r="A18" t="s">
        <v>1399</v>
      </c>
      <c r="B18" s="9">
        <v>45836</v>
      </c>
      <c r="C18" t="s">
        <v>230</v>
      </c>
      <c r="D18" t="s">
        <v>853</v>
      </c>
      <c r="E18">
        <v>4</v>
      </c>
      <c r="F18" s="56">
        <v>75000</v>
      </c>
      <c r="G18" s="56">
        <v>300000</v>
      </c>
      <c r="H18" t="s">
        <v>872</v>
      </c>
      <c r="I18" s="56">
        <v>0</v>
      </c>
      <c r="J18" s="56">
        <v>10000</v>
      </c>
      <c r="K18" s="56">
        <v>310000</v>
      </c>
      <c r="L18" t="s">
        <v>884</v>
      </c>
      <c r="M18" t="s">
        <v>903</v>
      </c>
      <c r="N18" t="s">
        <v>875</v>
      </c>
      <c r="O18" s="57">
        <v>45809</v>
      </c>
      <c r="P18" t="s">
        <v>877</v>
      </c>
      <c r="Q18" s="56">
        <v>300000</v>
      </c>
      <c r="R18" t="s">
        <v>854</v>
      </c>
      <c r="S18" t="s">
        <v>743</v>
      </c>
      <c r="T18" t="s">
        <v>744</v>
      </c>
      <c r="U18" t="s">
        <v>231</v>
      </c>
      <c r="V18" t="s">
        <v>7</v>
      </c>
      <c r="W18" t="s">
        <v>36</v>
      </c>
      <c r="X18" t="s">
        <v>24</v>
      </c>
      <c r="Y18" s="56">
        <f>IF(clean[[#This Row],[is_delivered]]="Yes",clean[[#This Row],[net_sales]],0 )</f>
        <v>300000</v>
      </c>
    </row>
    <row r="19" spans="1:25">
      <c r="A19" t="s">
        <v>1413</v>
      </c>
      <c r="B19" s="9">
        <v>45836</v>
      </c>
      <c r="C19" t="s">
        <v>256</v>
      </c>
      <c r="D19" t="s">
        <v>833</v>
      </c>
      <c r="E19">
        <v>1</v>
      </c>
      <c r="F19" s="56">
        <v>200000</v>
      </c>
      <c r="G19" s="56">
        <v>200000</v>
      </c>
      <c r="H19" t="s">
        <v>886</v>
      </c>
      <c r="I19" s="56">
        <v>20000</v>
      </c>
      <c r="J19" s="56">
        <v>15000</v>
      </c>
      <c r="K19" s="56">
        <v>195000</v>
      </c>
      <c r="L19" t="s">
        <v>880</v>
      </c>
      <c r="M19" t="s">
        <v>901</v>
      </c>
      <c r="N19" t="s">
        <v>875</v>
      </c>
      <c r="O19" s="57">
        <v>45809</v>
      </c>
      <c r="P19" t="s">
        <v>877</v>
      </c>
      <c r="Q19" s="56">
        <v>180000</v>
      </c>
      <c r="R19" t="s">
        <v>834</v>
      </c>
      <c r="S19" t="s">
        <v>727</v>
      </c>
      <c r="T19" t="s">
        <v>728</v>
      </c>
      <c r="U19" t="s">
        <v>257</v>
      </c>
      <c r="V19" t="s">
        <v>7</v>
      </c>
      <c r="W19" t="s">
        <v>8</v>
      </c>
      <c r="X19" t="s">
        <v>9</v>
      </c>
      <c r="Y19" s="56">
        <f>IF(clean[[#This Row],[is_delivered]]="Yes",clean[[#This Row],[net_sales]],0 )</f>
        <v>180000</v>
      </c>
    </row>
    <row r="20" spans="1:25">
      <c r="A20" t="s">
        <v>1905</v>
      </c>
      <c r="B20" s="9">
        <v>45836</v>
      </c>
      <c r="C20" t="s">
        <v>232</v>
      </c>
      <c r="D20" t="s">
        <v>855</v>
      </c>
      <c r="E20">
        <v>3</v>
      </c>
      <c r="F20" s="56">
        <v>150000</v>
      </c>
      <c r="G20" s="56">
        <v>450000</v>
      </c>
      <c r="H20" t="s">
        <v>872</v>
      </c>
      <c r="I20" s="56">
        <v>0</v>
      </c>
      <c r="J20" s="56">
        <v>30000</v>
      </c>
      <c r="K20" s="56">
        <v>480000</v>
      </c>
      <c r="L20" t="s">
        <v>889</v>
      </c>
      <c r="M20" t="s">
        <v>903</v>
      </c>
      <c r="N20" t="s">
        <v>875</v>
      </c>
      <c r="O20" s="57">
        <v>45809</v>
      </c>
      <c r="P20" t="s">
        <v>877</v>
      </c>
      <c r="Q20" s="56">
        <v>450000</v>
      </c>
      <c r="R20" t="s">
        <v>856</v>
      </c>
      <c r="S20" t="s">
        <v>747</v>
      </c>
      <c r="T20" t="s">
        <v>748</v>
      </c>
      <c r="U20" t="s">
        <v>233</v>
      </c>
      <c r="V20" t="s">
        <v>23</v>
      </c>
      <c r="W20" t="s">
        <v>137</v>
      </c>
      <c r="X20" t="s">
        <v>9</v>
      </c>
      <c r="Y20" s="56">
        <f>IF(clean[[#This Row],[is_delivered]]="Yes",clean[[#This Row],[net_sales]],0 )</f>
        <v>450000</v>
      </c>
    </row>
    <row r="21" spans="1:25">
      <c r="A21" t="s">
        <v>1952</v>
      </c>
      <c r="B21" s="9">
        <v>45836</v>
      </c>
      <c r="C21" t="s">
        <v>670</v>
      </c>
      <c r="D21" t="s">
        <v>751</v>
      </c>
      <c r="E21">
        <v>2</v>
      </c>
      <c r="F21" s="56">
        <v>150000</v>
      </c>
      <c r="G21" s="56">
        <v>300000</v>
      </c>
      <c r="H21" t="s">
        <v>886</v>
      </c>
      <c r="I21" s="56">
        <v>30000</v>
      </c>
      <c r="J21" s="56">
        <v>25000</v>
      </c>
      <c r="K21" s="56">
        <v>295000</v>
      </c>
      <c r="L21" t="s">
        <v>884</v>
      </c>
      <c r="M21" t="s">
        <v>881</v>
      </c>
      <c r="N21" t="s">
        <v>875</v>
      </c>
      <c r="O21" s="57">
        <v>45809</v>
      </c>
      <c r="P21" t="s">
        <v>877</v>
      </c>
      <c r="Q21" s="56">
        <v>270000</v>
      </c>
      <c r="R21" t="s">
        <v>752</v>
      </c>
      <c r="S21" t="s">
        <v>731</v>
      </c>
      <c r="T21" t="s">
        <v>732</v>
      </c>
      <c r="U21" t="s">
        <v>671</v>
      </c>
      <c r="V21" t="s">
        <v>23</v>
      </c>
      <c r="W21" t="s">
        <v>12</v>
      </c>
      <c r="X21" t="s">
        <v>24</v>
      </c>
      <c r="Y21" s="56">
        <f>IF(clean[[#This Row],[is_delivered]]="Yes",clean[[#This Row],[net_sales]],0 )</f>
        <v>270000</v>
      </c>
    </row>
    <row r="22" spans="1:25">
      <c r="A22" t="s">
        <v>2021</v>
      </c>
      <c r="B22" s="9">
        <v>45836</v>
      </c>
      <c r="C22" t="s">
        <v>682</v>
      </c>
      <c r="D22" t="s">
        <v>845</v>
      </c>
      <c r="E22">
        <v>2</v>
      </c>
      <c r="F22" s="56">
        <v>300000</v>
      </c>
      <c r="G22" s="56">
        <v>600000</v>
      </c>
      <c r="H22" t="s">
        <v>872</v>
      </c>
      <c r="I22" s="56">
        <v>0</v>
      </c>
      <c r="J22" s="56">
        <v>10000</v>
      </c>
      <c r="K22" s="56">
        <v>610000</v>
      </c>
      <c r="L22" t="s">
        <v>889</v>
      </c>
      <c r="M22" t="s">
        <v>903</v>
      </c>
      <c r="N22" t="s">
        <v>875</v>
      </c>
      <c r="O22" s="57">
        <v>45809</v>
      </c>
      <c r="P22" t="s">
        <v>877</v>
      </c>
      <c r="Q22" s="56">
        <v>600000</v>
      </c>
      <c r="R22" t="s">
        <v>846</v>
      </c>
      <c r="S22" t="s">
        <v>727</v>
      </c>
      <c r="T22" t="s">
        <v>728</v>
      </c>
      <c r="U22" t="s">
        <v>683</v>
      </c>
      <c r="V22" t="s">
        <v>7</v>
      </c>
      <c r="W22" t="s">
        <v>137</v>
      </c>
      <c r="X22" t="s">
        <v>9</v>
      </c>
      <c r="Y22" s="56">
        <f>IF(clean[[#This Row],[is_delivered]]="Yes",clean[[#This Row],[net_sales]],0 )</f>
        <v>600000</v>
      </c>
    </row>
    <row r="23" spans="1:25">
      <c r="A23" t="s">
        <v>2084</v>
      </c>
      <c r="B23" s="9">
        <v>45836</v>
      </c>
      <c r="C23" t="s">
        <v>190</v>
      </c>
      <c r="D23" t="s">
        <v>741</v>
      </c>
      <c r="E23">
        <v>4</v>
      </c>
      <c r="F23" s="56">
        <v>75000</v>
      </c>
      <c r="G23" s="56">
        <v>300000</v>
      </c>
      <c r="H23" t="s">
        <v>872</v>
      </c>
      <c r="I23" s="56">
        <v>0</v>
      </c>
      <c r="J23" s="56">
        <v>30000</v>
      </c>
      <c r="K23" s="56">
        <v>330000</v>
      </c>
      <c r="L23" t="s">
        <v>884</v>
      </c>
      <c r="M23" t="s">
        <v>901</v>
      </c>
      <c r="N23" t="s">
        <v>921</v>
      </c>
      <c r="O23" s="57">
        <v>45809</v>
      </c>
      <c r="P23" t="s">
        <v>892</v>
      </c>
      <c r="Q23" s="56">
        <v>300000</v>
      </c>
      <c r="R23" t="s">
        <v>742</v>
      </c>
      <c r="S23" t="s">
        <v>743</v>
      </c>
      <c r="T23" t="s">
        <v>744</v>
      </c>
      <c r="U23" t="s">
        <v>191</v>
      </c>
      <c r="V23" t="s">
        <v>7</v>
      </c>
      <c r="W23" t="s">
        <v>56</v>
      </c>
      <c r="X23" t="s">
        <v>24</v>
      </c>
      <c r="Y23" s="56">
        <f>IF(clean[[#This Row],[is_delivered]]="Yes",clean[[#This Row],[net_sales]],0 )</f>
        <v>0</v>
      </c>
    </row>
    <row r="24" spans="1:25">
      <c r="A24" t="s">
        <v>1182</v>
      </c>
      <c r="B24" s="9">
        <v>45835</v>
      </c>
      <c r="C24" t="s">
        <v>470</v>
      </c>
      <c r="D24" t="s">
        <v>765</v>
      </c>
      <c r="E24">
        <v>2</v>
      </c>
      <c r="F24" s="56">
        <v>500000</v>
      </c>
      <c r="G24" s="56">
        <v>1000000</v>
      </c>
      <c r="H24" t="s">
        <v>872</v>
      </c>
      <c r="I24" s="56">
        <v>0</v>
      </c>
      <c r="J24" s="56">
        <v>15000</v>
      </c>
      <c r="K24" s="56">
        <v>1015000</v>
      </c>
      <c r="L24" t="s">
        <v>880</v>
      </c>
      <c r="M24" t="s">
        <v>903</v>
      </c>
      <c r="N24" t="s">
        <v>911</v>
      </c>
      <c r="O24" s="57">
        <v>45809</v>
      </c>
      <c r="P24" t="s">
        <v>892</v>
      </c>
      <c r="Q24" s="56">
        <v>1000000</v>
      </c>
      <c r="R24" t="s">
        <v>766</v>
      </c>
      <c r="S24" t="s">
        <v>735</v>
      </c>
      <c r="T24" t="s">
        <v>736</v>
      </c>
      <c r="U24" t="s">
        <v>471</v>
      </c>
      <c r="V24" t="s">
        <v>7</v>
      </c>
      <c r="W24" t="s">
        <v>36</v>
      </c>
      <c r="X24" t="s">
        <v>24</v>
      </c>
      <c r="Y24" s="56">
        <f>IF(clean[[#This Row],[is_delivered]]="Yes",clean[[#This Row],[net_sales]],0 )</f>
        <v>0</v>
      </c>
    </row>
    <row r="25" spans="1:25">
      <c r="A25" t="s">
        <v>1043</v>
      </c>
      <c r="B25" s="9">
        <v>45835</v>
      </c>
      <c r="C25" t="s">
        <v>115</v>
      </c>
      <c r="D25" t="s">
        <v>807</v>
      </c>
      <c r="E25">
        <v>3</v>
      </c>
      <c r="F25" s="56">
        <v>150000</v>
      </c>
      <c r="G25" s="56">
        <v>450000</v>
      </c>
      <c r="H25" t="s">
        <v>886</v>
      </c>
      <c r="I25" s="56">
        <v>45000</v>
      </c>
      <c r="J25" s="56">
        <v>15000</v>
      </c>
      <c r="K25" s="56">
        <v>420000</v>
      </c>
      <c r="L25" t="s">
        <v>889</v>
      </c>
      <c r="M25" t="s">
        <v>901</v>
      </c>
      <c r="N25" t="s">
        <v>875</v>
      </c>
      <c r="O25" s="57">
        <v>45809</v>
      </c>
      <c r="P25" t="s">
        <v>877</v>
      </c>
      <c r="Q25" s="56">
        <v>405000</v>
      </c>
      <c r="R25" t="s">
        <v>808</v>
      </c>
      <c r="S25" t="s">
        <v>747</v>
      </c>
      <c r="T25" t="s">
        <v>748</v>
      </c>
      <c r="U25" t="s">
        <v>116</v>
      </c>
      <c r="V25" t="s">
        <v>23</v>
      </c>
      <c r="W25" t="s">
        <v>46</v>
      </c>
      <c r="X25" t="s">
        <v>24</v>
      </c>
      <c r="Y25" s="56">
        <f>IF(clean[[#This Row],[is_delivered]]="Yes",clean[[#This Row],[net_sales]],0 )</f>
        <v>405000</v>
      </c>
    </row>
    <row r="26" spans="1:25">
      <c r="A26" t="s">
        <v>986</v>
      </c>
      <c r="B26" s="9">
        <v>45835</v>
      </c>
      <c r="C26" t="s">
        <v>606</v>
      </c>
      <c r="D26" t="s">
        <v>775</v>
      </c>
      <c r="E26">
        <v>4</v>
      </c>
      <c r="F26" s="56">
        <v>75000</v>
      </c>
      <c r="G26" s="56">
        <v>300000</v>
      </c>
      <c r="H26" t="s">
        <v>879</v>
      </c>
      <c r="I26" s="56">
        <v>60000</v>
      </c>
      <c r="J26" s="56">
        <v>25000</v>
      </c>
      <c r="K26" s="56">
        <v>265000</v>
      </c>
      <c r="L26" t="s">
        <v>884</v>
      </c>
      <c r="M26" t="s">
        <v>874</v>
      </c>
      <c r="N26" t="s">
        <v>875</v>
      </c>
      <c r="O26" s="57">
        <v>45809</v>
      </c>
      <c r="P26" t="s">
        <v>877</v>
      </c>
      <c r="Q26" s="56">
        <v>240000</v>
      </c>
      <c r="R26" t="s">
        <v>776</v>
      </c>
      <c r="S26" t="s">
        <v>731</v>
      </c>
      <c r="T26" t="s">
        <v>732</v>
      </c>
      <c r="U26" t="s">
        <v>607</v>
      </c>
      <c r="V26" t="s">
        <v>23</v>
      </c>
      <c r="W26" t="s">
        <v>46</v>
      </c>
      <c r="X26" t="s">
        <v>24</v>
      </c>
      <c r="Y26" s="56">
        <f>IF(clean[[#This Row],[is_delivered]]="Yes",clean[[#This Row],[net_sales]],0 )</f>
        <v>240000</v>
      </c>
    </row>
    <row r="27" spans="1:25">
      <c r="A27" t="s">
        <v>1028</v>
      </c>
      <c r="B27" s="9">
        <v>45835</v>
      </c>
      <c r="C27" t="s">
        <v>524</v>
      </c>
      <c r="D27" t="s">
        <v>797</v>
      </c>
      <c r="E27">
        <v>4</v>
      </c>
      <c r="F27" s="56">
        <v>150000</v>
      </c>
      <c r="G27" s="56">
        <v>600000</v>
      </c>
      <c r="H27" t="s">
        <v>872</v>
      </c>
      <c r="I27" s="56">
        <v>0</v>
      </c>
      <c r="J27" s="56">
        <v>25000</v>
      </c>
      <c r="K27" s="56">
        <v>625000</v>
      </c>
      <c r="L27" t="s">
        <v>889</v>
      </c>
      <c r="M27" t="s">
        <v>881</v>
      </c>
      <c r="N27" t="s">
        <v>921</v>
      </c>
      <c r="O27" s="57">
        <v>45809</v>
      </c>
      <c r="P27" t="s">
        <v>892</v>
      </c>
      <c r="Q27" s="56">
        <v>600000</v>
      </c>
      <c r="R27" t="s">
        <v>798</v>
      </c>
      <c r="S27" t="s">
        <v>727</v>
      </c>
      <c r="T27" t="s">
        <v>728</v>
      </c>
      <c r="U27" t="s">
        <v>525</v>
      </c>
      <c r="V27" t="s">
        <v>23</v>
      </c>
      <c r="W27" t="s">
        <v>39</v>
      </c>
      <c r="X27" t="s">
        <v>9</v>
      </c>
      <c r="Y27" s="56">
        <f>IF(clean[[#This Row],[is_delivered]]="Yes",clean[[#This Row],[net_sales]],0 )</f>
        <v>0</v>
      </c>
    </row>
    <row r="28" spans="1:25">
      <c r="A28" t="s">
        <v>1269</v>
      </c>
      <c r="B28" s="9">
        <v>45835</v>
      </c>
      <c r="C28" t="s">
        <v>710</v>
      </c>
      <c r="D28" t="s">
        <v>781</v>
      </c>
      <c r="E28">
        <v>1</v>
      </c>
      <c r="F28" s="56">
        <v>50000</v>
      </c>
      <c r="G28" s="56">
        <v>50000</v>
      </c>
      <c r="H28" t="s">
        <v>895</v>
      </c>
      <c r="I28" s="56">
        <v>7500</v>
      </c>
      <c r="J28" s="56">
        <v>20000</v>
      </c>
      <c r="K28" s="56">
        <v>62500</v>
      </c>
      <c r="L28" t="s">
        <v>884</v>
      </c>
      <c r="M28" t="s">
        <v>903</v>
      </c>
      <c r="N28" t="s">
        <v>921</v>
      </c>
      <c r="O28" s="57">
        <v>45809</v>
      </c>
      <c r="P28" t="s">
        <v>892</v>
      </c>
      <c r="Q28" s="56">
        <v>42500</v>
      </c>
      <c r="R28" t="s">
        <v>782</v>
      </c>
      <c r="S28" t="s">
        <v>743</v>
      </c>
      <c r="T28" t="s">
        <v>744</v>
      </c>
      <c r="U28" t="s">
        <v>711</v>
      </c>
      <c r="V28" t="s">
        <v>23</v>
      </c>
      <c r="W28" t="s">
        <v>46</v>
      </c>
      <c r="X28" t="s">
        <v>9</v>
      </c>
      <c r="Y28" s="56">
        <f>IF(clean[[#This Row],[is_delivered]]="Yes",clean[[#This Row],[net_sales]],0 )</f>
        <v>0</v>
      </c>
    </row>
    <row r="29" spans="1:25">
      <c r="A29" t="s">
        <v>1580</v>
      </c>
      <c r="B29" s="9">
        <v>45835</v>
      </c>
      <c r="C29" t="s">
        <v>416</v>
      </c>
      <c r="D29" t="s">
        <v>813</v>
      </c>
      <c r="E29">
        <v>1</v>
      </c>
      <c r="F29" s="56">
        <v>35000</v>
      </c>
      <c r="G29" s="56">
        <v>35000</v>
      </c>
      <c r="H29" t="s">
        <v>872</v>
      </c>
      <c r="I29" s="56">
        <v>0</v>
      </c>
      <c r="J29" s="56">
        <v>15000</v>
      </c>
      <c r="K29" s="56">
        <v>50000</v>
      </c>
      <c r="L29" t="s">
        <v>889</v>
      </c>
      <c r="M29" t="s">
        <v>881</v>
      </c>
      <c r="N29" t="s">
        <v>875</v>
      </c>
      <c r="O29" s="57">
        <v>45809</v>
      </c>
      <c r="P29" t="s">
        <v>877</v>
      </c>
      <c r="Q29" s="56">
        <v>35000</v>
      </c>
      <c r="R29" t="s">
        <v>814</v>
      </c>
      <c r="S29" t="s">
        <v>735</v>
      </c>
      <c r="T29" t="s">
        <v>736</v>
      </c>
      <c r="U29" t="s">
        <v>417</v>
      </c>
      <c r="V29" t="s">
        <v>23</v>
      </c>
      <c r="W29" t="s">
        <v>39</v>
      </c>
      <c r="X29" t="s">
        <v>15</v>
      </c>
      <c r="Y29" s="56">
        <f>IF(clean[[#This Row],[is_delivered]]="Yes",clean[[#This Row],[net_sales]],0 )</f>
        <v>35000</v>
      </c>
    </row>
    <row r="30" spans="1:25">
      <c r="A30" t="s">
        <v>1664</v>
      </c>
      <c r="B30" s="9">
        <v>45835</v>
      </c>
      <c r="C30" t="s">
        <v>474</v>
      </c>
      <c r="D30" t="s">
        <v>831</v>
      </c>
      <c r="E30">
        <v>1</v>
      </c>
      <c r="F30" s="56">
        <v>300000</v>
      </c>
      <c r="G30" s="56">
        <v>300000</v>
      </c>
      <c r="H30" t="s">
        <v>895</v>
      </c>
      <c r="I30" s="56">
        <v>45000</v>
      </c>
      <c r="J30" s="56">
        <v>15000</v>
      </c>
      <c r="K30" s="56">
        <v>270000</v>
      </c>
      <c r="L30" t="s">
        <v>884</v>
      </c>
      <c r="M30" t="s">
        <v>881</v>
      </c>
      <c r="N30" t="s">
        <v>875</v>
      </c>
      <c r="O30" s="57">
        <v>45809</v>
      </c>
      <c r="P30" t="s">
        <v>877</v>
      </c>
      <c r="Q30" s="56">
        <v>255000</v>
      </c>
      <c r="R30" t="s">
        <v>832</v>
      </c>
      <c r="S30" t="s">
        <v>747</v>
      </c>
      <c r="T30" t="s">
        <v>748</v>
      </c>
      <c r="U30" t="s">
        <v>475</v>
      </c>
      <c r="V30" t="s">
        <v>7</v>
      </c>
      <c r="W30" t="s">
        <v>46</v>
      </c>
      <c r="X30" t="s">
        <v>9</v>
      </c>
      <c r="Y30" s="56">
        <f>IF(clean[[#This Row],[is_delivered]]="Yes",clean[[#This Row],[net_sales]],0 )</f>
        <v>255000</v>
      </c>
    </row>
    <row r="31" spans="1:25">
      <c r="A31" t="s">
        <v>1890</v>
      </c>
      <c r="B31" s="9">
        <v>45835</v>
      </c>
      <c r="C31" t="s">
        <v>75</v>
      </c>
      <c r="D31" t="s">
        <v>813</v>
      </c>
      <c r="E31">
        <v>1</v>
      </c>
      <c r="F31" s="56">
        <v>35000</v>
      </c>
      <c r="G31" s="56">
        <v>35000</v>
      </c>
      <c r="H31" t="s">
        <v>883</v>
      </c>
      <c r="I31" s="56">
        <v>3500</v>
      </c>
      <c r="J31" s="56">
        <v>30000</v>
      </c>
      <c r="K31" s="56">
        <v>61500</v>
      </c>
      <c r="L31" t="s">
        <v>873</v>
      </c>
      <c r="M31" t="s">
        <v>903</v>
      </c>
      <c r="N31" t="s">
        <v>875</v>
      </c>
      <c r="O31" s="57">
        <v>45809</v>
      </c>
      <c r="P31" t="s">
        <v>877</v>
      </c>
      <c r="Q31" s="56">
        <v>31500</v>
      </c>
      <c r="R31" t="s">
        <v>814</v>
      </c>
      <c r="S31" t="s">
        <v>735</v>
      </c>
      <c r="T31" t="s">
        <v>736</v>
      </c>
      <c r="U31" t="s">
        <v>76</v>
      </c>
      <c r="V31" t="s">
        <v>23</v>
      </c>
      <c r="W31" t="s">
        <v>8</v>
      </c>
      <c r="X31" t="s">
        <v>9</v>
      </c>
      <c r="Y31" s="56">
        <f>IF(clean[[#This Row],[is_delivered]]="Yes",clean[[#This Row],[net_sales]],0 )</f>
        <v>31500</v>
      </c>
    </row>
    <row r="32" spans="1:25">
      <c r="A32" t="s">
        <v>1994</v>
      </c>
      <c r="B32" s="9">
        <v>45835</v>
      </c>
      <c r="C32" t="s">
        <v>396</v>
      </c>
      <c r="D32" t="s">
        <v>737</v>
      </c>
      <c r="E32">
        <v>1</v>
      </c>
      <c r="F32" s="56">
        <v>300000</v>
      </c>
      <c r="G32" s="56">
        <v>300000</v>
      </c>
      <c r="H32" t="s">
        <v>883</v>
      </c>
      <c r="I32" s="56">
        <v>30000</v>
      </c>
      <c r="J32" s="56">
        <v>25000</v>
      </c>
      <c r="K32" s="56">
        <v>295000</v>
      </c>
      <c r="L32" t="s">
        <v>873</v>
      </c>
      <c r="M32" t="s">
        <v>903</v>
      </c>
      <c r="N32" t="s">
        <v>875</v>
      </c>
      <c r="O32" s="57">
        <v>45809</v>
      </c>
      <c r="P32" t="s">
        <v>877</v>
      </c>
      <c r="Q32" s="56">
        <v>270000</v>
      </c>
      <c r="R32" t="s">
        <v>738</v>
      </c>
      <c r="S32" t="s">
        <v>739</v>
      </c>
      <c r="T32" t="s">
        <v>740</v>
      </c>
      <c r="U32" t="s">
        <v>397</v>
      </c>
      <c r="V32" t="s">
        <v>7</v>
      </c>
      <c r="W32" t="s">
        <v>36</v>
      </c>
      <c r="X32" t="s">
        <v>9</v>
      </c>
      <c r="Y32" s="56">
        <f>IF(clean[[#This Row],[is_delivered]]="Yes",clean[[#This Row],[net_sales]],0 )</f>
        <v>270000</v>
      </c>
    </row>
    <row r="33" spans="1:25">
      <c r="A33" t="s">
        <v>2086</v>
      </c>
      <c r="B33" s="9">
        <v>45835</v>
      </c>
      <c r="C33" t="s">
        <v>704</v>
      </c>
      <c r="D33" t="s">
        <v>843</v>
      </c>
      <c r="E33">
        <v>2</v>
      </c>
      <c r="F33" s="56">
        <v>100000</v>
      </c>
      <c r="G33" s="56">
        <v>200000</v>
      </c>
      <c r="H33" t="s">
        <v>872</v>
      </c>
      <c r="I33" s="56">
        <v>0</v>
      </c>
      <c r="J33" s="56">
        <v>10000</v>
      </c>
      <c r="K33" s="56">
        <v>210000</v>
      </c>
      <c r="L33" t="s">
        <v>873</v>
      </c>
      <c r="M33" t="s">
        <v>881</v>
      </c>
      <c r="N33" t="s">
        <v>875</v>
      </c>
      <c r="O33" s="57">
        <v>45809</v>
      </c>
      <c r="P33" t="s">
        <v>877</v>
      </c>
      <c r="Q33" s="56">
        <v>200000</v>
      </c>
      <c r="R33" t="s">
        <v>844</v>
      </c>
      <c r="S33" t="s">
        <v>747</v>
      </c>
      <c r="T33" t="s">
        <v>748</v>
      </c>
      <c r="U33" t="s">
        <v>705</v>
      </c>
      <c r="V33" t="s">
        <v>7</v>
      </c>
      <c r="W33" t="s">
        <v>12</v>
      </c>
      <c r="X33" t="s">
        <v>24</v>
      </c>
      <c r="Y33" s="56">
        <f>IF(clean[[#This Row],[is_delivered]]="Yes",clean[[#This Row],[net_sales]],0 )</f>
        <v>200000</v>
      </c>
    </row>
    <row r="34" spans="1:25">
      <c r="A34" t="s">
        <v>931</v>
      </c>
      <c r="B34" s="9">
        <v>45834</v>
      </c>
      <c r="C34" t="s">
        <v>13</v>
      </c>
      <c r="D34" t="s">
        <v>825</v>
      </c>
      <c r="E34">
        <v>3</v>
      </c>
      <c r="F34" s="56">
        <v>100000</v>
      </c>
      <c r="G34" s="56">
        <v>300000</v>
      </c>
      <c r="H34" t="s">
        <v>872</v>
      </c>
      <c r="I34" s="56">
        <v>0</v>
      </c>
      <c r="J34" s="56">
        <v>10000</v>
      </c>
      <c r="K34" s="56">
        <v>310000</v>
      </c>
      <c r="L34" t="s">
        <v>880</v>
      </c>
      <c r="M34" t="s">
        <v>903</v>
      </c>
      <c r="N34" t="s">
        <v>875</v>
      </c>
      <c r="O34" s="57">
        <v>45809</v>
      </c>
      <c r="P34" t="s">
        <v>877</v>
      </c>
      <c r="Q34" s="56">
        <v>300000</v>
      </c>
      <c r="R34" t="s">
        <v>826</v>
      </c>
      <c r="S34" t="s">
        <v>735</v>
      </c>
      <c r="T34" t="s">
        <v>736</v>
      </c>
      <c r="U34" t="s">
        <v>14</v>
      </c>
      <c r="V34" t="s">
        <v>7</v>
      </c>
      <c r="W34" t="s">
        <v>8</v>
      </c>
      <c r="X34" t="s">
        <v>15</v>
      </c>
      <c r="Y34" s="56">
        <f>IF(clean[[#This Row],[is_delivered]]="Yes",clean[[#This Row],[net_sales]],0 )</f>
        <v>300000</v>
      </c>
    </row>
    <row r="35" spans="1:25">
      <c r="A35" t="s">
        <v>1215</v>
      </c>
      <c r="B35" s="9">
        <v>45834</v>
      </c>
      <c r="C35" t="s">
        <v>354</v>
      </c>
      <c r="D35" t="s">
        <v>773</v>
      </c>
      <c r="E35">
        <v>2</v>
      </c>
      <c r="F35" s="56">
        <v>500000</v>
      </c>
      <c r="G35" s="56">
        <v>1000000</v>
      </c>
      <c r="H35" t="s">
        <v>872</v>
      </c>
      <c r="I35" s="56">
        <v>0</v>
      </c>
      <c r="J35" s="56">
        <v>20000</v>
      </c>
      <c r="K35" s="56">
        <v>1020000</v>
      </c>
      <c r="L35" t="s">
        <v>873</v>
      </c>
      <c r="M35" t="s">
        <v>903</v>
      </c>
      <c r="N35" t="s">
        <v>875</v>
      </c>
      <c r="O35" s="57">
        <v>45809</v>
      </c>
      <c r="P35" t="s">
        <v>877</v>
      </c>
      <c r="Q35" s="56">
        <v>1000000</v>
      </c>
      <c r="R35" t="s">
        <v>774</v>
      </c>
      <c r="S35" t="s">
        <v>727</v>
      </c>
      <c r="T35" t="s">
        <v>728</v>
      </c>
      <c r="U35" t="s">
        <v>355</v>
      </c>
      <c r="V35" t="s">
        <v>23</v>
      </c>
      <c r="W35" t="s">
        <v>46</v>
      </c>
      <c r="X35" t="s">
        <v>24</v>
      </c>
      <c r="Y35" s="56">
        <f>IF(clean[[#This Row],[is_delivered]]="Yes",clean[[#This Row],[net_sales]],0 )</f>
        <v>1000000</v>
      </c>
    </row>
    <row r="36" spans="1:25">
      <c r="A36" t="s">
        <v>1246</v>
      </c>
      <c r="B36" s="9">
        <v>45834</v>
      </c>
      <c r="C36" t="s">
        <v>646</v>
      </c>
      <c r="D36" t="s">
        <v>813</v>
      </c>
      <c r="E36">
        <v>1</v>
      </c>
      <c r="F36" s="56">
        <v>35000</v>
      </c>
      <c r="G36" s="56">
        <v>35000</v>
      </c>
      <c r="H36" t="s">
        <v>886</v>
      </c>
      <c r="I36" s="56">
        <v>3500</v>
      </c>
      <c r="J36" s="56">
        <v>20000</v>
      </c>
      <c r="K36" s="56">
        <v>51500</v>
      </c>
      <c r="L36" t="s">
        <v>880</v>
      </c>
      <c r="M36" t="s">
        <v>903</v>
      </c>
      <c r="N36" t="s">
        <v>875</v>
      </c>
      <c r="O36" s="57">
        <v>45809</v>
      </c>
      <c r="P36" t="s">
        <v>877</v>
      </c>
      <c r="Q36" s="56">
        <v>31500</v>
      </c>
      <c r="R36" t="s">
        <v>814</v>
      </c>
      <c r="S36" t="s">
        <v>735</v>
      </c>
      <c r="T36" t="s">
        <v>736</v>
      </c>
      <c r="U36" t="s">
        <v>647</v>
      </c>
      <c r="V36" t="s">
        <v>23</v>
      </c>
      <c r="W36" t="s">
        <v>56</v>
      </c>
      <c r="X36" t="s">
        <v>15</v>
      </c>
      <c r="Y36" s="56">
        <f>IF(clean[[#This Row],[is_delivered]]="Yes",clean[[#This Row],[net_sales]],0 )</f>
        <v>31500</v>
      </c>
    </row>
    <row r="37" spans="1:25">
      <c r="A37" t="s">
        <v>1551</v>
      </c>
      <c r="B37" s="9">
        <v>45834</v>
      </c>
      <c r="C37" t="s">
        <v>602</v>
      </c>
      <c r="D37" t="s">
        <v>851</v>
      </c>
      <c r="E37">
        <v>2</v>
      </c>
      <c r="F37" s="56">
        <v>35000</v>
      </c>
      <c r="G37" s="56">
        <v>70000</v>
      </c>
      <c r="H37" t="s">
        <v>895</v>
      </c>
      <c r="I37" s="56">
        <v>10500</v>
      </c>
      <c r="J37" s="56">
        <v>20000</v>
      </c>
      <c r="K37" s="56">
        <v>79500</v>
      </c>
      <c r="L37" t="s">
        <v>880</v>
      </c>
      <c r="M37" t="s">
        <v>901</v>
      </c>
      <c r="N37" t="s">
        <v>875</v>
      </c>
      <c r="O37" s="57">
        <v>45809</v>
      </c>
      <c r="P37" t="s">
        <v>877</v>
      </c>
      <c r="Q37" s="56">
        <v>59500</v>
      </c>
      <c r="R37" t="s">
        <v>852</v>
      </c>
      <c r="S37" t="s">
        <v>739</v>
      </c>
      <c r="T37" t="s">
        <v>740</v>
      </c>
      <c r="U37" t="s">
        <v>603</v>
      </c>
      <c r="V37" t="s">
        <v>7</v>
      </c>
      <c r="W37" t="s">
        <v>137</v>
      </c>
      <c r="X37" t="s">
        <v>24</v>
      </c>
      <c r="Y37" s="56">
        <f>IF(clean[[#This Row],[is_delivered]]="Yes",clean[[#This Row],[net_sales]],0 )</f>
        <v>59500</v>
      </c>
    </row>
    <row r="38" spans="1:25">
      <c r="A38" t="s">
        <v>1618</v>
      </c>
      <c r="B38" s="9">
        <v>45834</v>
      </c>
      <c r="C38" t="s">
        <v>218</v>
      </c>
      <c r="D38" t="s">
        <v>771</v>
      </c>
      <c r="E38">
        <v>1</v>
      </c>
      <c r="F38" s="56">
        <v>500000</v>
      </c>
      <c r="G38" s="56">
        <v>500000</v>
      </c>
      <c r="H38" t="s">
        <v>895</v>
      </c>
      <c r="I38" s="56">
        <v>75000</v>
      </c>
      <c r="J38" s="56">
        <v>15000</v>
      </c>
      <c r="K38" s="56">
        <v>440000</v>
      </c>
      <c r="L38" t="s">
        <v>889</v>
      </c>
      <c r="M38" t="s">
        <v>903</v>
      </c>
      <c r="N38" t="s">
        <v>875</v>
      </c>
      <c r="O38" s="57">
        <v>45809</v>
      </c>
      <c r="P38" t="s">
        <v>877</v>
      </c>
      <c r="Q38" s="56">
        <v>425000</v>
      </c>
      <c r="R38" t="s">
        <v>772</v>
      </c>
      <c r="S38" t="s">
        <v>747</v>
      </c>
      <c r="T38" t="s">
        <v>748</v>
      </c>
      <c r="U38" t="s">
        <v>219</v>
      </c>
      <c r="V38" t="s">
        <v>23</v>
      </c>
      <c r="W38" t="s">
        <v>137</v>
      </c>
      <c r="X38" t="s">
        <v>9</v>
      </c>
      <c r="Y38" s="56">
        <f>IF(clean[[#This Row],[is_delivered]]="Yes",clean[[#This Row],[net_sales]],0 )</f>
        <v>425000</v>
      </c>
    </row>
    <row r="39" spans="1:25">
      <c r="A39" t="s">
        <v>1792</v>
      </c>
      <c r="B39" s="9">
        <v>45834</v>
      </c>
      <c r="C39" t="s">
        <v>144</v>
      </c>
      <c r="D39" t="s">
        <v>821</v>
      </c>
      <c r="E39">
        <v>1</v>
      </c>
      <c r="F39" s="56">
        <v>50000</v>
      </c>
      <c r="G39" s="56">
        <v>50000</v>
      </c>
      <c r="H39" t="s">
        <v>879</v>
      </c>
      <c r="I39" s="56">
        <v>10000</v>
      </c>
      <c r="J39" s="56">
        <v>15000</v>
      </c>
      <c r="K39" s="56">
        <v>55000</v>
      </c>
      <c r="L39" t="s">
        <v>884</v>
      </c>
      <c r="M39" t="s">
        <v>881</v>
      </c>
      <c r="N39" t="s">
        <v>875</v>
      </c>
      <c r="O39" s="57">
        <v>45809</v>
      </c>
      <c r="P39" t="s">
        <v>877</v>
      </c>
      <c r="Q39" s="56">
        <v>40000</v>
      </c>
      <c r="R39" t="s">
        <v>822</v>
      </c>
      <c r="S39" t="s">
        <v>727</v>
      </c>
      <c r="T39" t="s">
        <v>728</v>
      </c>
      <c r="U39" t="s">
        <v>145</v>
      </c>
      <c r="V39" t="s">
        <v>23</v>
      </c>
      <c r="W39" t="s">
        <v>51</v>
      </c>
      <c r="X39" t="s">
        <v>9</v>
      </c>
      <c r="Y39" s="56">
        <f>IF(clean[[#This Row],[is_delivered]]="Yes",clean[[#This Row],[net_sales]],0 )</f>
        <v>40000</v>
      </c>
    </row>
    <row r="40" spans="1:25">
      <c r="A40" t="s">
        <v>1840</v>
      </c>
      <c r="B40" s="9">
        <v>45834</v>
      </c>
      <c r="C40" t="s">
        <v>113</v>
      </c>
      <c r="D40" t="s">
        <v>751</v>
      </c>
      <c r="E40">
        <v>1</v>
      </c>
      <c r="F40" s="56">
        <v>150000</v>
      </c>
      <c r="G40" s="56">
        <v>150000</v>
      </c>
      <c r="H40" t="s">
        <v>879</v>
      </c>
      <c r="I40" s="56">
        <v>30000</v>
      </c>
      <c r="J40" s="56">
        <v>10000</v>
      </c>
      <c r="K40" s="56">
        <v>130000</v>
      </c>
      <c r="L40" t="s">
        <v>880</v>
      </c>
      <c r="M40" t="s">
        <v>901</v>
      </c>
      <c r="N40" t="s">
        <v>911</v>
      </c>
      <c r="O40" s="57">
        <v>45809</v>
      </c>
      <c r="P40" t="s">
        <v>892</v>
      </c>
      <c r="Q40" s="56">
        <v>120000</v>
      </c>
      <c r="R40" t="s">
        <v>752</v>
      </c>
      <c r="S40" t="s">
        <v>731</v>
      </c>
      <c r="T40" t="s">
        <v>732</v>
      </c>
      <c r="U40" t="s">
        <v>114</v>
      </c>
      <c r="V40" t="s">
        <v>23</v>
      </c>
      <c r="W40" t="s">
        <v>39</v>
      </c>
      <c r="X40" t="s">
        <v>24</v>
      </c>
      <c r="Y40" s="56">
        <f>IF(clean[[#This Row],[is_delivered]]="Yes",clean[[#This Row],[net_sales]],0 )</f>
        <v>0</v>
      </c>
    </row>
    <row r="41" spans="1:25">
      <c r="A41" t="s">
        <v>1885</v>
      </c>
      <c r="B41" s="9">
        <v>45834</v>
      </c>
      <c r="C41" t="s">
        <v>694</v>
      </c>
      <c r="D41" t="s">
        <v>725</v>
      </c>
      <c r="E41">
        <v>1</v>
      </c>
      <c r="F41" s="56">
        <v>300000</v>
      </c>
      <c r="G41" s="56">
        <v>300000</v>
      </c>
      <c r="H41" t="s">
        <v>879</v>
      </c>
      <c r="I41" s="56">
        <v>60000</v>
      </c>
      <c r="J41" s="56">
        <v>30000</v>
      </c>
      <c r="K41" s="56">
        <v>270000</v>
      </c>
      <c r="L41" t="s">
        <v>884</v>
      </c>
      <c r="M41" t="s">
        <v>903</v>
      </c>
      <c r="N41" t="s">
        <v>905</v>
      </c>
      <c r="O41" s="57">
        <v>45809</v>
      </c>
      <c r="P41" t="s">
        <v>892</v>
      </c>
      <c r="Q41" s="56">
        <v>240000</v>
      </c>
      <c r="R41" t="s">
        <v>726</v>
      </c>
      <c r="S41" t="s">
        <v>727</v>
      </c>
      <c r="T41" t="s">
        <v>728</v>
      </c>
      <c r="U41" t="s">
        <v>695</v>
      </c>
      <c r="V41" t="s">
        <v>23</v>
      </c>
      <c r="W41" t="s">
        <v>8</v>
      </c>
      <c r="X41" t="s">
        <v>9</v>
      </c>
      <c r="Y41" s="56">
        <f>IF(clean[[#This Row],[is_delivered]]="Yes",clean[[#This Row],[net_sales]],0 )</f>
        <v>0</v>
      </c>
    </row>
    <row r="42" spans="1:25">
      <c r="A42" t="s">
        <v>1061</v>
      </c>
      <c r="B42" s="9">
        <v>45833</v>
      </c>
      <c r="C42" t="s">
        <v>364</v>
      </c>
      <c r="D42" t="s">
        <v>807</v>
      </c>
      <c r="E42">
        <v>3</v>
      </c>
      <c r="F42" s="56">
        <v>150000</v>
      </c>
      <c r="G42" s="56">
        <v>450000</v>
      </c>
      <c r="H42" t="s">
        <v>872</v>
      </c>
      <c r="I42" s="56">
        <v>0</v>
      </c>
      <c r="J42" s="56">
        <v>10000</v>
      </c>
      <c r="K42" s="56">
        <v>460000</v>
      </c>
      <c r="L42" t="s">
        <v>884</v>
      </c>
      <c r="M42" t="s">
        <v>903</v>
      </c>
      <c r="N42" t="s">
        <v>875</v>
      </c>
      <c r="O42" s="57">
        <v>45809</v>
      </c>
      <c r="P42" t="s">
        <v>877</v>
      </c>
      <c r="Q42" s="56">
        <v>450000</v>
      </c>
      <c r="R42" t="s">
        <v>808</v>
      </c>
      <c r="S42" t="s">
        <v>747</v>
      </c>
      <c r="T42" t="s">
        <v>748</v>
      </c>
      <c r="U42" t="s">
        <v>365</v>
      </c>
      <c r="V42" t="s">
        <v>23</v>
      </c>
      <c r="W42" t="s">
        <v>46</v>
      </c>
      <c r="X42" t="s">
        <v>24</v>
      </c>
      <c r="Y42" s="56">
        <f>IF(clean[[#This Row],[is_delivered]]="Yes",clean[[#This Row],[net_sales]],0 )</f>
        <v>450000</v>
      </c>
    </row>
    <row r="43" spans="1:25">
      <c r="A43" t="s">
        <v>932</v>
      </c>
      <c r="B43" s="9">
        <v>45833</v>
      </c>
      <c r="C43" t="s">
        <v>404</v>
      </c>
      <c r="D43" t="s">
        <v>841</v>
      </c>
      <c r="E43">
        <v>3</v>
      </c>
      <c r="F43" s="56">
        <v>75000</v>
      </c>
      <c r="G43" s="56">
        <v>225000</v>
      </c>
      <c r="H43" t="s">
        <v>895</v>
      </c>
      <c r="I43" s="56">
        <v>33750</v>
      </c>
      <c r="J43" s="56">
        <v>25000</v>
      </c>
      <c r="K43" s="56">
        <v>216250</v>
      </c>
      <c r="L43" t="s">
        <v>889</v>
      </c>
      <c r="M43" t="s">
        <v>901</v>
      </c>
      <c r="N43" t="s">
        <v>875</v>
      </c>
      <c r="O43" s="57">
        <v>45809</v>
      </c>
      <c r="P43" t="s">
        <v>877</v>
      </c>
      <c r="Q43" s="56">
        <v>191250</v>
      </c>
      <c r="R43" t="s">
        <v>842</v>
      </c>
      <c r="S43" t="s">
        <v>743</v>
      </c>
      <c r="T43" t="s">
        <v>744</v>
      </c>
      <c r="U43" t="s">
        <v>405</v>
      </c>
      <c r="V43" t="s">
        <v>23</v>
      </c>
      <c r="W43" t="s">
        <v>39</v>
      </c>
      <c r="X43" t="s">
        <v>15</v>
      </c>
      <c r="Y43" s="56">
        <f>IF(clean[[#This Row],[is_delivered]]="Yes",clean[[#This Row],[net_sales]],0 )</f>
        <v>191250</v>
      </c>
    </row>
    <row r="44" spans="1:25">
      <c r="A44" t="s">
        <v>1086</v>
      </c>
      <c r="B44" s="9">
        <v>45833</v>
      </c>
      <c r="C44" t="s">
        <v>232</v>
      </c>
      <c r="D44" t="s">
        <v>809</v>
      </c>
      <c r="E44">
        <v>2</v>
      </c>
      <c r="F44" s="56">
        <v>100000</v>
      </c>
      <c r="G44" s="56">
        <v>200000</v>
      </c>
      <c r="H44" t="s">
        <v>883</v>
      </c>
      <c r="I44" s="56">
        <v>20000</v>
      </c>
      <c r="J44" s="56">
        <v>25000</v>
      </c>
      <c r="K44" s="56">
        <v>205000</v>
      </c>
      <c r="L44" t="s">
        <v>880</v>
      </c>
      <c r="M44" t="s">
        <v>881</v>
      </c>
      <c r="N44" t="s">
        <v>890</v>
      </c>
      <c r="O44" s="57">
        <v>45809</v>
      </c>
      <c r="P44" t="s">
        <v>892</v>
      </c>
      <c r="Q44" s="56">
        <v>180000</v>
      </c>
      <c r="R44" t="s">
        <v>810</v>
      </c>
      <c r="S44" t="s">
        <v>727</v>
      </c>
      <c r="T44" t="s">
        <v>728</v>
      </c>
      <c r="U44" t="s">
        <v>233</v>
      </c>
      <c r="V44" t="s">
        <v>23</v>
      </c>
      <c r="W44" t="s">
        <v>137</v>
      </c>
      <c r="X44" t="s">
        <v>9</v>
      </c>
      <c r="Y44" s="56">
        <f>IF(clean[[#This Row],[is_delivered]]="Yes",clean[[#This Row],[net_sales]],0 )</f>
        <v>0</v>
      </c>
    </row>
    <row r="45" spans="1:25">
      <c r="A45" t="s">
        <v>1111</v>
      </c>
      <c r="B45" s="9">
        <v>45833</v>
      </c>
      <c r="C45" t="s">
        <v>492</v>
      </c>
      <c r="D45" t="s">
        <v>775</v>
      </c>
      <c r="E45">
        <v>1</v>
      </c>
      <c r="F45" s="56">
        <v>75000</v>
      </c>
      <c r="G45" s="56">
        <v>75000</v>
      </c>
      <c r="H45" t="s">
        <v>872</v>
      </c>
      <c r="I45" s="56">
        <v>0</v>
      </c>
      <c r="J45" s="56">
        <v>20000</v>
      </c>
      <c r="K45" s="56">
        <v>95000</v>
      </c>
      <c r="L45" t="s">
        <v>889</v>
      </c>
      <c r="M45" t="s">
        <v>903</v>
      </c>
      <c r="N45" t="s">
        <v>875</v>
      </c>
      <c r="O45" s="57">
        <v>45809</v>
      </c>
      <c r="P45" t="s">
        <v>877</v>
      </c>
      <c r="Q45" s="56">
        <v>75000</v>
      </c>
      <c r="R45" t="s">
        <v>776</v>
      </c>
      <c r="S45" t="s">
        <v>731</v>
      </c>
      <c r="T45" t="s">
        <v>732</v>
      </c>
      <c r="U45" t="s">
        <v>493</v>
      </c>
      <c r="V45" t="s">
        <v>23</v>
      </c>
      <c r="W45" t="s">
        <v>56</v>
      </c>
      <c r="X45" t="s">
        <v>9</v>
      </c>
      <c r="Y45" s="56">
        <f>IF(clean[[#This Row],[is_delivered]]="Yes",clean[[#This Row],[net_sales]],0 )</f>
        <v>75000</v>
      </c>
    </row>
    <row r="46" spans="1:25">
      <c r="A46" t="s">
        <v>1235</v>
      </c>
      <c r="B46" s="9">
        <v>45833</v>
      </c>
      <c r="C46" t="s">
        <v>598</v>
      </c>
      <c r="D46" t="s">
        <v>815</v>
      </c>
      <c r="E46">
        <v>1</v>
      </c>
      <c r="F46" s="56">
        <v>75000</v>
      </c>
      <c r="G46" s="56">
        <v>75000</v>
      </c>
      <c r="H46" t="s">
        <v>886</v>
      </c>
      <c r="I46" s="56">
        <v>7500</v>
      </c>
      <c r="J46" s="56">
        <v>15000</v>
      </c>
      <c r="K46" s="56">
        <v>82500</v>
      </c>
      <c r="L46" t="s">
        <v>873</v>
      </c>
      <c r="M46" t="s">
        <v>903</v>
      </c>
      <c r="N46" t="s">
        <v>875</v>
      </c>
      <c r="O46" s="57">
        <v>45809</v>
      </c>
      <c r="P46" t="s">
        <v>877</v>
      </c>
      <c r="Q46" s="56">
        <v>67500</v>
      </c>
      <c r="R46" t="s">
        <v>816</v>
      </c>
      <c r="S46" t="s">
        <v>739</v>
      </c>
      <c r="T46" t="s">
        <v>740</v>
      </c>
      <c r="U46" t="s">
        <v>599</v>
      </c>
      <c r="V46" t="s">
        <v>7</v>
      </c>
      <c r="W46" t="s">
        <v>12</v>
      </c>
      <c r="X46" t="s">
        <v>9</v>
      </c>
      <c r="Y46" s="56">
        <f>IF(clean[[#This Row],[is_delivered]]="Yes",clean[[#This Row],[net_sales]],0 )</f>
        <v>67500</v>
      </c>
    </row>
    <row r="47" spans="1:25">
      <c r="A47" t="s">
        <v>1340</v>
      </c>
      <c r="B47" s="9">
        <v>45833</v>
      </c>
      <c r="C47" t="s">
        <v>105</v>
      </c>
      <c r="D47" t="s">
        <v>815</v>
      </c>
      <c r="E47">
        <v>2</v>
      </c>
      <c r="F47" s="56">
        <v>75000</v>
      </c>
      <c r="G47" s="56">
        <v>150000</v>
      </c>
      <c r="H47" t="s">
        <v>872</v>
      </c>
      <c r="I47" s="56">
        <v>0</v>
      </c>
      <c r="J47" s="56">
        <v>25000</v>
      </c>
      <c r="K47" s="56">
        <v>175000</v>
      </c>
      <c r="L47" t="s">
        <v>880</v>
      </c>
      <c r="M47" t="s">
        <v>903</v>
      </c>
      <c r="N47" t="s">
        <v>875</v>
      </c>
      <c r="O47" s="57">
        <v>45809</v>
      </c>
      <c r="P47" t="s">
        <v>877</v>
      </c>
      <c r="Q47" s="56">
        <v>150000</v>
      </c>
      <c r="R47" t="s">
        <v>816</v>
      </c>
      <c r="S47" t="s">
        <v>739</v>
      </c>
      <c r="T47" t="s">
        <v>740</v>
      </c>
      <c r="U47" t="s">
        <v>106</v>
      </c>
      <c r="V47" t="s">
        <v>23</v>
      </c>
      <c r="W47" t="s">
        <v>8</v>
      </c>
      <c r="X47" t="s">
        <v>15</v>
      </c>
      <c r="Y47" s="56">
        <f>IF(clean[[#This Row],[is_delivered]]="Yes",clean[[#This Row],[net_sales]],0 )</f>
        <v>150000</v>
      </c>
    </row>
    <row r="48" spans="1:25">
      <c r="A48" t="s">
        <v>1405</v>
      </c>
      <c r="B48" s="9">
        <v>45833</v>
      </c>
      <c r="C48" t="s">
        <v>95</v>
      </c>
      <c r="D48" t="s">
        <v>817</v>
      </c>
      <c r="E48">
        <v>2</v>
      </c>
      <c r="F48" s="56">
        <v>75000</v>
      </c>
      <c r="G48" s="56">
        <v>150000</v>
      </c>
      <c r="H48" t="s">
        <v>886</v>
      </c>
      <c r="I48" s="56">
        <v>15000</v>
      </c>
      <c r="J48" s="56">
        <v>25000</v>
      </c>
      <c r="K48" s="56">
        <v>160000</v>
      </c>
      <c r="L48" t="s">
        <v>884</v>
      </c>
      <c r="M48" t="s">
        <v>903</v>
      </c>
      <c r="N48" t="s">
        <v>875</v>
      </c>
      <c r="O48" s="57">
        <v>45809</v>
      </c>
      <c r="P48" t="s">
        <v>877</v>
      </c>
      <c r="Q48" s="56">
        <v>135000</v>
      </c>
      <c r="R48" t="s">
        <v>818</v>
      </c>
      <c r="S48" t="s">
        <v>743</v>
      </c>
      <c r="T48" t="s">
        <v>744</v>
      </c>
      <c r="U48" t="s">
        <v>96</v>
      </c>
      <c r="V48" t="s">
        <v>23</v>
      </c>
      <c r="W48" t="s">
        <v>8</v>
      </c>
      <c r="X48" t="s">
        <v>24</v>
      </c>
      <c r="Y48" s="56">
        <f>IF(clean[[#This Row],[is_delivered]]="Yes",clean[[#This Row],[net_sales]],0 )</f>
        <v>135000</v>
      </c>
    </row>
    <row r="49" spans="1:25">
      <c r="A49" t="s">
        <v>1458</v>
      </c>
      <c r="B49" s="9">
        <v>45833</v>
      </c>
      <c r="C49" t="s">
        <v>113</v>
      </c>
      <c r="D49" t="s">
        <v>799</v>
      </c>
      <c r="E49">
        <v>1</v>
      </c>
      <c r="F49" s="56">
        <v>35000</v>
      </c>
      <c r="G49" s="56">
        <v>35000</v>
      </c>
      <c r="H49" t="s">
        <v>886</v>
      </c>
      <c r="I49" s="56">
        <v>3500</v>
      </c>
      <c r="J49" s="56">
        <v>30000</v>
      </c>
      <c r="K49" s="56">
        <v>61500</v>
      </c>
      <c r="L49" t="s">
        <v>889</v>
      </c>
      <c r="M49" t="s">
        <v>2106</v>
      </c>
      <c r="N49" t="s">
        <v>890</v>
      </c>
      <c r="O49" s="57">
        <v>45809</v>
      </c>
      <c r="P49" t="s">
        <v>892</v>
      </c>
      <c r="Q49" s="56">
        <v>31500</v>
      </c>
      <c r="R49" t="s">
        <v>800</v>
      </c>
      <c r="S49" t="s">
        <v>731</v>
      </c>
      <c r="T49" t="s">
        <v>732</v>
      </c>
      <c r="U49" t="s">
        <v>114</v>
      </c>
      <c r="V49" t="s">
        <v>23</v>
      </c>
      <c r="W49" t="s">
        <v>39</v>
      </c>
      <c r="X49" t="s">
        <v>24</v>
      </c>
      <c r="Y49" s="56">
        <f>IF(clean[[#This Row],[is_delivered]]="Yes",clean[[#This Row],[net_sales]],0 )</f>
        <v>0</v>
      </c>
    </row>
    <row r="50" spans="1:25">
      <c r="A50" t="s">
        <v>1615</v>
      </c>
      <c r="B50" s="9">
        <v>45833</v>
      </c>
      <c r="C50" t="s">
        <v>494</v>
      </c>
      <c r="D50" t="s">
        <v>763</v>
      </c>
      <c r="E50">
        <v>1</v>
      </c>
      <c r="F50" s="56">
        <v>75000</v>
      </c>
      <c r="G50" s="56">
        <v>75000</v>
      </c>
      <c r="H50" t="s">
        <v>872</v>
      </c>
      <c r="I50" s="56">
        <v>0</v>
      </c>
      <c r="J50" s="56">
        <v>25000</v>
      </c>
      <c r="K50" s="56">
        <v>100000</v>
      </c>
      <c r="L50" t="s">
        <v>889</v>
      </c>
      <c r="M50" t="s">
        <v>903</v>
      </c>
      <c r="N50" t="s">
        <v>890</v>
      </c>
      <c r="O50" s="57">
        <v>45809</v>
      </c>
      <c r="P50" t="s">
        <v>892</v>
      </c>
      <c r="Q50" s="56">
        <v>75000</v>
      </c>
      <c r="R50" t="s">
        <v>764</v>
      </c>
      <c r="S50" t="s">
        <v>731</v>
      </c>
      <c r="T50" t="s">
        <v>732</v>
      </c>
      <c r="U50" t="s">
        <v>495</v>
      </c>
      <c r="V50" t="s">
        <v>7</v>
      </c>
      <c r="W50" t="s">
        <v>51</v>
      </c>
      <c r="X50" t="s">
        <v>24</v>
      </c>
      <c r="Y50" s="56">
        <f>IF(clean[[#This Row],[is_delivered]]="Yes",clean[[#This Row],[net_sales]],0 )</f>
        <v>0</v>
      </c>
    </row>
    <row r="51" spans="1:25">
      <c r="A51" t="s">
        <v>2045</v>
      </c>
      <c r="B51" s="9">
        <v>45833</v>
      </c>
      <c r="C51" t="s">
        <v>630</v>
      </c>
      <c r="D51" t="s">
        <v>791</v>
      </c>
      <c r="E51">
        <v>1</v>
      </c>
      <c r="F51" s="56">
        <v>50000</v>
      </c>
      <c r="G51" s="56">
        <v>50000</v>
      </c>
      <c r="H51" t="s">
        <v>886</v>
      </c>
      <c r="I51" s="56">
        <v>5000</v>
      </c>
      <c r="J51" s="56">
        <v>10000</v>
      </c>
      <c r="K51" s="56">
        <v>55000</v>
      </c>
      <c r="L51" t="s">
        <v>889</v>
      </c>
      <c r="M51" t="s">
        <v>901</v>
      </c>
      <c r="N51" t="s">
        <v>875</v>
      </c>
      <c r="O51" s="57">
        <v>45809</v>
      </c>
      <c r="P51" t="s">
        <v>877</v>
      </c>
      <c r="Q51" s="56">
        <v>45000</v>
      </c>
      <c r="R51" t="s">
        <v>792</v>
      </c>
      <c r="S51" t="s">
        <v>739</v>
      </c>
      <c r="T51" t="s">
        <v>740</v>
      </c>
      <c r="U51" t="s">
        <v>631</v>
      </c>
      <c r="V51" t="s">
        <v>7</v>
      </c>
      <c r="W51" t="s">
        <v>36</v>
      </c>
      <c r="X51" t="s">
        <v>24</v>
      </c>
      <c r="Y51" s="56">
        <f>IF(clean[[#This Row],[is_delivered]]="Yes",clean[[#This Row],[net_sales]],0 )</f>
        <v>45000</v>
      </c>
    </row>
    <row r="52" spans="1:25">
      <c r="A52" t="s">
        <v>1162</v>
      </c>
      <c r="B52" s="9">
        <v>45832</v>
      </c>
      <c r="C52" t="s">
        <v>63</v>
      </c>
      <c r="D52" t="s">
        <v>777</v>
      </c>
      <c r="E52">
        <v>2</v>
      </c>
      <c r="F52" s="56">
        <v>200000</v>
      </c>
      <c r="G52" s="56">
        <v>400000</v>
      </c>
      <c r="H52" t="s">
        <v>895</v>
      </c>
      <c r="I52" s="56">
        <v>60000</v>
      </c>
      <c r="J52" s="56">
        <v>10000</v>
      </c>
      <c r="K52" s="56">
        <v>350000</v>
      </c>
      <c r="L52" t="s">
        <v>889</v>
      </c>
      <c r="M52" t="s">
        <v>874</v>
      </c>
      <c r="N52" t="s">
        <v>905</v>
      </c>
      <c r="O52" s="57">
        <v>45809</v>
      </c>
      <c r="P52" t="s">
        <v>892</v>
      </c>
      <c r="Q52" s="56">
        <v>340000</v>
      </c>
      <c r="R52" t="s">
        <v>778</v>
      </c>
      <c r="S52" t="s">
        <v>735</v>
      </c>
      <c r="T52" t="s">
        <v>736</v>
      </c>
      <c r="U52" t="s">
        <v>64</v>
      </c>
      <c r="V52" t="s">
        <v>7</v>
      </c>
      <c r="W52" t="s">
        <v>8</v>
      </c>
      <c r="X52" t="s">
        <v>15</v>
      </c>
      <c r="Y52" s="56">
        <f>IF(clean[[#This Row],[is_delivered]]="Yes",clean[[#This Row],[net_sales]],0 )</f>
        <v>0</v>
      </c>
    </row>
    <row r="53" spans="1:25">
      <c r="A53" t="s">
        <v>1163</v>
      </c>
      <c r="B53" s="9">
        <v>45832</v>
      </c>
      <c r="C53" t="s">
        <v>580</v>
      </c>
      <c r="D53" t="s">
        <v>795</v>
      </c>
      <c r="E53">
        <v>1</v>
      </c>
      <c r="F53" s="56">
        <v>100000</v>
      </c>
      <c r="G53" s="56">
        <v>100000</v>
      </c>
      <c r="H53" t="s">
        <v>879</v>
      </c>
      <c r="I53" s="56">
        <v>20000</v>
      </c>
      <c r="J53" s="56">
        <v>10000</v>
      </c>
      <c r="K53" s="56">
        <v>90000</v>
      </c>
      <c r="L53" t="s">
        <v>873</v>
      </c>
      <c r="M53" t="s">
        <v>874</v>
      </c>
      <c r="N53" t="s">
        <v>875</v>
      </c>
      <c r="O53" s="57">
        <v>45809</v>
      </c>
      <c r="P53" t="s">
        <v>877</v>
      </c>
      <c r="Q53" s="56">
        <v>80000</v>
      </c>
      <c r="R53" t="s">
        <v>796</v>
      </c>
      <c r="S53" t="s">
        <v>747</v>
      </c>
      <c r="T53" t="s">
        <v>748</v>
      </c>
      <c r="U53" t="s">
        <v>581</v>
      </c>
      <c r="V53" t="s">
        <v>7</v>
      </c>
      <c r="W53" t="s">
        <v>20</v>
      </c>
      <c r="X53" t="s">
        <v>24</v>
      </c>
      <c r="Y53" s="56">
        <f>IF(clean[[#This Row],[is_delivered]]="Yes",clean[[#This Row],[net_sales]],0 )</f>
        <v>80000</v>
      </c>
    </row>
    <row r="54" spans="1:25">
      <c r="A54" t="s">
        <v>1117</v>
      </c>
      <c r="B54" s="9">
        <v>45832</v>
      </c>
      <c r="C54" t="s">
        <v>698</v>
      </c>
      <c r="D54" t="s">
        <v>771</v>
      </c>
      <c r="E54">
        <v>1</v>
      </c>
      <c r="F54" s="56">
        <v>500000</v>
      </c>
      <c r="G54" s="56">
        <v>500000</v>
      </c>
      <c r="H54" t="s">
        <v>895</v>
      </c>
      <c r="I54" s="56">
        <v>75000</v>
      </c>
      <c r="J54" s="56">
        <v>30000</v>
      </c>
      <c r="K54" s="56">
        <v>455000</v>
      </c>
      <c r="L54" t="s">
        <v>884</v>
      </c>
      <c r="M54" t="s">
        <v>881</v>
      </c>
      <c r="N54" t="s">
        <v>875</v>
      </c>
      <c r="O54" s="57">
        <v>45809</v>
      </c>
      <c r="P54" t="s">
        <v>877</v>
      </c>
      <c r="Q54" s="56">
        <v>425000</v>
      </c>
      <c r="R54" t="s">
        <v>772</v>
      </c>
      <c r="S54" t="s">
        <v>747</v>
      </c>
      <c r="T54" t="s">
        <v>748</v>
      </c>
      <c r="U54" t="s">
        <v>699</v>
      </c>
      <c r="V54" t="s">
        <v>7</v>
      </c>
      <c r="W54" t="s">
        <v>36</v>
      </c>
      <c r="X54" t="s">
        <v>15</v>
      </c>
      <c r="Y54" s="56">
        <f>IF(clean[[#This Row],[is_delivered]]="Yes",clean[[#This Row],[net_sales]],0 )</f>
        <v>425000</v>
      </c>
    </row>
    <row r="55" spans="1:25">
      <c r="A55" t="s">
        <v>1808</v>
      </c>
      <c r="B55" s="9">
        <v>45832</v>
      </c>
      <c r="C55" t="s">
        <v>362</v>
      </c>
      <c r="D55" t="s">
        <v>767</v>
      </c>
      <c r="E55">
        <v>3</v>
      </c>
      <c r="F55" s="56">
        <v>150000</v>
      </c>
      <c r="G55" s="56">
        <v>450000</v>
      </c>
      <c r="H55" t="s">
        <v>872</v>
      </c>
      <c r="I55" s="56">
        <v>0</v>
      </c>
      <c r="J55" s="56">
        <v>15000</v>
      </c>
      <c r="K55" s="56">
        <v>465000</v>
      </c>
      <c r="L55" t="s">
        <v>884</v>
      </c>
      <c r="M55" t="s">
        <v>881</v>
      </c>
      <c r="N55" t="s">
        <v>875</v>
      </c>
      <c r="O55" s="57">
        <v>45809</v>
      </c>
      <c r="P55" t="s">
        <v>877</v>
      </c>
      <c r="Q55" s="56">
        <v>450000</v>
      </c>
      <c r="R55" t="s">
        <v>768</v>
      </c>
      <c r="S55" t="s">
        <v>739</v>
      </c>
      <c r="T55" t="s">
        <v>740</v>
      </c>
      <c r="U55" t="s">
        <v>363</v>
      </c>
      <c r="V55" t="s">
        <v>23</v>
      </c>
      <c r="W55" t="s">
        <v>29</v>
      </c>
      <c r="X55" t="s">
        <v>9</v>
      </c>
      <c r="Y55" s="56">
        <f>IF(clean[[#This Row],[is_delivered]]="Yes",clean[[#This Row],[net_sales]],0 )</f>
        <v>450000</v>
      </c>
    </row>
    <row r="56" spans="1:25">
      <c r="A56" t="s">
        <v>1813</v>
      </c>
      <c r="B56" s="9">
        <v>45832</v>
      </c>
      <c r="C56" t="s">
        <v>606</v>
      </c>
      <c r="D56" t="s">
        <v>813</v>
      </c>
      <c r="E56">
        <v>1</v>
      </c>
      <c r="F56" s="56">
        <v>35000</v>
      </c>
      <c r="G56" s="56">
        <v>35000</v>
      </c>
      <c r="H56" t="s">
        <v>879</v>
      </c>
      <c r="I56" s="56">
        <v>7000</v>
      </c>
      <c r="J56" s="56">
        <v>15000</v>
      </c>
      <c r="K56" s="56">
        <v>43000</v>
      </c>
      <c r="L56" t="s">
        <v>884</v>
      </c>
      <c r="M56" t="s">
        <v>903</v>
      </c>
      <c r="N56" t="s">
        <v>921</v>
      </c>
      <c r="O56" s="57">
        <v>45809</v>
      </c>
      <c r="P56" t="s">
        <v>892</v>
      </c>
      <c r="Q56" s="56">
        <v>28000</v>
      </c>
      <c r="R56" t="s">
        <v>814</v>
      </c>
      <c r="S56" t="s">
        <v>735</v>
      </c>
      <c r="T56" t="s">
        <v>736</v>
      </c>
      <c r="U56" t="s">
        <v>607</v>
      </c>
      <c r="V56" t="s">
        <v>23</v>
      </c>
      <c r="W56" t="s">
        <v>46</v>
      </c>
      <c r="X56" t="s">
        <v>24</v>
      </c>
      <c r="Y56" s="56">
        <f>IF(clean[[#This Row],[is_delivered]]="Yes",clean[[#This Row],[net_sales]],0 )</f>
        <v>0</v>
      </c>
    </row>
    <row r="57" spans="1:25">
      <c r="A57" t="s">
        <v>1837</v>
      </c>
      <c r="B57" s="9">
        <v>45832</v>
      </c>
      <c r="C57" t="s">
        <v>712</v>
      </c>
      <c r="D57" t="s">
        <v>835</v>
      </c>
      <c r="E57">
        <v>2</v>
      </c>
      <c r="F57" s="56">
        <v>200000</v>
      </c>
      <c r="G57" s="56">
        <v>400000</v>
      </c>
      <c r="H57" t="s">
        <v>872</v>
      </c>
      <c r="I57" s="56">
        <v>0</v>
      </c>
      <c r="J57" s="56">
        <v>15000</v>
      </c>
      <c r="K57" s="56">
        <v>415000</v>
      </c>
      <c r="L57" t="s">
        <v>884</v>
      </c>
      <c r="M57" t="s">
        <v>901</v>
      </c>
      <c r="N57" t="s">
        <v>875</v>
      </c>
      <c r="O57" s="57">
        <v>45809</v>
      </c>
      <c r="P57" t="s">
        <v>877</v>
      </c>
      <c r="Q57" s="56">
        <v>400000</v>
      </c>
      <c r="R57" t="s">
        <v>836</v>
      </c>
      <c r="S57" t="s">
        <v>731</v>
      </c>
      <c r="T57" t="s">
        <v>732</v>
      </c>
      <c r="U57" t="s">
        <v>713</v>
      </c>
      <c r="V57" t="s">
        <v>23</v>
      </c>
      <c r="W57" t="s">
        <v>29</v>
      </c>
      <c r="X57" t="s">
        <v>9</v>
      </c>
      <c r="Y57" s="56">
        <f>IF(clean[[#This Row],[is_delivered]]="Yes",clean[[#This Row],[net_sales]],0 )</f>
        <v>400000</v>
      </c>
    </row>
    <row r="58" spans="1:25">
      <c r="A58" t="s">
        <v>952</v>
      </c>
      <c r="B58" s="9">
        <v>45831</v>
      </c>
      <c r="C58" t="s">
        <v>470</v>
      </c>
      <c r="D58" t="s">
        <v>793</v>
      </c>
      <c r="E58">
        <v>2</v>
      </c>
      <c r="F58" s="56">
        <v>500000</v>
      </c>
      <c r="G58" s="56">
        <v>1000000</v>
      </c>
      <c r="H58" t="s">
        <v>886</v>
      </c>
      <c r="I58" s="56">
        <v>100000</v>
      </c>
      <c r="J58" s="56">
        <v>30000</v>
      </c>
      <c r="K58" s="56">
        <v>930000</v>
      </c>
      <c r="L58" t="s">
        <v>884</v>
      </c>
      <c r="M58" t="s">
        <v>881</v>
      </c>
      <c r="N58" t="s">
        <v>875</v>
      </c>
      <c r="O58" s="57">
        <v>45809</v>
      </c>
      <c r="P58" t="s">
        <v>877</v>
      </c>
      <c r="Q58" s="56">
        <v>900000</v>
      </c>
      <c r="R58" t="s">
        <v>794</v>
      </c>
      <c r="S58" t="s">
        <v>743</v>
      </c>
      <c r="T58" t="s">
        <v>744</v>
      </c>
      <c r="U58" t="s">
        <v>471</v>
      </c>
      <c r="V58" t="s">
        <v>7</v>
      </c>
      <c r="W58" t="s">
        <v>36</v>
      </c>
      <c r="X58" t="s">
        <v>24</v>
      </c>
      <c r="Y58" s="56">
        <f>IF(clean[[#This Row],[is_delivered]]="Yes",clean[[#This Row],[net_sales]],0 )</f>
        <v>900000</v>
      </c>
    </row>
    <row r="59" spans="1:25">
      <c r="A59" t="s">
        <v>1181</v>
      </c>
      <c r="B59" s="9">
        <v>45831</v>
      </c>
      <c r="C59" t="s">
        <v>502</v>
      </c>
      <c r="D59" t="s">
        <v>787</v>
      </c>
      <c r="E59">
        <v>1</v>
      </c>
      <c r="F59" s="56">
        <v>200000</v>
      </c>
      <c r="G59" s="56">
        <v>200000</v>
      </c>
      <c r="H59" t="s">
        <v>872</v>
      </c>
      <c r="I59" s="56">
        <v>0</v>
      </c>
      <c r="J59" s="56">
        <v>10000</v>
      </c>
      <c r="K59" s="56">
        <v>210000</v>
      </c>
      <c r="L59" t="s">
        <v>884</v>
      </c>
      <c r="M59" t="s">
        <v>901</v>
      </c>
      <c r="N59" t="s">
        <v>911</v>
      </c>
      <c r="O59" s="57">
        <v>45809</v>
      </c>
      <c r="P59" t="s">
        <v>892</v>
      </c>
      <c r="Q59" s="56">
        <v>200000</v>
      </c>
      <c r="R59" t="s">
        <v>788</v>
      </c>
      <c r="S59" t="s">
        <v>731</v>
      </c>
      <c r="T59" t="s">
        <v>732</v>
      </c>
      <c r="U59" t="s">
        <v>503</v>
      </c>
      <c r="V59" t="s">
        <v>7</v>
      </c>
      <c r="W59" t="s">
        <v>56</v>
      </c>
      <c r="X59" t="s">
        <v>24</v>
      </c>
      <c r="Y59" s="56">
        <f>IF(clean[[#This Row],[is_delivered]]="Yes",clean[[#This Row],[net_sales]],0 )</f>
        <v>0</v>
      </c>
    </row>
    <row r="60" spans="1:25">
      <c r="A60" t="s">
        <v>1237</v>
      </c>
      <c r="B60" s="9">
        <v>45831</v>
      </c>
      <c r="C60" t="s">
        <v>660</v>
      </c>
      <c r="D60" t="s">
        <v>845</v>
      </c>
      <c r="E60">
        <v>1</v>
      </c>
      <c r="F60" s="56">
        <v>300000</v>
      </c>
      <c r="G60" s="56">
        <v>300000</v>
      </c>
      <c r="H60" t="s">
        <v>872</v>
      </c>
      <c r="I60" s="56">
        <v>0</v>
      </c>
      <c r="J60" s="56">
        <v>30000</v>
      </c>
      <c r="K60" s="56">
        <v>330000</v>
      </c>
      <c r="L60" t="s">
        <v>889</v>
      </c>
      <c r="M60" t="s">
        <v>903</v>
      </c>
      <c r="N60" t="s">
        <v>875</v>
      </c>
      <c r="O60" s="57">
        <v>45809</v>
      </c>
      <c r="P60" t="s">
        <v>877</v>
      </c>
      <c r="Q60" s="56">
        <v>300000</v>
      </c>
      <c r="R60" t="s">
        <v>846</v>
      </c>
      <c r="S60" t="s">
        <v>727</v>
      </c>
      <c r="T60" t="s">
        <v>728</v>
      </c>
      <c r="U60" t="s">
        <v>661</v>
      </c>
      <c r="V60" t="s">
        <v>23</v>
      </c>
      <c r="W60" t="s">
        <v>56</v>
      </c>
      <c r="X60" t="s">
        <v>15</v>
      </c>
      <c r="Y60" s="56">
        <f>IF(clean[[#This Row],[is_delivered]]="Yes",clean[[#This Row],[net_sales]],0 )</f>
        <v>300000</v>
      </c>
    </row>
    <row r="61" spans="1:25">
      <c r="A61" t="s">
        <v>1540</v>
      </c>
      <c r="B61" s="9">
        <v>45831</v>
      </c>
      <c r="C61" t="s">
        <v>358</v>
      </c>
      <c r="D61" t="s">
        <v>843</v>
      </c>
      <c r="E61">
        <v>4</v>
      </c>
      <c r="F61" s="56">
        <v>100000</v>
      </c>
      <c r="G61" s="56">
        <v>400000</v>
      </c>
      <c r="H61" t="s">
        <v>872</v>
      </c>
      <c r="I61" s="56">
        <v>0</v>
      </c>
      <c r="J61" s="56">
        <v>10000</v>
      </c>
      <c r="K61" s="56">
        <v>410000</v>
      </c>
      <c r="L61" t="s">
        <v>884</v>
      </c>
      <c r="M61" t="s">
        <v>881</v>
      </c>
      <c r="N61" t="s">
        <v>875</v>
      </c>
      <c r="O61" s="57">
        <v>45809</v>
      </c>
      <c r="P61" t="s">
        <v>877</v>
      </c>
      <c r="Q61" s="56">
        <v>400000</v>
      </c>
      <c r="R61" t="s">
        <v>844</v>
      </c>
      <c r="S61" t="s">
        <v>747</v>
      </c>
      <c r="T61" t="s">
        <v>748</v>
      </c>
      <c r="U61" t="s">
        <v>359</v>
      </c>
      <c r="V61" t="s">
        <v>7</v>
      </c>
      <c r="W61" t="s">
        <v>137</v>
      </c>
      <c r="X61" t="s">
        <v>9</v>
      </c>
      <c r="Y61" s="56">
        <f>IF(clean[[#This Row],[is_delivered]]="Yes",clean[[#This Row],[net_sales]],0 )</f>
        <v>400000</v>
      </c>
    </row>
    <row r="62" spans="1:25">
      <c r="A62" t="s">
        <v>1909</v>
      </c>
      <c r="B62" s="9">
        <v>45831</v>
      </c>
      <c r="C62" t="s">
        <v>708</v>
      </c>
      <c r="D62" t="s">
        <v>771</v>
      </c>
      <c r="E62">
        <v>3</v>
      </c>
      <c r="F62" s="56">
        <v>500000</v>
      </c>
      <c r="G62" s="56">
        <v>1500000</v>
      </c>
      <c r="H62" t="s">
        <v>872</v>
      </c>
      <c r="I62" s="56">
        <v>0</v>
      </c>
      <c r="J62" s="56">
        <v>20000</v>
      </c>
      <c r="K62" s="56">
        <v>1520000</v>
      </c>
      <c r="L62" t="s">
        <v>889</v>
      </c>
      <c r="M62" t="s">
        <v>874</v>
      </c>
      <c r="N62" t="s">
        <v>875</v>
      </c>
      <c r="O62" s="57">
        <v>45809</v>
      </c>
      <c r="P62" t="s">
        <v>877</v>
      </c>
      <c r="Q62" s="56">
        <v>1500000</v>
      </c>
      <c r="R62" t="s">
        <v>772</v>
      </c>
      <c r="S62" t="s">
        <v>747</v>
      </c>
      <c r="T62" t="s">
        <v>748</v>
      </c>
      <c r="U62" t="s">
        <v>709</v>
      </c>
      <c r="V62" t="s">
        <v>23</v>
      </c>
      <c r="W62" t="s">
        <v>39</v>
      </c>
      <c r="X62" t="s">
        <v>9</v>
      </c>
      <c r="Y62" s="56">
        <f>IF(clean[[#This Row],[is_delivered]]="Yes",clean[[#This Row],[net_sales]],0 )</f>
        <v>1500000</v>
      </c>
    </row>
    <row r="63" spans="1:25">
      <c r="A63" t="s">
        <v>1948</v>
      </c>
      <c r="B63" s="9">
        <v>45831</v>
      </c>
      <c r="C63" t="s">
        <v>342</v>
      </c>
      <c r="D63" t="s">
        <v>809</v>
      </c>
      <c r="E63">
        <v>2</v>
      </c>
      <c r="F63" s="56">
        <v>100000</v>
      </c>
      <c r="G63" s="56">
        <v>200000</v>
      </c>
      <c r="H63" t="s">
        <v>872</v>
      </c>
      <c r="I63" s="56">
        <v>0</v>
      </c>
      <c r="J63" s="56">
        <v>25000</v>
      </c>
      <c r="K63" s="56">
        <v>225000</v>
      </c>
      <c r="L63" t="s">
        <v>884</v>
      </c>
      <c r="M63" t="s">
        <v>903</v>
      </c>
      <c r="N63" t="s">
        <v>875</v>
      </c>
      <c r="O63" s="57">
        <v>45809</v>
      </c>
      <c r="P63" t="s">
        <v>877</v>
      </c>
      <c r="Q63" s="56">
        <v>200000</v>
      </c>
      <c r="R63" t="s">
        <v>810</v>
      </c>
      <c r="S63" t="s">
        <v>727</v>
      </c>
      <c r="T63" t="s">
        <v>728</v>
      </c>
      <c r="U63" t="s">
        <v>343</v>
      </c>
      <c r="V63" t="s">
        <v>7</v>
      </c>
      <c r="W63" t="s">
        <v>137</v>
      </c>
      <c r="X63" t="s">
        <v>24</v>
      </c>
      <c r="Y63" s="56">
        <f>IF(clean[[#This Row],[is_delivered]]="Yes",clean[[#This Row],[net_sales]],0 )</f>
        <v>200000</v>
      </c>
    </row>
    <row r="64" spans="1:25">
      <c r="A64" t="s">
        <v>2059</v>
      </c>
      <c r="B64" s="9">
        <v>45831</v>
      </c>
      <c r="C64" t="s">
        <v>482</v>
      </c>
      <c r="D64" t="s">
        <v>763</v>
      </c>
      <c r="E64">
        <v>2</v>
      </c>
      <c r="F64" s="56">
        <v>75000</v>
      </c>
      <c r="G64" s="56">
        <v>150000</v>
      </c>
      <c r="H64" t="s">
        <v>872</v>
      </c>
      <c r="I64" s="56">
        <v>0</v>
      </c>
      <c r="J64" s="56">
        <v>30000</v>
      </c>
      <c r="K64" s="56">
        <v>180000</v>
      </c>
      <c r="L64" t="s">
        <v>880</v>
      </c>
      <c r="M64" t="s">
        <v>874</v>
      </c>
      <c r="N64" t="s">
        <v>875</v>
      </c>
      <c r="O64" s="57">
        <v>45809</v>
      </c>
      <c r="P64" t="s">
        <v>877</v>
      </c>
      <c r="Q64" s="56">
        <v>150000</v>
      </c>
      <c r="R64" t="s">
        <v>764</v>
      </c>
      <c r="S64" t="s">
        <v>731</v>
      </c>
      <c r="T64" t="s">
        <v>732</v>
      </c>
      <c r="U64" t="s">
        <v>483</v>
      </c>
      <c r="V64" t="s">
        <v>7</v>
      </c>
      <c r="W64" t="s">
        <v>39</v>
      </c>
      <c r="X64" t="s">
        <v>15</v>
      </c>
      <c r="Y64" s="56">
        <f>IF(clean[[#This Row],[is_delivered]]="Yes",clean[[#This Row],[net_sales]],0 )</f>
        <v>150000</v>
      </c>
    </row>
    <row r="65" spans="1:25">
      <c r="A65" t="s">
        <v>1378</v>
      </c>
      <c r="B65" s="9">
        <v>45830</v>
      </c>
      <c r="C65" t="s">
        <v>61</v>
      </c>
      <c r="D65" t="s">
        <v>763</v>
      </c>
      <c r="E65">
        <v>4</v>
      </c>
      <c r="F65" s="56">
        <v>75000</v>
      </c>
      <c r="G65" s="56">
        <v>300000</v>
      </c>
      <c r="H65" t="s">
        <v>872</v>
      </c>
      <c r="I65" s="56">
        <v>0</v>
      </c>
      <c r="J65" s="56">
        <v>30000</v>
      </c>
      <c r="K65" s="56">
        <v>330000</v>
      </c>
      <c r="L65" t="s">
        <v>880</v>
      </c>
      <c r="M65" t="s">
        <v>901</v>
      </c>
      <c r="N65" t="s">
        <v>890</v>
      </c>
      <c r="O65" s="57">
        <v>45809</v>
      </c>
      <c r="P65" t="s">
        <v>892</v>
      </c>
      <c r="Q65" s="56">
        <v>300000</v>
      </c>
      <c r="R65" t="s">
        <v>764</v>
      </c>
      <c r="S65" t="s">
        <v>731</v>
      </c>
      <c r="T65" t="s">
        <v>732</v>
      </c>
      <c r="U65" t="s">
        <v>62</v>
      </c>
      <c r="V65" t="s">
        <v>23</v>
      </c>
      <c r="W65" t="s">
        <v>39</v>
      </c>
      <c r="X65" t="s">
        <v>24</v>
      </c>
      <c r="Y65" s="56">
        <f>IF(clean[[#This Row],[is_delivered]]="Yes",clean[[#This Row],[net_sales]],0 )</f>
        <v>0</v>
      </c>
    </row>
    <row r="66" spans="1:25">
      <c r="A66" t="s">
        <v>1429</v>
      </c>
      <c r="B66" s="9">
        <v>45830</v>
      </c>
      <c r="C66" t="s">
        <v>109</v>
      </c>
      <c r="D66" t="s">
        <v>751</v>
      </c>
      <c r="E66">
        <v>2</v>
      </c>
      <c r="F66" s="56">
        <v>150000</v>
      </c>
      <c r="G66" s="56">
        <v>300000</v>
      </c>
      <c r="H66" t="s">
        <v>879</v>
      </c>
      <c r="I66" s="56">
        <v>60000</v>
      </c>
      <c r="J66" s="56">
        <v>10000</v>
      </c>
      <c r="K66" s="56">
        <v>250000</v>
      </c>
      <c r="L66" t="s">
        <v>884</v>
      </c>
      <c r="M66" t="s">
        <v>903</v>
      </c>
      <c r="N66" t="s">
        <v>890</v>
      </c>
      <c r="O66" s="57">
        <v>45809</v>
      </c>
      <c r="P66" t="s">
        <v>892</v>
      </c>
      <c r="Q66" s="56">
        <v>240000</v>
      </c>
      <c r="R66" t="s">
        <v>752</v>
      </c>
      <c r="S66" t="s">
        <v>731</v>
      </c>
      <c r="T66" t="s">
        <v>732</v>
      </c>
      <c r="U66" t="s">
        <v>110</v>
      </c>
      <c r="V66" t="s">
        <v>23</v>
      </c>
      <c r="W66" t="s">
        <v>46</v>
      </c>
      <c r="X66" t="s">
        <v>15</v>
      </c>
      <c r="Y66" s="56">
        <f>IF(clean[[#This Row],[is_delivered]]="Yes",clean[[#This Row],[net_sales]],0 )</f>
        <v>0</v>
      </c>
    </row>
    <row r="67" spans="1:25">
      <c r="A67" t="s">
        <v>1912</v>
      </c>
      <c r="B67" s="9">
        <v>45830</v>
      </c>
      <c r="C67" t="s">
        <v>300</v>
      </c>
      <c r="D67" t="s">
        <v>755</v>
      </c>
      <c r="E67">
        <v>1</v>
      </c>
      <c r="F67" s="56">
        <v>50000</v>
      </c>
      <c r="G67" s="56">
        <v>50000</v>
      </c>
      <c r="H67" t="s">
        <v>872</v>
      </c>
      <c r="I67" s="56">
        <v>0</v>
      </c>
      <c r="J67" s="56">
        <v>20000</v>
      </c>
      <c r="K67" s="56">
        <v>70000</v>
      </c>
      <c r="L67" t="s">
        <v>884</v>
      </c>
      <c r="M67" t="s">
        <v>874</v>
      </c>
      <c r="N67" t="s">
        <v>875</v>
      </c>
      <c r="O67" s="57">
        <v>45809</v>
      </c>
      <c r="P67" t="s">
        <v>877</v>
      </c>
      <c r="Q67" s="56">
        <v>50000</v>
      </c>
      <c r="R67" t="s">
        <v>756</v>
      </c>
      <c r="S67" t="s">
        <v>739</v>
      </c>
      <c r="T67" t="s">
        <v>740</v>
      </c>
      <c r="U67" t="s">
        <v>301</v>
      </c>
      <c r="V67" t="s">
        <v>7</v>
      </c>
      <c r="W67" t="s">
        <v>39</v>
      </c>
      <c r="X67" t="s">
        <v>9</v>
      </c>
      <c r="Y67" s="56">
        <f>IF(clean[[#This Row],[is_delivered]]="Yes",clean[[#This Row],[net_sales]],0 )</f>
        <v>50000</v>
      </c>
    </row>
    <row r="68" spans="1:25">
      <c r="A68" t="s">
        <v>1995</v>
      </c>
      <c r="B68" s="9">
        <v>45830</v>
      </c>
      <c r="C68" t="s">
        <v>456</v>
      </c>
      <c r="D68" t="s">
        <v>767</v>
      </c>
      <c r="E68">
        <v>4</v>
      </c>
      <c r="F68" s="56">
        <v>150000</v>
      </c>
      <c r="G68" s="56">
        <v>600000</v>
      </c>
      <c r="H68" t="s">
        <v>883</v>
      </c>
      <c r="I68" s="56">
        <v>60000</v>
      </c>
      <c r="J68" s="56">
        <v>25000</v>
      </c>
      <c r="K68" s="56">
        <v>565000</v>
      </c>
      <c r="L68" t="s">
        <v>880</v>
      </c>
      <c r="M68" t="s">
        <v>874</v>
      </c>
      <c r="N68" t="s">
        <v>875</v>
      </c>
      <c r="O68" s="57">
        <v>45809</v>
      </c>
      <c r="P68" t="s">
        <v>877</v>
      </c>
      <c r="Q68" s="56">
        <v>540000</v>
      </c>
      <c r="R68" t="s">
        <v>768</v>
      </c>
      <c r="S68" t="s">
        <v>739</v>
      </c>
      <c r="T68" t="s">
        <v>740</v>
      </c>
      <c r="U68" t="s">
        <v>457</v>
      </c>
      <c r="V68" t="s">
        <v>7</v>
      </c>
      <c r="W68" t="s">
        <v>46</v>
      </c>
      <c r="X68" t="s">
        <v>9</v>
      </c>
      <c r="Y68" s="56">
        <f>IF(clean[[#This Row],[is_delivered]]="Yes",clean[[#This Row],[net_sales]],0 )</f>
        <v>540000</v>
      </c>
    </row>
    <row r="69" spans="1:25">
      <c r="A69" t="s">
        <v>1003</v>
      </c>
      <c r="B69" s="9">
        <v>45829</v>
      </c>
      <c r="C69" t="s">
        <v>364</v>
      </c>
      <c r="D69" t="s">
        <v>819</v>
      </c>
      <c r="E69">
        <v>4</v>
      </c>
      <c r="F69" s="56">
        <v>300000</v>
      </c>
      <c r="G69" s="56">
        <v>1200000</v>
      </c>
      <c r="H69" t="s">
        <v>886</v>
      </c>
      <c r="I69" s="56">
        <v>120000</v>
      </c>
      <c r="J69" s="56">
        <v>25000</v>
      </c>
      <c r="K69" s="56">
        <v>1105000</v>
      </c>
      <c r="L69" t="s">
        <v>873</v>
      </c>
      <c r="M69" t="s">
        <v>903</v>
      </c>
      <c r="N69" t="s">
        <v>921</v>
      </c>
      <c r="O69" s="57">
        <v>45809</v>
      </c>
      <c r="P69" t="s">
        <v>892</v>
      </c>
      <c r="Q69" s="56">
        <v>1080000</v>
      </c>
      <c r="R69" t="s">
        <v>820</v>
      </c>
      <c r="S69" t="s">
        <v>747</v>
      </c>
      <c r="T69" t="s">
        <v>748</v>
      </c>
      <c r="U69" t="s">
        <v>365</v>
      </c>
      <c r="V69" t="s">
        <v>23</v>
      </c>
      <c r="W69" t="s">
        <v>46</v>
      </c>
      <c r="X69" t="s">
        <v>24</v>
      </c>
      <c r="Y69" s="56">
        <f>IF(clean[[#This Row],[is_delivered]]="Yes",clean[[#This Row],[net_sales]],0 )</f>
        <v>0</v>
      </c>
    </row>
    <row r="70" spans="1:25">
      <c r="A70" t="s">
        <v>1160</v>
      </c>
      <c r="B70" s="9">
        <v>45829</v>
      </c>
      <c r="C70" t="s">
        <v>218</v>
      </c>
      <c r="D70" t="s">
        <v>771</v>
      </c>
      <c r="E70">
        <v>4</v>
      </c>
      <c r="F70" s="56">
        <v>500000</v>
      </c>
      <c r="G70" s="56">
        <v>2000000</v>
      </c>
      <c r="H70" t="s">
        <v>872</v>
      </c>
      <c r="I70" s="56">
        <v>0</v>
      </c>
      <c r="J70" s="56">
        <v>25000</v>
      </c>
      <c r="K70" s="56">
        <v>2025000</v>
      </c>
      <c r="L70" t="s">
        <v>884</v>
      </c>
      <c r="M70" t="s">
        <v>903</v>
      </c>
      <c r="N70" t="s">
        <v>911</v>
      </c>
      <c r="O70" s="57">
        <v>45809</v>
      </c>
      <c r="P70" t="s">
        <v>892</v>
      </c>
      <c r="Q70" s="56">
        <v>2000000</v>
      </c>
      <c r="R70" t="s">
        <v>772</v>
      </c>
      <c r="S70" t="s">
        <v>747</v>
      </c>
      <c r="T70" t="s">
        <v>748</v>
      </c>
      <c r="U70" t="s">
        <v>219</v>
      </c>
      <c r="V70" t="s">
        <v>23</v>
      </c>
      <c r="W70" t="s">
        <v>137</v>
      </c>
      <c r="X70" t="s">
        <v>9</v>
      </c>
      <c r="Y70" s="56">
        <f>IF(clean[[#This Row],[is_delivered]]="Yes",clean[[#This Row],[net_sales]],0 )</f>
        <v>0</v>
      </c>
    </row>
    <row r="71" spans="1:25">
      <c r="A71" t="s">
        <v>1159</v>
      </c>
      <c r="B71" s="9">
        <v>45829</v>
      </c>
      <c r="C71" t="s">
        <v>658</v>
      </c>
      <c r="D71" t="s">
        <v>793</v>
      </c>
      <c r="E71">
        <v>2</v>
      </c>
      <c r="F71" s="56">
        <v>500000</v>
      </c>
      <c r="G71" s="56">
        <v>1000000</v>
      </c>
      <c r="H71" t="s">
        <v>886</v>
      </c>
      <c r="I71" s="56">
        <v>100000</v>
      </c>
      <c r="J71" s="56">
        <v>15000</v>
      </c>
      <c r="K71" s="56">
        <v>915000</v>
      </c>
      <c r="L71" t="s">
        <v>884</v>
      </c>
      <c r="M71" t="s">
        <v>881</v>
      </c>
      <c r="N71" t="s">
        <v>875</v>
      </c>
      <c r="O71" s="57">
        <v>45809</v>
      </c>
      <c r="P71" t="s">
        <v>877</v>
      </c>
      <c r="Q71" s="56">
        <v>900000</v>
      </c>
      <c r="R71" t="s">
        <v>794</v>
      </c>
      <c r="S71" t="s">
        <v>743</v>
      </c>
      <c r="T71" t="s">
        <v>744</v>
      </c>
      <c r="U71" t="s">
        <v>659</v>
      </c>
      <c r="V71" t="s">
        <v>7</v>
      </c>
      <c r="W71" t="s">
        <v>12</v>
      </c>
      <c r="X71" t="s">
        <v>24</v>
      </c>
      <c r="Y71" s="56">
        <f>IF(clean[[#This Row],[is_delivered]]="Yes",clean[[#This Row],[net_sales]],0 )</f>
        <v>900000</v>
      </c>
    </row>
    <row r="72" spans="1:25">
      <c r="A72" t="s">
        <v>1297</v>
      </c>
      <c r="B72" s="9">
        <v>45829</v>
      </c>
      <c r="C72" t="s">
        <v>242</v>
      </c>
      <c r="D72" t="s">
        <v>855</v>
      </c>
      <c r="E72">
        <v>3</v>
      </c>
      <c r="F72" s="56">
        <v>150000</v>
      </c>
      <c r="G72" s="56">
        <v>450000</v>
      </c>
      <c r="H72" t="s">
        <v>872</v>
      </c>
      <c r="I72" s="56">
        <v>0</v>
      </c>
      <c r="J72" s="56">
        <v>10000</v>
      </c>
      <c r="K72" s="56">
        <v>460000</v>
      </c>
      <c r="L72" t="s">
        <v>884</v>
      </c>
      <c r="M72" t="s">
        <v>881</v>
      </c>
      <c r="N72" t="s">
        <v>905</v>
      </c>
      <c r="O72" s="57">
        <v>45809</v>
      </c>
      <c r="P72" t="s">
        <v>892</v>
      </c>
      <c r="Q72" s="56">
        <v>450000</v>
      </c>
      <c r="R72" t="s">
        <v>856</v>
      </c>
      <c r="S72" t="s">
        <v>747</v>
      </c>
      <c r="T72" t="s">
        <v>748</v>
      </c>
      <c r="U72" t="s">
        <v>243</v>
      </c>
      <c r="V72" t="s">
        <v>7</v>
      </c>
      <c r="W72" t="s">
        <v>51</v>
      </c>
      <c r="X72" t="s">
        <v>9</v>
      </c>
      <c r="Y72" s="56">
        <f>IF(clean[[#This Row],[is_delivered]]="Yes",clean[[#This Row],[net_sales]],0 )</f>
        <v>0</v>
      </c>
    </row>
    <row r="73" spans="1:25">
      <c r="A73" t="s">
        <v>1410</v>
      </c>
      <c r="B73" s="9">
        <v>45829</v>
      </c>
      <c r="C73" t="s">
        <v>566</v>
      </c>
      <c r="D73" t="s">
        <v>733</v>
      </c>
      <c r="E73">
        <v>4</v>
      </c>
      <c r="F73" s="56">
        <v>150000</v>
      </c>
      <c r="G73" s="56">
        <v>600000</v>
      </c>
      <c r="H73" t="s">
        <v>879</v>
      </c>
      <c r="I73" s="56">
        <v>120000</v>
      </c>
      <c r="J73" s="56">
        <v>25000</v>
      </c>
      <c r="K73" s="56">
        <v>505000</v>
      </c>
      <c r="L73" t="s">
        <v>884</v>
      </c>
      <c r="M73" t="s">
        <v>901</v>
      </c>
      <c r="N73" t="s">
        <v>911</v>
      </c>
      <c r="O73" s="57">
        <v>45809</v>
      </c>
      <c r="P73" t="s">
        <v>892</v>
      </c>
      <c r="Q73" s="56">
        <v>480000</v>
      </c>
      <c r="R73" t="s">
        <v>734</v>
      </c>
      <c r="S73" t="s">
        <v>735</v>
      </c>
      <c r="T73" t="s">
        <v>736</v>
      </c>
      <c r="U73" t="s">
        <v>567</v>
      </c>
      <c r="V73" t="s">
        <v>7</v>
      </c>
      <c r="W73" t="s">
        <v>137</v>
      </c>
      <c r="X73" t="s">
        <v>24</v>
      </c>
      <c r="Y73" s="56">
        <f>IF(clean[[#This Row],[is_delivered]]="Yes",clean[[#This Row],[net_sales]],0 )</f>
        <v>0</v>
      </c>
    </row>
    <row r="74" spans="1:25">
      <c r="A74" t="s">
        <v>1412</v>
      </c>
      <c r="B74" s="9">
        <v>45829</v>
      </c>
      <c r="C74" t="s">
        <v>286</v>
      </c>
      <c r="D74" t="s">
        <v>819</v>
      </c>
      <c r="E74">
        <v>1</v>
      </c>
      <c r="F74" s="56">
        <v>300000</v>
      </c>
      <c r="G74" s="56">
        <v>300000</v>
      </c>
      <c r="H74" t="s">
        <v>879</v>
      </c>
      <c r="I74" s="56">
        <v>60000</v>
      </c>
      <c r="J74" s="56">
        <v>25000</v>
      </c>
      <c r="K74" s="56">
        <v>265000</v>
      </c>
      <c r="L74" t="s">
        <v>889</v>
      </c>
      <c r="M74" t="s">
        <v>881</v>
      </c>
      <c r="N74" t="s">
        <v>875</v>
      </c>
      <c r="O74" s="57">
        <v>45809</v>
      </c>
      <c r="P74" t="s">
        <v>877</v>
      </c>
      <c r="Q74" s="56">
        <v>240000</v>
      </c>
      <c r="R74" t="s">
        <v>820</v>
      </c>
      <c r="S74" t="s">
        <v>747</v>
      </c>
      <c r="T74" t="s">
        <v>748</v>
      </c>
      <c r="U74" t="s">
        <v>287</v>
      </c>
      <c r="V74" t="s">
        <v>7</v>
      </c>
      <c r="W74" t="s">
        <v>46</v>
      </c>
      <c r="X74" t="s">
        <v>24</v>
      </c>
      <c r="Y74" s="56">
        <f>IF(clean[[#This Row],[is_delivered]]="Yes",clean[[#This Row],[net_sales]],0 )</f>
        <v>240000</v>
      </c>
    </row>
    <row r="75" spans="1:25">
      <c r="A75" t="s">
        <v>1625</v>
      </c>
      <c r="B75" s="9">
        <v>45829</v>
      </c>
      <c r="C75" t="s">
        <v>146</v>
      </c>
      <c r="D75" t="s">
        <v>797</v>
      </c>
      <c r="E75">
        <v>2</v>
      </c>
      <c r="F75" s="56">
        <v>150000</v>
      </c>
      <c r="G75" s="56">
        <v>300000</v>
      </c>
      <c r="H75" t="s">
        <v>883</v>
      </c>
      <c r="I75" s="56">
        <v>30000</v>
      </c>
      <c r="J75" s="56">
        <v>15000</v>
      </c>
      <c r="K75" s="56">
        <v>285000</v>
      </c>
      <c r="L75" t="s">
        <v>889</v>
      </c>
      <c r="M75" t="s">
        <v>901</v>
      </c>
      <c r="N75" t="s">
        <v>890</v>
      </c>
      <c r="O75" s="57">
        <v>45809</v>
      </c>
      <c r="P75" t="s">
        <v>892</v>
      </c>
      <c r="Q75" s="56">
        <v>270000</v>
      </c>
      <c r="R75" t="s">
        <v>798</v>
      </c>
      <c r="S75" t="s">
        <v>727</v>
      </c>
      <c r="T75" t="s">
        <v>728</v>
      </c>
      <c r="U75" t="s">
        <v>147</v>
      </c>
      <c r="V75" t="s">
        <v>7</v>
      </c>
      <c r="W75" t="s">
        <v>51</v>
      </c>
      <c r="X75" t="s">
        <v>24</v>
      </c>
      <c r="Y75" s="56">
        <f>IF(clean[[#This Row],[is_delivered]]="Yes",clean[[#This Row],[net_sales]],0 )</f>
        <v>0</v>
      </c>
    </row>
    <row r="76" spans="1:25">
      <c r="A76" t="s">
        <v>918</v>
      </c>
      <c r="B76" s="9">
        <v>45828</v>
      </c>
      <c r="C76" t="s">
        <v>226</v>
      </c>
      <c r="D76" t="s">
        <v>819</v>
      </c>
      <c r="E76">
        <v>1</v>
      </c>
      <c r="F76" s="56">
        <v>300000</v>
      </c>
      <c r="G76" s="56">
        <v>300000</v>
      </c>
      <c r="H76" t="s">
        <v>872</v>
      </c>
      <c r="I76" s="56">
        <v>0</v>
      </c>
      <c r="J76" s="56">
        <v>20000</v>
      </c>
      <c r="K76" s="56">
        <v>320000</v>
      </c>
      <c r="L76" t="s">
        <v>880</v>
      </c>
      <c r="M76" t="s">
        <v>901</v>
      </c>
      <c r="N76" t="s">
        <v>875</v>
      </c>
      <c r="O76" s="57">
        <v>45809</v>
      </c>
      <c r="P76" t="s">
        <v>877</v>
      </c>
      <c r="Q76" s="56">
        <v>300000</v>
      </c>
      <c r="R76" t="s">
        <v>820</v>
      </c>
      <c r="S76" t="s">
        <v>747</v>
      </c>
      <c r="T76" t="s">
        <v>748</v>
      </c>
      <c r="U76" t="s">
        <v>227</v>
      </c>
      <c r="V76" t="s">
        <v>23</v>
      </c>
      <c r="W76" t="s">
        <v>29</v>
      </c>
      <c r="X76" t="s">
        <v>9</v>
      </c>
      <c r="Y76" s="56">
        <f>IF(clean[[#This Row],[is_delivered]]="Yes",clean[[#This Row],[net_sales]],0 )</f>
        <v>300000</v>
      </c>
    </row>
    <row r="77" spans="1:25">
      <c r="A77" t="s">
        <v>1171</v>
      </c>
      <c r="B77" s="9">
        <v>45828</v>
      </c>
      <c r="C77" t="s">
        <v>474</v>
      </c>
      <c r="D77" t="s">
        <v>851</v>
      </c>
      <c r="E77">
        <v>2</v>
      </c>
      <c r="F77" s="56">
        <v>35000</v>
      </c>
      <c r="G77" s="56">
        <v>70000</v>
      </c>
      <c r="H77" t="s">
        <v>895</v>
      </c>
      <c r="I77" s="56">
        <v>10500</v>
      </c>
      <c r="J77" s="56">
        <v>10000</v>
      </c>
      <c r="K77" s="56">
        <v>69500</v>
      </c>
      <c r="L77" t="s">
        <v>873</v>
      </c>
      <c r="M77" t="s">
        <v>881</v>
      </c>
      <c r="N77" t="s">
        <v>875</v>
      </c>
      <c r="O77" s="57">
        <v>45809</v>
      </c>
      <c r="P77" t="s">
        <v>877</v>
      </c>
      <c r="Q77" s="56">
        <v>59500</v>
      </c>
      <c r="R77" t="s">
        <v>852</v>
      </c>
      <c r="S77" t="s">
        <v>739</v>
      </c>
      <c r="T77" t="s">
        <v>740</v>
      </c>
      <c r="U77" t="s">
        <v>475</v>
      </c>
      <c r="V77" t="s">
        <v>7</v>
      </c>
      <c r="W77" t="s">
        <v>46</v>
      </c>
      <c r="X77" t="s">
        <v>9</v>
      </c>
      <c r="Y77" s="56">
        <f>IF(clean[[#This Row],[is_delivered]]="Yes",clean[[#This Row],[net_sales]],0 )</f>
        <v>59500</v>
      </c>
    </row>
    <row r="78" spans="1:25">
      <c r="A78" t="s">
        <v>1469</v>
      </c>
      <c r="B78" s="9">
        <v>45828</v>
      </c>
      <c r="C78" t="s">
        <v>135</v>
      </c>
      <c r="D78" t="s">
        <v>799</v>
      </c>
      <c r="E78">
        <v>1</v>
      </c>
      <c r="F78" s="56">
        <v>35000</v>
      </c>
      <c r="G78" s="56">
        <v>35000</v>
      </c>
      <c r="H78" t="s">
        <v>879</v>
      </c>
      <c r="I78" s="56">
        <v>7000</v>
      </c>
      <c r="J78" s="56">
        <v>15000</v>
      </c>
      <c r="K78" s="56">
        <v>43000</v>
      </c>
      <c r="L78" t="s">
        <v>889</v>
      </c>
      <c r="M78" t="s">
        <v>874</v>
      </c>
      <c r="N78" t="s">
        <v>890</v>
      </c>
      <c r="O78" s="57">
        <v>45809</v>
      </c>
      <c r="P78" t="s">
        <v>892</v>
      </c>
      <c r="Q78" s="56">
        <v>28000</v>
      </c>
      <c r="R78" t="s">
        <v>800</v>
      </c>
      <c r="S78" t="s">
        <v>731</v>
      </c>
      <c r="T78" t="s">
        <v>732</v>
      </c>
      <c r="U78" t="s">
        <v>136</v>
      </c>
      <c r="V78" t="s">
        <v>23</v>
      </c>
      <c r="W78" t="s">
        <v>137</v>
      </c>
      <c r="X78" t="s">
        <v>24</v>
      </c>
      <c r="Y78" s="56">
        <f>IF(clean[[#This Row],[is_delivered]]="Yes",clean[[#This Row],[net_sales]],0 )</f>
        <v>0</v>
      </c>
    </row>
    <row r="79" spans="1:25">
      <c r="A79" t="s">
        <v>1739</v>
      </c>
      <c r="B79" s="9">
        <v>45828</v>
      </c>
      <c r="C79" t="s">
        <v>610</v>
      </c>
      <c r="D79" t="s">
        <v>833</v>
      </c>
      <c r="E79">
        <v>2</v>
      </c>
      <c r="F79" s="56">
        <v>200000</v>
      </c>
      <c r="G79" s="56">
        <v>400000</v>
      </c>
      <c r="H79" t="s">
        <v>886</v>
      </c>
      <c r="I79" s="56">
        <v>40000</v>
      </c>
      <c r="J79" s="56">
        <v>15000</v>
      </c>
      <c r="K79" s="56">
        <v>375000</v>
      </c>
      <c r="L79" t="s">
        <v>884</v>
      </c>
      <c r="M79" t="s">
        <v>881</v>
      </c>
      <c r="N79" t="s">
        <v>875</v>
      </c>
      <c r="O79" s="57">
        <v>45809</v>
      </c>
      <c r="P79" t="s">
        <v>877</v>
      </c>
      <c r="Q79" s="56">
        <v>360000</v>
      </c>
      <c r="R79" t="s">
        <v>834</v>
      </c>
      <c r="S79" t="s">
        <v>727</v>
      </c>
      <c r="T79" t="s">
        <v>728</v>
      </c>
      <c r="U79" t="s">
        <v>611</v>
      </c>
      <c r="V79" t="s">
        <v>7</v>
      </c>
      <c r="W79" t="s">
        <v>29</v>
      </c>
      <c r="X79" t="s">
        <v>9</v>
      </c>
      <c r="Y79" s="56">
        <f>IF(clean[[#This Row],[is_delivered]]="Yes",clean[[#This Row],[net_sales]],0 )</f>
        <v>360000</v>
      </c>
    </row>
    <row r="80" spans="1:25">
      <c r="A80" t="s">
        <v>1752</v>
      </c>
      <c r="B80" s="9">
        <v>45828</v>
      </c>
      <c r="C80" t="s">
        <v>294</v>
      </c>
      <c r="D80" t="s">
        <v>853</v>
      </c>
      <c r="E80">
        <v>1</v>
      </c>
      <c r="F80" s="56">
        <v>75000</v>
      </c>
      <c r="G80" s="56">
        <v>75000</v>
      </c>
      <c r="H80" t="s">
        <v>872</v>
      </c>
      <c r="I80" s="56">
        <v>0</v>
      </c>
      <c r="J80" s="56">
        <v>15000</v>
      </c>
      <c r="K80" s="56">
        <v>90000</v>
      </c>
      <c r="L80" t="s">
        <v>873</v>
      </c>
      <c r="M80" t="s">
        <v>903</v>
      </c>
      <c r="N80" t="s">
        <v>875</v>
      </c>
      <c r="O80" s="57">
        <v>45809</v>
      </c>
      <c r="P80" t="s">
        <v>877</v>
      </c>
      <c r="Q80" s="56">
        <v>75000</v>
      </c>
      <c r="R80" t="s">
        <v>854</v>
      </c>
      <c r="S80" t="s">
        <v>743</v>
      </c>
      <c r="T80" t="s">
        <v>744</v>
      </c>
      <c r="U80" t="s">
        <v>295</v>
      </c>
      <c r="V80" t="s">
        <v>23</v>
      </c>
      <c r="W80" t="s">
        <v>39</v>
      </c>
      <c r="X80" t="s">
        <v>9</v>
      </c>
      <c r="Y80" s="56">
        <f>IF(clean[[#This Row],[is_delivered]]="Yes",clean[[#This Row],[net_sales]],0 )</f>
        <v>75000</v>
      </c>
    </row>
    <row r="81" spans="1:25">
      <c r="A81" t="s">
        <v>928</v>
      </c>
      <c r="B81" s="9">
        <v>45827</v>
      </c>
      <c r="C81" t="s">
        <v>234</v>
      </c>
      <c r="D81" t="s">
        <v>729</v>
      </c>
      <c r="E81">
        <v>4</v>
      </c>
      <c r="F81" s="56">
        <v>100000</v>
      </c>
      <c r="G81" s="56">
        <v>400000</v>
      </c>
      <c r="H81" t="s">
        <v>883</v>
      </c>
      <c r="I81" s="56">
        <v>40000</v>
      </c>
      <c r="J81" s="56">
        <v>30000</v>
      </c>
      <c r="K81" s="56">
        <v>390000</v>
      </c>
      <c r="L81" t="s">
        <v>880</v>
      </c>
      <c r="M81" t="s">
        <v>881</v>
      </c>
      <c r="N81" t="s">
        <v>875</v>
      </c>
      <c r="O81" s="57">
        <v>45809</v>
      </c>
      <c r="P81" t="s">
        <v>877</v>
      </c>
      <c r="Q81" s="56">
        <v>360000</v>
      </c>
      <c r="R81" t="s">
        <v>730</v>
      </c>
      <c r="S81" t="s">
        <v>731</v>
      </c>
      <c r="T81" t="s">
        <v>732</v>
      </c>
      <c r="U81" t="s">
        <v>235</v>
      </c>
      <c r="V81" t="s">
        <v>7</v>
      </c>
      <c r="W81" t="s">
        <v>29</v>
      </c>
      <c r="X81" t="s">
        <v>9</v>
      </c>
      <c r="Y81" s="56">
        <f>IF(clean[[#This Row],[is_delivered]]="Yes",clean[[#This Row],[net_sales]],0 )</f>
        <v>360000</v>
      </c>
    </row>
    <row r="82" spans="1:25">
      <c r="A82" t="s">
        <v>1131</v>
      </c>
      <c r="B82" s="9">
        <v>45827</v>
      </c>
      <c r="C82" t="s">
        <v>266</v>
      </c>
      <c r="D82" t="s">
        <v>809</v>
      </c>
      <c r="E82">
        <v>1</v>
      </c>
      <c r="F82" s="56">
        <v>100000</v>
      </c>
      <c r="G82" s="56">
        <v>100000</v>
      </c>
      <c r="H82" t="s">
        <v>886</v>
      </c>
      <c r="I82" s="56">
        <v>10000</v>
      </c>
      <c r="J82" s="56">
        <v>30000</v>
      </c>
      <c r="K82" s="56">
        <v>120000</v>
      </c>
      <c r="L82" t="s">
        <v>873</v>
      </c>
      <c r="M82" t="s">
        <v>874</v>
      </c>
      <c r="N82" t="s">
        <v>911</v>
      </c>
      <c r="O82" s="57">
        <v>45809</v>
      </c>
      <c r="P82" t="s">
        <v>892</v>
      </c>
      <c r="Q82" s="56">
        <v>90000</v>
      </c>
      <c r="R82" t="s">
        <v>810</v>
      </c>
      <c r="S82" t="s">
        <v>727</v>
      </c>
      <c r="T82" t="s">
        <v>728</v>
      </c>
      <c r="U82" t="s">
        <v>267</v>
      </c>
      <c r="V82" t="s">
        <v>7</v>
      </c>
      <c r="W82" t="s">
        <v>137</v>
      </c>
      <c r="X82" t="s">
        <v>24</v>
      </c>
      <c r="Y82" s="56">
        <f>IF(clean[[#This Row],[is_delivered]]="Yes",clean[[#This Row],[net_sales]],0 )</f>
        <v>0</v>
      </c>
    </row>
    <row r="83" spans="1:25">
      <c r="A83" t="s">
        <v>1334</v>
      </c>
      <c r="B83" s="9">
        <v>45827</v>
      </c>
      <c r="C83" t="s">
        <v>688</v>
      </c>
      <c r="D83" t="s">
        <v>769</v>
      </c>
      <c r="E83">
        <v>3</v>
      </c>
      <c r="F83" s="56">
        <v>100000</v>
      </c>
      <c r="G83" s="56">
        <v>300000</v>
      </c>
      <c r="H83" t="s">
        <v>872</v>
      </c>
      <c r="I83" s="56">
        <v>0</v>
      </c>
      <c r="J83" s="56">
        <v>10000</v>
      </c>
      <c r="K83" s="56">
        <v>310000</v>
      </c>
      <c r="L83" t="s">
        <v>884</v>
      </c>
      <c r="M83" t="s">
        <v>874</v>
      </c>
      <c r="N83" t="s">
        <v>875</v>
      </c>
      <c r="O83" s="57">
        <v>45809</v>
      </c>
      <c r="P83" t="s">
        <v>877</v>
      </c>
      <c r="Q83" s="56">
        <v>300000</v>
      </c>
      <c r="R83" t="s">
        <v>770</v>
      </c>
      <c r="S83" t="s">
        <v>743</v>
      </c>
      <c r="T83" t="s">
        <v>744</v>
      </c>
      <c r="U83" t="s">
        <v>689</v>
      </c>
      <c r="V83" t="s">
        <v>7</v>
      </c>
      <c r="W83" t="s">
        <v>46</v>
      </c>
      <c r="X83" t="s">
        <v>24</v>
      </c>
      <c r="Y83" s="56">
        <f>IF(clean[[#This Row],[is_delivered]]="Yes",clean[[#This Row],[net_sales]],0 )</f>
        <v>300000</v>
      </c>
    </row>
    <row r="84" spans="1:25">
      <c r="A84" t="s">
        <v>1408</v>
      </c>
      <c r="B84" s="9">
        <v>45827</v>
      </c>
      <c r="C84" t="s">
        <v>83</v>
      </c>
      <c r="D84" t="s">
        <v>755</v>
      </c>
      <c r="E84">
        <v>2</v>
      </c>
      <c r="F84" s="56">
        <v>50000</v>
      </c>
      <c r="G84" s="56">
        <v>100000</v>
      </c>
      <c r="H84" t="s">
        <v>879</v>
      </c>
      <c r="I84" s="56">
        <v>20000</v>
      </c>
      <c r="J84" s="56">
        <v>30000</v>
      </c>
      <c r="K84" s="56">
        <v>110000</v>
      </c>
      <c r="L84" t="s">
        <v>873</v>
      </c>
      <c r="M84" t="s">
        <v>881</v>
      </c>
      <c r="N84" t="s">
        <v>890</v>
      </c>
      <c r="O84" s="57">
        <v>45809</v>
      </c>
      <c r="P84" t="s">
        <v>892</v>
      </c>
      <c r="Q84" s="56">
        <v>80000</v>
      </c>
      <c r="R84" t="s">
        <v>756</v>
      </c>
      <c r="S84" t="s">
        <v>739</v>
      </c>
      <c r="T84" t="s">
        <v>740</v>
      </c>
      <c r="U84" t="s">
        <v>84</v>
      </c>
      <c r="V84" t="s">
        <v>23</v>
      </c>
      <c r="W84" t="s">
        <v>46</v>
      </c>
      <c r="X84" t="s">
        <v>15</v>
      </c>
      <c r="Y84" s="56">
        <f>IF(clean[[#This Row],[is_delivered]]="Yes",clean[[#This Row],[net_sales]],0 )</f>
        <v>0</v>
      </c>
    </row>
    <row r="85" spans="1:25">
      <c r="A85" t="s">
        <v>1471</v>
      </c>
      <c r="B85" s="9">
        <v>45827</v>
      </c>
      <c r="C85" t="s">
        <v>176</v>
      </c>
      <c r="D85" t="s">
        <v>771</v>
      </c>
      <c r="E85">
        <v>4</v>
      </c>
      <c r="F85" s="56">
        <v>500000</v>
      </c>
      <c r="G85" s="56">
        <v>2000000</v>
      </c>
      <c r="H85" t="s">
        <v>886</v>
      </c>
      <c r="I85" s="56">
        <v>200000</v>
      </c>
      <c r="J85" s="56">
        <v>20000</v>
      </c>
      <c r="K85" s="56">
        <v>1820000</v>
      </c>
      <c r="L85" t="s">
        <v>889</v>
      </c>
      <c r="M85" t="s">
        <v>903</v>
      </c>
      <c r="N85" t="s">
        <v>875</v>
      </c>
      <c r="O85" s="57">
        <v>45809</v>
      </c>
      <c r="P85" t="s">
        <v>877</v>
      </c>
      <c r="Q85" s="56">
        <v>1800000</v>
      </c>
      <c r="R85" t="s">
        <v>772</v>
      </c>
      <c r="S85" t="s">
        <v>747</v>
      </c>
      <c r="T85" t="s">
        <v>748</v>
      </c>
      <c r="U85" t="s">
        <v>177</v>
      </c>
      <c r="V85" t="s">
        <v>7</v>
      </c>
      <c r="W85" t="s">
        <v>56</v>
      </c>
      <c r="X85" t="s">
        <v>9</v>
      </c>
      <c r="Y85" s="56">
        <f>IF(clean[[#This Row],[is_delivered]]="Yes",clean[[#This Row],[net_sales]],0 )</f>
        <v>1800000</v>
      </c>
    </row>
    <row r="86" spans="1:25">
      <c r="A86" t="s">
        <v>1488</v>
      </c>
      <c r="B86" s="9">
        <v>45827</v>
      </c>
      <c r="C86" t="s">
        <v>632</v>
      </c>
      <c r="D86" t="s">
        <v>759</v>
      </c>
      <c r="E86">
        <v>1</v>
      </c>
      <c r="F86" s="56">
        <v>300000</v>
      </c>
      <c r="G86" s="56">
        <v>300000</v>
      </c>
      <c r="H86" t="s">
        <v>872</v>
      </c>
      <c r="I86" s="56">
        <v>0</v>
      </c>
      <c r="J86" s="56">
        <v>20000</v>
      </c>
      <c r="K86" s="56">
        <v>320000</v>
      </c>
      <c r="L86" t="s">
        <v>873</v>
      </c>
      <c r="M86" t="s">
        <v>874</v>
      </c>
      <c r="N86" t="s">
        <v>875</v>
      </c>
      <c r="O86" s="57">
        <v>45809</v>
      </c>
      <c r="P86" t="s">
        <v>877</v>
      </c>
      <c r="Q86" s="56">
        <v>300000</v>
      </c>
      <c r="R86" t="s">
        <v>760</v>
      </c>
      <c r="S86" t="s">
        <v>747</v>
      </c>
      <c r="T86" t="s">
        <v>748</v>
      </c>
      <c r="U86" t="s">
        <v>633</v>
      </c>
      <c r="V86" t="s">
        <v>23</v>
      </c>
      <c r="W86" t="s">
        <v>29</v>
      </c>
      <c r="X86" t="s">
        <v>9</v>
      </c>
      <c r="Y86" s="56">
        <f>IF(clean[[#This Row],[is_delivered]]="Yes",clean[[#This Row],[net_sales]],0 )</f>
        <v>300000</v>
      </c>
    </row>
    <row r="87" spans="1:25">
      <c r="A87" t="s">
        <v>1224</v>
      </c>
      <c r="B87" s="9">
        <v>45826</v>
      </c>
      <c r="C87" t="s">
        <v>456</v>
      </c>
      <c r="D87" t="s">
        <v>833</v>
      </c>
      <c r="E87">
        <v>2</v>
      </c>
      <c r="F87" s="56">
        <v>200000</v>
      </c>
      <c r="G87" s="56">
        <v>400000</v>
      </c>
      <c r="H87" t="s">
        <v>886</v>
      </c>
      <c r="I87" s="56">
        <v>40000</v>
      </c>
      <c r="J87" s="56">
        <v>15000</v>
      </c>
      <c r="K87" s="56">
        <v>375000</v>
      </c>
      <c r="L87" t="s">
        <v>873</v>
      </c>
      <c r="M87" t="s">
        <v>903</v>
      </c>
      <c r="N87" t="s">
        <v>875</v>
      </c>
      <c r="O87" s="57">
        <v>45809</v>
      </c>
      <c r="P87" t="s">
        <v>877</v>
      </c>
      <c r="Q87" s="56">
        <v>360000</v>
      </c>
      <c r="R87" t="s">
        <v>834</v>
      </c>
      <c r="S87" t="s">
        <v>727</v>
      </c>
      <c r="T87" t="s">
        <v>728</v>
      </c>
      <c r="U87" t="s">
        <v>457</v>
      </c>
      <c r="V87" t="s">
        <v>7</v>
      </c>
      <c r="W87" t="s">
        <v>46</v>
      </c>
      <c r="X87" t="s">
        <v>9</v>
      </c>
      <c r="Y87" s="56">
        <f>IF(clean[[#This Row],[is_delivered]]="Yes",clean[[#This Row],[net_sales]],0 )</f>
        <v>360000</v>
      </c>
    </row>
    <row r="88" spans="1:25">
      <c r="A88" t="s">
        <v>1076</v>
      </c>
      <c r="B88" s="9">
        <v>45826</v>
      </c>
      <c r="C88" t="s">
        <v>190</v>
      </c>
      <c r="D88" t="s">
        <v>833</v>
      </c>
      <c r="E88">
        <v>1</v>
      </c>
      <c r="F88" s="56">
        <v>200000</v>
      </c>
      <c r="G88" s="56">
        <v>200000</v>
      </c>
      <c r="H88" t="s">
        <v>886</v>
      </c>
      <c r="I88" s="56">
        <v>20000</v>
      </c>
      <c r="J88" s="56">
        <v>30000</v>
      </c>
      <c r="K88" s="56">
        <v>210000</v>
      </c>
      <c r="L88" t="s">
        <v>889</v>
      </c>
      <c r="M88" t="s">
        <v>903</v>
      </c>
      <c r="N88" t="s">
        <v>875</v>
      </c>
      <c r="O88" s="57">
        <v>45809</v>
      </c>
      <c r="P88" t="s">
        <v>877</v>
      </c>
      <c r="Q88" s="56">
        <v>180000</v>
      </c>
      <c r="R88" t="s">
        <v>834</v>
      </c>
      <c r="S88" t="s">
        <v>727</v>
      </c>
      <c r="T88" t="s">
        <v>728</v>
      </c>
      <c r="U88" t="s">
        <v>191</v>
      </c>
      <c r="V88" t="s">
        <v>7</v>
      </c>
      <c r="W88" t="s">
        <v>56</v>
      </c>
      <c r="X88" t="s">
        <v>24</v>
      </c>
      <c r="Y88" s="56">
        <f>IF(clean[[#This Row],[is_delivered]]="Yes",clean[[#This Row],[net_sales]],0 )</f>
        <v>180000</v>
      </c>
    </row>
    <row r="89" spans="1:25">
      <c r="A89" t="s">
        <v>1146</v>
      </c>
      <c r="B89" s="9">
        <v>45826</v>
      </c>
      <c r="C89" t="s">
        <v>322</v>
      </c>
      <c r="D89" t="s">
        <v>805</v>
      </c>
      <c r="E89">
        <v>3</v>
      </c>
      <c r="F89" s="56">
        <v>200000</v>
      </c>
      <c r="G89" s="56">
        <v>600000</v>
      </c>
      <c r="H89" t="s">
        <v>872</v>
      </c>
      <c r="I89" s="56">
        <v>0</v>
      </c>
      <c r="J89" s="56">
        <v>15000</v>
      </c>
      <c r="K89" s="56">
        <v>615000</v>
      </c>
      <c r="L89" t="s">
        <v>889</v>
      </c>
      <c r="M89" t="s">
        <v>881</v>
      </c>
      <c r="N89" t="s">
        <v>921</v>
      </c>
      <c r="O89" s="57">
        <v>45809</v>
      </c>
      <c r="P89" t="s">
        <v>892</v>
      </c>
      <c r="Q89" s="56">
        <v>600000</v>
      </c>
      <c r="R89" t="s">
        <v>806</v>
      </c>
      <c r="S89" t="s">
        <v>743</v>
      </c>
      <c r="T89" t="s">
        <v>744</v>
      </c>
      <c r="U89" t="s">
        <v>323</v>
      </c>
      <c r="V89" t="s">
        <v>7</v>
      </c>
      <c r="W89" t="s">
        <v>8</v>
      </c>
      <c r="X89" t="s">
        <v>9</v>
      </c>
      <c r="Y89" s="56">
        <f>IF(clean[[#This Row],[is_delivered]]="Yes",clean[[#This Row],[net_sales]],0 )</f>
        <v>0</v>
      </c>
    </row>
    <row r="90" spans="1:25">
      <c r="A90" t="s">
        <v>1476</v>
      </c>
      <c r="B90" s="9">
        <v>45826</v>
      </c>
      <c r="C90" t="s">
        <v>101</v>
      </c>
      <c r="D90" t="s">
        <v>803</v>
      </c>
      <c r="E90">
        <v>1</v>
      </c>
      <c r="F90" s="56">
        <v>50000</v>
      </c>
      <c r="G90" s="56">
        <v>50000</v>
      </c>
      <c r="H90" t="s">
        <v>879</v>
      </c>
      <c r="I90" s="56">
        <v>10000</v>
      </c>
      <c r="J90" s="56">
        <v>10000</v>
      </c>
      <c r="K90" s="56">
        <v>50000</v>
      </c>
      <c r="L90" t="s">
        <v>889</v>
      </c>
      <c r="M90" t="s">
        <v>881</v>
      </c>
      <c r="N90" t="s">
        <v>921</v>
      </c>
      <c r="O90" s="57">
        <v>45809</v>
      </c>
      <c r="P90" t="s">
        <v>892</v>
      </c>
      <c r="Q90" s="56">
        <v>40000</v>
      </c>
      <c r="R90" t="s">
        <v>804</v>
      </c>
      <c r="S90" t="s">
        <v>739</v>
      </c>
      <c r="T90" t="s">
        <v>740</v>
      </c>
      <c r="U90" t="s">
        <v>102</v>
      </c>
      <c r="V90" t="s">
        <v>23</v>
      </c>
      <c r="W90" t="s">
        <v>46</v>
      </c>
      <c r="X90" t="s">
        <v>9</v>
      </c>
      <c r="Y90" s="56">
        <f>IF(clean[[#This Row],[is_delivered]]="Yes",clean[[#This Row],[net_sales]],0 )</f>
        <v>0</v>
      </c>
    </row>
    <row r="91" spans="1:25">
      <c r="A91" t="s">
        <v>1658</v>
      </c>
      <c r="B91" s="9">
        <v>45826</v>
      </c>
      <c r="C91" t="s">
        <v>678</v>
      </c>
      <c r="D91" t="s">
        <v>783</v>
      </c>
      <c r="E91">
        <v>1</v>
      </c>
      <c r="F91" s="56">
        <v>500000</v>
      </c>
      <c r="G91" s="56">
        <v>500000</v>
      </c>
      <c r="H91" t="s">
        <v>872</v>
      </c>
      <c r="I91" s="56">
        <v>0</v>
      </c>
      <c r="J91" s="56">
        <v>20000</v>
      </c>
      <c r="K91" s="56">
        <v>520000</v>
      </c>
      <c r="L91" t="s">
        <v>880</v>
      </c>
      <c r="M91" t="s">
        <v>903</v>
      </c>
      <c r="N91" t="s">
        <v>875</v>
      </c>
      <c r="O91" s="57">
        <v>45809</v>
      </c>
      <c r="P91" t="s">
        <v>877</v>
      </c>
      <c r="Q91" s="56">
        <v>500000</v>
      </c>
      <c r="R91" t="s">
        <v>784</v>
      </c>
      <c r="S91" t="s">
        <v>747</v>
      </c>
      <c r="T91" t="s">
        <v>748</v>
      </c>
      <c r="U91" t="s">
        <v>679</v>
      </c>
      <c r="V91" t="s">
        <v>7</v>
      </c>
      <c r="W91" t="s">
        <v>46</v>
      </c>
      <c r="X91" t="s">
        <v>9</v>
      </c>
      <c r="Y91" s="56">
        <f>IF(clean[[#This Row],[is_delivered]]="Yes",clean[[#This Row],[net_sales]],0 )</f>
        <v>500000</v>
      </c>
    </row>
    <row r="92" spans="1:25">
      <c r="A92" t="s">
        <v>2023</v>
      </c>
      <c r="B92" s="9">
        <v>45826</v>
      </c>
      <c r="C92" t="s">
        <v>604</v>
      </c>
      <c r="D92" t="s">
        <v>849</v>
      </c>
      <c r="E92">
        <v>1</v>
      </c>
      <c r="F92" s="56">
        <v>500000</v>
      </c>
      <c r="G92" s="56">
        <v>500000</v>
      </c>
      <c r="H92" t="s">
        <v>879</v>
      </c>
      <c r="I92" s="56">
        <v>100000</v>
      </c>
      <c r="J92" s="56">
        <v>15000</v>
      </c>
      <c r="K92" s="56">
        <v>415000</v>
      </c>
      <c r="L92" t="s">
        <v>889</v>
      </c>
      <c r="M92" t="s">
        <v>874</v>
      </c>
      <c r="N92" t="s">
        <v>875</v>
      </c>
      <c r="O92" s="57">
        <v>45809</v>
      </c>
      <c r="P92" t="s">
        <v>877</v>
      </c>
      <c r="Q92" s="56">
        <v>400000</v>
      </c>
      <c r="R92" t="s">
        <v>850</v>
      </c>
      <c r="S92" t="s">
        <v>735</v>
      </c>
      <c r="T92" t="s">
        <v>736</v>
      </c>
      <c r="U92" t="s">
        <v>605</v>
      </c>
      <c r="V92" t="s">
        <v>7</v>
      </c>
      <c r="W92" t="s">
        <v>20</v>
      </c>
      <c r="X92" t="s">
        <v>24</v>
      </c>
      <c r="Y92" s="56">
        <f>IF(clean[[#This Row],[is_delivered]]="Yes",clean[[#This Row],[net_sales]],0 )</f>
        <v>400000</v>
      </c>
    </row>
    <row r="93" spans="1:25">
      <c r="A93" t="s">
        <v>1101</v>
      </c>
      <c r="B93" s="9">
        <v>45825</v>
      </c>
      <c r="C93" t="s">
        <v>590</v>
      </c>
      <c r="D93" t="s">
        <v>753</v>
      </c>
      <c r="E93">
        <v>1</v>
      </c>
      <c r="F93" s="56">
        <v>300000</v>
      </c>
      <c r="G93" s="56">
        <v>300000</v>
      </c>
      <c r="H93" t="s">
        <v>872</v>
      </c>
      <c r="I93" s="56">
        <v>0</v>
      </c>
      <c r="J93" s="56">
        <v>10000</v>
      </c>
      <c r="K93" s="56">
        <v>310000</v>
      </c>
      <c r="L93" t="s">
        <v>884</v>
      </c>
      <c r="M93" t="s">
        <v>881</v>
      </c>
      <c r="N93" t="s">
        <v>875</v>
      </c>
      <c r="O93" s="57">
        <v>45809</v>
      </c>
      <c r="P93" t="s">
        <v>877</v>
      </c>
      <c r="Q93" s="56">
        <v>300000</v>
      </c>
      <c r="R93" t="s">
        <v>754</v>
      </c>
      <c r="S93" t="s">
        <v>735</v>
      </c>
      <c r="T93" t="s">
        <v>736</v>
      </c>
      <c r="U93" t="s">
        <v>591</v>
      </c>
      <c r="V93" t="s">
        <v>7</v>
      </c>
      <c r="W93" t="s">
        <v>29</v>
      </c>
      <c r="X93" t="s">
        <v>24</v>
      </c>
      <c r="Y93" s="56">
        <f>IF(clean[[#This Row],[is_delivered]]="Yes",clean[[#This Row],[net_sales]],0 )</f>
        <v>300000</v>
      </c>
    </row>
    <row r="94" spans="1:25">
      <c r="A94" t="s">
        <v>1299</v>
      </c>
      <c r="B94" s="9">
        <v>45825</v>
      </c>
      <c r="C94" t="s">
        <v>230</v>
      </c>
      <c r="D94" t="s">
        <v>765</v>
      </c>
      <c r="E94">
        <v>4</v>
      </c>
      <c r="F94" s="56">
        <v>500000</v>
      </c>
      <c r="G94" s="56">
        <v>2000000</v>
      </c>
      <c r="H94" t="s">
        <v>895</v>
      </c>
      <c r="I94" s="56">
        <v>300000</v>
      </c>
      <c r="J94" s="56">
        <v>25000</v>
      </c>
      <c r="K94" s="56">
        <v>1725000</v>
      </c>
      <c r="L94" t="s">
        <v>880</v>
      </c>
      <c r="M94" t="s">
        <v>901</v>
      </c>
      <c r="N94" t="s">
        <v>875</v>
      </c>
      <c r="O94" s="57">
        <v>45809</v>
      </c>
      <c r="P94" t="s">
        <v>877</v>
      </c>
      <c r="Q94" s="56">
        <v>1700000</v>
      </c>
      <c r="R94" t="s">
        <v>766</v>
      </c>
      <c r="S94" t="s">
        <v>735</v>
      </c>
      <c r="T94" t="s">
        <v>736</v>
      </c>
      <c r="U94" t="s">
        <v>231</v>
      </c>
      <c r="V94" t="s">
        <v>7</v>
      </c>
      <c r="W94" t="s">
        <v>36</v>
      </c>
      <c r="X94" t="s">
        <v>24</v>
      </c>
      <c r="Y94" s="56">
        <f>IF(clean[[#This Row],[is_delivered]]="Yes",clean[[#This Row],[net_sales]],0 )</f>
        <v>1700000</v>
      </c>
    </row>
    <row r="95" spans="1:25">
      <c r="A95" t="s">
        <v>1428</v>
      </c>
      <c r="B95" s="9">
        <v>45825</v>
      </c>
      <c r="C95" t="s">
        <v>178</v>
      </c>
      <c r="D95" t="s">
        <v>811</v>
      </c>
      <c r="E95">
        <v>2</v>
      </c>
      <c r="F95" s="56">
        <v>35000</v>
      </c>
      <c r="G95" s="56">
        <v>70000</v>
      </c>
      <c r="H95" t="s">
        <v>872</v>
      </c>
      <c r="I95" s="56">
        <v>0</v>
      </c>
      <c r="J95" s="56">
        <v>20000</v>
      </c>
      <c r="K95" s="56">
        <v>90000</v>
      </c>
      <c r="L95" t="s">
        <v>884</v>
      </c>
      <c r="M95" t="s">
        <v>903</v>
      </c>
      <c r="N95" t="s">
        <v>875</v>
      </c>
      <c r="O95" s="57">
        <v>45809</v>
      </c>
      <c r="P95" t="s">
        <v>877</v>
      </c>
      <c r="Q95" s="56">
        <v>70000</v>
      </c>
      <c r="R95" t="s">
        <v>812</v>
      </c>
      <c r="S95" t="s">
        <v>731</v>
      </c>
      <c r="T95" t="s">
        <v>732</v>
      </c>
      <c r="U95" t="s">
        <v>179</v>
      </c>
      <c r="V95" t="s">
        <v>7</v>
      </c>
      <c r="W95" t="s">
        <v>137</v>
      </c>
      <c r="X95" t="s">
        <v>24</v>
      </c>
      <c r="Y95" s="56">
        <f>IF(clean[[#This Row],[is_delivered]]="Yes",clean[[#This Row],[net_sales]],0 )</f>
        <v>70000</v>
      </c>
    </row>
    <row r="96" spans="1:25">
      <c r="A96" t="s">
        <v>1755</v>
      </c>
      <c r="B96" s="9">
        <v>45825</v>
      </c>
      <c r="C96" t="s">
        <v>107</v>
      </c>
      <c r="D96" t="s">
        <v>737</v>
      </c>
      <c r="E96">
        <v>1</v>
      </c>
      <c r="F96" s="56">
        <v>300000</v>
      </c>
      <c r="G96" s="56">
        <v>300000</v>
      </c>
      <c r="H96" t="s">
        <v>872</v>
      </c>
      <c r="I96" s="56">
        <v>0</v>
      </c>
      <c r="J96" s="56">
        <v>10000</v>
      </c>
      <c r="K96" s="56">
        <v>310000</v>
      </c>
      <c r="L96" t="s">
        <v>873</v>
      </c>
      <c r="M96" t="s">
        <v>874</v>
      </c>
      <c r="N96" t="s">
        <v>875</v>
      </c>
      <c r="O96" s="57">
        <v>45809</v>
      </c>
      <c r="P96" t="s">
        <v>877</v>
      </c>
      <c r="Q96" s="56">
        <v>300000</v>
      </c>
      <c r="R96" t="s">
        <v>738</v>
      </c>
      <c r="S96" t="s">
        <v>739</v>
      </c>
      <c r="T96" t="s">
        <v>740</v>
      </c>
      <c r="U96" t="s">
        <v>108</v>
      </c>
      <c r="V96" t="s">
        <v>23</v>
      </c>
      <c r="W96" t="s">
        <v>12</v>
      </c>
      <c r="X96" t="s">
        <v>24</v>
      </c>
      <c r="Y96" s="56">
        <f>IF(clean[[#This Row],[is_delivered]]="Yes",clean[[#This Row],[net_sales]],0 )</f>
        <v>300000</v>
      </c>
    </row>
    <row r="97" spans="1:25">
      <c r="A97" t="s">
        <v>1886</v>
      </c>
      <c r="B97" s="9">
        <v>45825</v>
      </c>
      <c r="C97" t="s">
        <v>694</v>
      </c>
      <c r="D97" t="s">
        <v>835</v>
      </c>
      <c r="E97">
        <v>2</v>
      </c>
      <c r="F97" s="56">
        <v>200000</v>
      </c>
      <c r="G97" s="56">
        <v>400000</v>
      </c>
      <c r="H97" t="s">
        <v>895</v>
      </c>
      <c r="I97" s="56">
        <v>60000</v>
      </c>
      <c r="J97" s="56">
        <v>10000</v>
      </c>
      <c r="K97" s="56">
        <v>350000</v>
      </c>
      <c r="L97" t="s">
        <v>880</v>
      </c>
      <c r="M97" t="s">
        <v>901</v>
      </c>
      <c r="N97" t="s">
        <v>875</v>
      </c>
      <c r="O97" s="57">
        <v>45809</v>
      </c>
      <c r="P97" t="s">
        <v>877</v>
      </c>
      <c r="Q97" s="56">
        <v>340000</v>
      </c>
      <c r="R97" t="s">
        <v>836</v>
      </c>
      <c r="S97" t="s">
        <v>731</v>
      </c>
      <c r="T97" t="s">
        <v>732</v>
      </c>
      <c r="U97" t="s">
        <v>695</v>
      </c>
      <c r="V97" t="s">
        <v>23</v>
      </c>
      <c r="W97" t="s">
        <v>8</v>
      </c>
      <c r="X97" t="s">
        <v>9</v>
      </c>
      <c r="Y97" s="56">
        <f>IF(clean[[#This Row],[is_delivered]]="Yes",clean[[#This Row],[net_sales]],0 )</f>
        <v>340000</v>
      </c>
    </row>
    <row r="98" spans="1:25">
      <c r="A98" t="s">
        <v>2092</v>
      </c>
      <c r="B98" s="9">
        <v>45825</v>
      </c>
      <c r="C98" t="s">
        <v>378</v>
      </c>
      <c r="D98" t="s">
        <v>851</v>
      </c>
      <c r="E98">
        <v>2</v>
      </c>
      <c r="F98" s="56">
        <v>35000</v>
      </c>
      <c r="G98" s="56">
        <v>70000</v>
      </c>
      <c r="H98" t="s">
        <v>872</v>
      </c>
      <c r="I98" s="56">
        <v>0</v>
      </c>
      <c r="J98" s="56">
        <v>15000</v>
      </c>
      <c r="K98" s="56">
        <v>85000</v>
      </c>
      <c r="L98" t="s">
        <v>884</v>
      </c>
      <c r="M98" t="s">
        <v>901</v>
      </c>
      <c r="N98" t="s">
        <v>875</v>
      </c>
      <c r="O98" s="57">
        <v>45809</v>
      </c>
      <c r="P98" t="s">
        <v>877</v>
      </c>
      <c r="Q98" s="56">
        <v>70000</v>
      </c>
      <c r="R98" t="s">
        <v>852</v>
      </c>
      <c r="S98" t="s">
        <v>739</v>
      </c>
      <c r="T98" t="s">
        <v>740</v>
      </c>
      <c r="U98" t="s">
        <v>379</v>
      </c>
      <c r="V98" t="s">
        <v>23</v>
      </c>
      <c r="W98" t="s">
        <v>137</v>
      </c>
      <c r="X98" t="s">
        <v>9</v>
      </c>
      <c r="Y98" s="56">
        <f>IF(clean[[#This Row],[is_delivered]]="Yes",clean[[#This Row],[net_sales]],0 )</f>
        <v>70000</v>
      </c>
    </row>
    <row r="99" spans="1:25">
      <c r="A99" t="s">
        <v>1345</v>
      </c>
      <c r="B99" s="9">
        <v>45824</v>
      </c>
      <c r="C99" t="s">
        <v>138</v>
      </c>
      <c r="D99" t="s">
        <v>803</v>
      </c>
      <c r="E99">
        <v>1</v>
      </c>
      <c r="F99" s="56">
        <v>50000</v>
      </c>
      <c r="G99" s="56">
        <v>50000</v>
      </c>
      <c r="H99" t="s">
        <v>886</v>
      </c>
      <c r="I99" s="56">
        <v>5000</v>
      </c>
      <c r="J99" s="56">
        <v>15000</v>
      </c>
      <c r="K99" s="56">
        <v>60000</v>
      </c>
      <c r="L99" t="s">
        <v>873</v>
      </c>
      <c r="M99" t="s">
        <v>903</v>
      </c>
      <c r="N99" t="s">
        <v>911</v>
      </c>
      <c r="O99" s="57">
        <v>45809</v>
      </c>
      <c r="P99" t="s">
        <v>892</v>
      </c>
      <c r="Q99" s="56">
        <v>45000</v>
      </c>
      <c r="R99" t="s">
        <v>804</v>
      </c>
      <c r="S99" t="s">
        <v>739</v>
      </c>
      <c r="T99" t="s">
        <v>740</v>
      </c>
      <c r="U99" t="s">
        <v>139</v>
      </c>
      <c r="V99" t="s">
        <v>7</v>
      </c>
      <c r="W99" t="s">
        <v>29</v>
      </c>
      <c r="X99" t="s">
        <v>9</v>
      </c>
      <c r="Y99" s="56">
        <f>IF(clean[[#This Row],[is_delivered]]="Yes",clean[[#This Row],[net_sales]],0 )</f>
        <v>0</v>
      </c>
    </row>
    <row r="100" spans="1:25">
      <c r="A100" t="s">
        <v>1564</v>
      </c>
      <c r="B100" s="9">
        <v>45824</v>
      </c>
      <c r="C100" t="s">
        <v>182</v>
      </c>
      <c r="D100" t="s">
        <v>823</v>
      </c>
      <c r="E100">
        <v>3</v>
      </c>
      <c r="F100" s="56">
        <v>500000</v>
      </c>
      <c r="G100" s="56">
        <v>1500000</v>
      </c>
      <c r="H100" t="s">
        <v>872</v>
      </c>
      <c r="I100" s="56">
        <v>0</v>
      </c>
      <c r="J100" s="56">
        <v>20000</v>
      </c>
      <c r="K100" s="56">
        <v>1520000</v>
      </c>
      <c r="L100" t="s">
        <v>873</v>
      </c>
      <c r="M100" t="s">
        <v>874</v>
      </c>
      <c r="N100" t="s">
        <v>911</v>
      </c>
      <c r="O100" s="57">
        <v>45809</v>
      </c>
      <c r="P100" t="s">
        <v>892</v>
      </c>
      <c r="Q100" s="56">
        <v>1500000</v>
      </c>
      <c r="R100" t="s">
        <v>824</v>
      </c>
      <c r="S100" t="s">
        <v>731</v>
      </c>
      <c r="T100" t="s">
        <v>732</v>
      </c>
      <c r="U100" t="s">
        <v>183</v>
      </c>
      <c r="V100" t="s">
        <v>7</v>
      </c>
      <c r="W100" t="s">
        <v>20</v>
      </c>
      <c r="X100" t="s">
        <v>9</v>
      </c>
      <c r="Y100" s="56">
        <f>IF(clean[[#This Row],[is_delivered]]="Yes",clean[[#This Row],[net_sales]],0 )</f>
        <v>0</v>
      </c>
    </row>
    <row r="101" spans="1:25">
      <c r="A101" t="s">
        <v>1566</v>
      </c>
      <c r="B101" s="9">
        <v>45824</v>
      </c>
      <c r="C101" t="s">
        <v>426</v>
      </c>
      <c r="D101" t="s">
        <v>729</v>
      </c>
      <c r="E101">
        <v>1</v>
      </c>
      <c r="F101" s="56">
        <v>100000</v>
      </c>
      <c r="G101" s="56">
        <v>100000</v>
      </c>
      <c r="H101" t="s">
        <v>895</v>
      </c>
      <c r="I101" s="56">
        <v>15000</v>
      </c>
      <c r="J101" s="56">
        <v>25000</v>
      </c>
      <c r="K101" s="56">
        <v>110000</v>
      </c>
      <c r="L101" t="s">
        <v>884</v>
      </c>
      <c r="M101" t="s">
        <v>874</v>
      </c>
      <c r="N101" t="s">
        <v>875</v>
      </c>
      <c r="O101" s="57">
        <v>45809</v>
      </c>
      <c r="P101" t="s">
        <v>877</v>
      </c>
      <c r="Q101" s="56">
        <v>85000</v>
      </c>
      <c r="R101" t="s">
        <v>730</v>
      </c>
      <c r="S101" t="s">
        <v>731</v>
      </c>
      <c r="T101" t="s">
        <v>732</v>
      </c>
      <c r="U101" t="s">
        <v>427</v>
      </c>
      <c r="V101" t="s">
        <v>7</v>
      </c>
      <c r="W101" t="s">
        <v>20</v>
      </c>
      <c r="X101" t="s">
        <v>9</v>
      </c>
      <c r="Y101" s="56">
        <f>IF(clean[[#This Row],[is_delivered]]="Yes",clean[[#This Row],[net_sales]],0 )</f>
        <v>85000</v>
      </c>
    </row>
    <row r="102" spans="1:25">
      <c r="A102" t="s">
        <v>1637</v>
      </c>
      <c r="B102" s="9">
        <v>45824</v>
      </c>
      <c r="C102" t="s">
        <v>298</v>
      </c>
      <c r="D102" t="s">
        <v>805</v>
      </c>
      <c r="E102">
        <v>3</v>
      </c>
      <c r="F102" s="56">
        <v>200000</v>
      </c>
      <c r="G102" s="56">
        <v>600000</v>
      </c>
      <c r="H102" t="s">
        <v>872</v>
      </c>
      <c r="I102" s="56">
        <v>0</v>
      </c>
      <c r="J102" s="56">
        <v>10000</v>
      </c>
      <c r="K102" s="56">
        <v>610000</v>
      </c>
      <c r="L102" t="s">
        <v>889</v>
      </c>
      <c r="M102" t="s">
        <v>881</v>
      </c>
      <c r="N102" t="s">
        <v>875</v>
      </c>
      <c r="O102" s="57">
        <v>45809</v>
      </c>
      <c r="P102" t="s">
        <v>877</v>
      </c>
      <c r="Q102" s="56">
        <v>600000</v>
      </c>
      <c r="R102" t="s">
        <v>806</v>
      </c>
      <c r="S102" t="s">
        <v>743</v>
      </c>
      <c r="T102" t="s">
        <v>744</v>
      </c>
      <c r="U102" t="s">
        <v>299</v>
      </c>
      <c r="V102" t="s">
        <v>7</v>
      </c>
      <c r="W102" t="s">
        <v>137</v>
      </c>
      <c r="X102" t="s">
        <v>9</v>
      </c>
      <c r="Y102" s="56">
        <f>IF(clean[[#This Row],[is_delivered]]="Yes",clean[[#This Row],[net_sales]],0 )</f>
        <v>600000</v>
      </c>
    </row>
    <row r="103" spans="1:25">
      <c r="A103" t="s">
        <v>1685</v>
      </c>
      <c r="B103" s="9">
        <v>45824</v>
      </c>
      <c r="C103" t="s">
        <v>398</v>
      </c>
      <c r="D103" t="s">
        <v>813</v>
      </c>
      <c r="E103">
        <v>2</v>
      </c>
      <c r="F103" s="56">
        <v>35000</v>
      </c>
      <c r="G103" s="56">
        <v>70000</v>
      </c>
      <c r="H103" t="s">
        <v>879</v>
      </c>
      <c r="I103" s="56">
        <v>14000</v>
      </c>
      <c r="J103" s="56">
        <v>15000</v>
      </c>
      <c r="K103" s="56">
        <v>71000</v>
      </c>
      <c r="L103" t="s">
        <v>889</v>
      </c>
      <c r="M103" t="s">
        <v>903</v>
      </c>
      <c r="N103" t="s">
        <v>875</v>
      </c>
      <c r="O103" s="57">
        <v>45809</v>
      </c>
      <c r="P103" t="s">
        <v>877</v>
      </c>
      <c r="Q103" s="56">
        <v>56000</v>
      </c>
      <c r="R103" t="s">
        <v>814</v>
      </c>
      <c r="S103" t="s">
        <v>735</v>
      </c>
      <c r="T103" t="s">
        <v>736</v>
      </c>
      <c r="U103" t="s">
        <v>399</v>
      </c>
      <c r="V103" t="s">
        <v>7</v>
      </c>
      <c r="W103" t="s">
        <v>51</v>
      </c>
      <c r="X103" t="s">
        <v>15</v>
      </c>
      <c r="Y103" s="56">
        <f>IF(clean[[#This Row],[is_delivered]]="Yes",clean[[#This Row],[net_sales]],0 )</f>
        <v>56000</v>
      </c>
    </row>
    <row r="104" spans="1:25">
      <c r="A104" t="s">
        <v>1712</v>
      </c>
      <c r="B104" s="9">
        <v>45824</v>
      </c>
      <c r="C104" t="s">
        <v>370</v>
      </c>
      <c r="D104" t="s">
        <v>759</v>
      </c>
      <c r="E104">
        <v>1</v>
      </c>
      <c r="F104" s="56">
        <v>300000</v>
      </c>
      <c r="G104" s="56">
        <v>300000</v>
      </c>
      <c r="H104" t="s">
        <v>879</v>
      </c>
      <c r="I104" s="56">
        <v>60000</v>
      </c>
      <c r="J104" s="56">
        <v>20000</v>
      </c>
      <c r="K104" s="56">
        <v>260000</v>
      </c>
      <c r="L104" t="s">
        <v>873</v>
      </c>
      <c r="M104" t="s">
        <v>903</v>
      </c>
      <c r="N104" t="s">
        <v>890</v>
      </c>
      <c r="O104" s="57">
        <v>45809</v>
      </c>
      <c r="P104" t="s">
        <v>892</v>
      </c>
      <c r="Q104" s="56">
        <v>240000</v>
      </c>
      <c r="R104" t="s">
        <v>760</v>
      </c>
      <c r="S104" t="s">
        <v>747</v>
      </c>
      <c r="T104" t="s">
        <v>748</v>
      </c>
      <c r="U104" t="s">
        <v>371</v>
      </c>
      <c r="V104" t="s">
        <v>23</v>
      </c>
      <c r="W104" t="s">
        <v>36</v>
      </c>
      <c r="X104" t="s">
        <v>15</v>
      </c>
      <c r="Y104" s="56">
        <f>IF(clean[[#This Row],[is_delivered]]="Yes",clean[[#This Row],[net_sales]],0 )</f>
        <v>0</v>
      </c>
    </row>
    <row r="105" spans="1:25">
      <c r="A105" t="s">
        <v>1877</v>
      </c>
      <c r="B105" s="9">
        <v>45824</v>
      </c>
      <c r="C105" t="s">
        <v>162</v>
      </c>
      <c r="D105" t="s">
        <v>819</v>
      </c>
      <c r="E105">
        <v>2</v>
      </c>
      <c r="F105" s="56">
        <v>300000</v>
      </c>
      <c r="G105" s="56">
        <v>600000</v>
      </c>
      <c r="H105" t="s">
        <v>895</v>
      </c>
      <c r="I105" s="56">
        <v>90000</v>
      </c>
      <c r="J105" s="56">
        <v>25000</v>
      </c>
      <c r="K105" s="56">
        <v>535000</v>
      </c>
      <c r="L105" t="s">
        <v>889</v>
      </c>
      <c r="M105" t="s">
        <v>903</v>
      </c>
      <c r="N105" t="s">
        <v>875</v>
      </c>
      <c r="O105" s="57">
        <v>45809</v>
      </c>
      <c r="P105" t="s">
        <v>877</v>
      </c>
      <c r="Q105" s="56">
        <v>510000</v>
      </c>
      <c r="R105" t="s">
        <v>820</v>
      </c>
      <c r="S105" t="s">
        <v>747</v>
      </c>
      <c r="T105" t="s">
        <v>748</v>
      </c>
      <c r="U105" t="s">
        <v>163</v>
      </c>
      <c r="V105" t="s">
        <v>7</v>
      </c>
      <c r="W105" t="s">
        <v>39</v>
      </c>
      <c r="X105" t="s">
        <v>9</v>
      </c>
      <c r="Y105" s="56">
        <f>IF(clean[[#This Row],[is_delivered]]="Yes",clean[[#This Row],[net_sales]],0 )</f>
        <v>510000</v>
      </c>
    </row>
    <row r="106" spans="1:25">
      <c r="A106" t="s">
        <v>1242</v>
      </c>
      <c r="B106" s="9">
        <v>45823</v>
      </c>
      <c r="C106" t="s">
        <v>502</v>
      </c>
      <c r="D106" t="s">
        <v>849</v>
      </c>
      <c r="E106">
        <v>1</v>
      </c>
      <c r="F106" s="56">
        <v>500000</v>
      </c>
      <c r="G106" s="56">
        <v>500000</v>
      </c>
      <c r="H106" t="s">
        <v>872</v>
      </c>
      <c r="I106" s="56">
        <v>0</v>
      </c>
      <c r="J106" s="56">
        <v>15000</v>
      </c>
      <c r="K106" s="56">
        <v>515000</v>
      </c>
      <c r="L106" t="s">
        <v>889</v>
      </c>
      <c r="M106" t="s">
        <v>901</v>
      </c>
      <c r="N106" t="s">
        <v>911</v>
      </c>
      <c r="O106" s="57">
        <v>45809</v>
      </c>
      <c r="P106" t="s">
        <v>892</v>
      </c>
      <c r="Q106" s="56">
        <v>500000</v>
      </c>
      <c r="R106" t="s">
        <v>850</v>
      </c>
      <c r="S106" t="s">
        <v>735</v>
      </c>
      <c r="T106" t="s">
        <v>736</v>
      </c>
      <c r="U106" t="s">
        <v>503</v>
      </c>
      <c r="V106" t="s">
        <v>7</v>
      </c>
      <c r="W106" t="s">
        <v>56</v>
      </c>
      <c r="X106" t="s">
        <v>24</v>
      </c>
      <c r="Y106" s="56">
        <f>IF(clean[[#This Row],[is_delivered]]="Yes",clean[[#This Row],[net_sales]],0 )</f>
        <v>0</v>
      </c>
    </row>
    <row r="107" spans="1:25">
      <c r="A107" t="s">
        <v>1270</v>
      </c>
      <c r="B107" s="9">
        <v>45823</v>
      </c>
      <c r="C107" t="s">
        <v>462</v>
      </c>
      <c r="D107" t="s">
        <v>725</v>
      </c>
      <c r="E107">
        <v>3</v>
      </c>
      <c r="F107" s="56">
        <v>300000</v>
      </c>
      <c r="G107" s="56">
        <v>900000</v>
      </c>
      <c r="H107" t="s">
        <v>872</v>
      </c>
      <c r="I107" s="56">
        <v>0</v>
      </c>
      <c r="J107" s="56">
        <v>20000</v>
      </c>
      <c r="K107" s="56">
        <v>920000</v>
      </c>
      <c r="L107" t="s">
        <v>889</v>
      </c>
      <c r="M107" t="s">
        <v>903</v>
      </c>
      <c r="N107" t="s">
        <v>875</v>
      </c>
      <c r="O107" s="57">
        <v>45809</v>
      </c>
      <c r="P107" t="s">
        <v>877</v>
      </c>
      <c r="Q107" s="56">
        <v>900000</v>
      </c>
      <c r="R107" t="s">
        <v>726</v>
      </c>
      <c r="S107" t="s">
        <v>727</v>
      </c>
      <c r="T107" t="s">
        <v>728</v>
      </c>
      <c r="U107" t="s">
        <v>463</v>
      </c>
      <c r="V107" t="s">
        <v>23</v>
      </c>
      <c r="W107" t="s">
        <v>36</v>
      </c>
      <c r="X107" t="s">
        <v>24</v>
      </c>
      <c r="Y107" s="56">
        <f>IF(clean[[#This Row],[is_delivered]]="Yes",clean[[#This Row],[net_sales]],0 )</f>
        <v>900000</v>
      </c>
    </row>
    <row r="108" spans="1:25">
      <c r="A108" t="s">
        <v>1595</v>
      </c>
      <c r="B108" s="9">
        <v>45823</v>
      </c>
      <c r="C108" t="s">
        <v>198</v>
      </c>
      <c r="D108" t="s">
        <v>851</v>
      </c>
      <c r="E108">
        <v>3</v>
      </c>
      <c r="F108" s="56">
        <v>35000</v>
      </c>
      <c r="G108" s="56">
        <v>105000</v>
      </c>
      <c r="H108" t="s">
        <v>872</v>
      </c>
      <c r="I108" s="56">
        <v>0</v>
      </c>
      <c r="J108" s="56">
        <v>10000</v>
      </c>
      <c r="K108" s="56">
        <v>115000</v>
      </c>
      <c r="L108" t="s">
        <v>880</v>
      </c>
      <c r="M108" t="s">
        <v>881</v>
      </c>
      <c r="N108" t="s">
        <v>875</v>
      </c>
      <c r="O108" s="57">
        <v>45809</v>
      </c>
      <c r="P108" t="s">
        <v>877</v>
      </c>
      <c r="Q108" s="56">
        <v>105000</v>
      </c>
      <c r="R108" t="s">
        <v>852</v>
      </c>
      <c r="S108" t="s">
        <v>739</v>
      </c>
      <c r="T108" t="s">
        <v>740</v>
      </c>
      <c r="U108" t="s">
        <v>199</v>
      </c>
      <c r="V108" t="s">
        <v>23</v>
      </c>
      <c r="W108" t="s">
        <v>39</v>
      </c>
      <c r="X108" t="s">
        <v>15</v>
      </c>
      <c r="Y108" s="56">
        <f>IF(clean[[#This Row],[is_delivered]]="Yes",clean[[#This Row],[net_sales]],0 )</f>
        <v>105000</v>
      </c>
    </row>
    <row r="109" spans="1:25">
      <c r="A109" t="s">
        <v>1645</v>
      </c>
      <c r="B109" s="9">
        <v>45823</v>
      </c>
      <c r="C109" t="s">
        <v>79</v>
      </c>
      <c r="D109" t="s">
        <v>837</v>
      </c>
      <c r="E109">
        <v>1</v>
      </c>
      <c r="F109" s="56">
        <v>300000</v>
      </c>
      <c r="G109" s="56">
        <v>300000</v>
      </c>
      <c r="H109" t="s">
        <v>886</v>
      </c>
      <c r="I109" s="56">
        <v>30000</v>
      </c>
      <c r="J109" s="56">
        <v>10000</v>
      </c>
      <c r="K109" s="56">
        <v>280000</v>
      </c>
      <c r="L109" t="s">
        <v>873</v>
      </c>
      <c r="M109" t="s">
        <v>874</v>
      </c>
      <c r="N109" t="s">
        <v>921</v>
      </c>
      <c r="O109" s="57">
        <v>45809</v>
      </c>
      <c r="P109" t="s">
        <v>892</v>
      </c>
      <c r="Q109" s="56">
        <v>270000</v>
      </c>
      <c r="R109" t="s">
        <v>838</v>
      </c>
      <c r="S109" t="s">
        <v>735</v>
      </c>
      <c r="T109" t="s">
        <v>736</v>
      </c>
      <c r="U109" t="s">
        <v>80</v>
      </c>
      <c r="V109" t="s">
        <v>23</v>
      </c>
      <c r="W109" t="s">
        <v>51</v>
      </c>
      <c r="X109" t="s">
        <v>9</v>
      </c>
      <c r="Y109" s="56">
        <f>IF(clean[[#This Row],[is_delivered]]="Yes",clean[[#This Row],[net_sales]],0 )</f>
        <v>0</v>
      </c>
    </row>
    <row r="110" spans="1:25">
      <c r="A110" t="s">
        <v>2037</v>
      </c>
      <c r="B110" s="9">
        <v>45823</v>
      </c>
      <c r="C110" t="s">
        <v>274</v>
      </c>
      <c r="D110" t="s">
        <v>825</v>
      </c>
      <c r="E110">
        <v>3</v>
      </c>
      <c r="F110" s="56">
        <v>100000</v>
      </c>
      <c r="G110" s="56">
        <v>300000</v>
      </c>
      <c r="H110" t="s">
        <v>886</v>
      </c>
      <c r="I110" s="56">
        <v>30000</v>
      </c>
      <c r="J110" s="56">
        <v>20000</v>
      </c>
      <c r="K110" s="56">
        <v>290000</v>
      </c>
      <c r="L110" t="s">
        <v>884</v>
      </c>
      <c r="M110" t="s">
        <v>881</v>
      </c>
      <c r="N110" t="s">
        <v>905</v>
      </c>
      <c r="O110" s="57">
        <v>45809</v>
      </c>
      <c r="P110" t="s">
        <v>892</v>
      </c>
      <c r="Q110" s="56">
        <v>270000</v>
      </c>
      <c r="R110" t="s">
        <v>826</v>
      </c>
      <c r="S110" t="s">
        <v>735</v>
      </c>
      <c r="T110" t="s">
        <v>736</v>
      </c>
      <c r="U110" t="s">
        <v>275</v>
      </c>
      <c r="V110" t="s">
        <v>7</v>
      </c>
      <c r="W110" t="s">
        <v>8</v>
      </c>
      <c r="X110" t="s">
        <v>9</v>
      </c>
      <c r="Y110" s="56">
        <f>IF(clean[[#This Row],[is_delivered]]="Yes",clean[[#This Row],[net_sales]],0 )</f>
        <v>0</v>
      </c>
    </row>
    <row r="111" spans="1:25">
      <c r="A111" t="s">
        <v>1200</v>
      </c>
      <c r="B111" s="9">
        <v>45822</v>
      </c>
      <c r="C111" t="s">
        <v>408</v>
      </c>
      <c r="D111" t="s">
        <v>829</v>
      </c>
      <c r="E111">
        <v>1</v>
      </c>
      <c r="F111" s="56">
        <v>500000</v>
      </c>
      <c r="G111" s="56">
        <v>500000</v>
      </c>
      <c r="H111" t="s">
        <v>895</v>
      </c>
      <c r="I111" s="56">
        <v>75000</v>
      </c>
      <c r="J111" s="56">
        <v>15000</v>
      </c>
      <c r="K111" s="56">
        <v>440000</v>
      </c>
      <c r="L111" t="s">
        <v>884</v>
      </c>
      <c r="M111" t="s">
        <v>903</v>
      </c>
      <c r="N111" t="s">
        <v>905</v>
      </c>
      <c r="O111" s="57">
        <v>45809</v>
      </c>
      <c r="P111" t="s">
        <v>892</v>
      </c>
      <c r="Q111" s="56">
        <v>425000</v>
      </c>
      <c r="R111" t="s">
        <v>830</v>
      </c>
      <c r="S111" t="s">
        <v>743</v>
      </c>
      <c r="T111" t="s">
        <v>744</v>
      </c>
      <c r="U111" t="s">
        <v>409</v>
      </c>
      <c r="V111" t="s">
        <v>7</v>
      </c>
      <c r="W111" t="s">
        <v>8</v>
      </c>
      <c r="X111" t="s">
        <v>24</v>
      </c>
      <c r="Y111" s="56">
        <f>IF(clean[[#This Row],[is_delivered]]="Yes",clean[[#This Row],[net_sales]],0 )</f>
        <v>0</v>
      </c>
    </row>
    <row r="112" spans="1:25">
      <c r="A112" t="s">
        <v>1073</v>
      </c>
      <c r="B112" s="9">
        <v>45822</v>
      </c>
      <c r="C112" t="s">
        <v>646</v>
      </c>
      <c r="D112" t="s">
        <v>777</v>
      </c>
      <c r="E112">
        <v>1</v>
      </c>
      <c r="F112" s="56">
        <v>200000</v>
      </c>
      <c r="G112" s="56">
        <v>200000</v>
      </c>
      <c r="H112" t="s">
        <v>886</v>
      </c>
      <c r="I112" s="56">
        <v>20000</v>
      </c>
      <c r="J112" s="56">
        <v>20000</v>
      </c>
      <c r="K112" s="56">
        <v>200000</v>
      </c>
      <c r="L112" t="s">
        <v>873</v>
      </c>
      <c r="M112" t="s">
        <v>901</v>
      </c>
      <c r="N112" t="s">
        <v>875</v>
      </c>
      <c r="O112" s="57">
        <v>45809</v>
      </c>
      <c r="P112" t="s">
        <v>877</v>
      </c>
      <c r="Q112" s="56">
        <v>180000</v>
      </c>
      <c r="R112" t="s">
        <v>778</v>
      </c>
      <c r="S112" t="s">
        <v>735</v>
      </c>
      <c r="T112" t="s">
        <v>736</v>
      </c>
      <c r="U112" t="s">
        <v>647</v>
      </c>
      <c r="V112" t="s">
        <v>23</v>
      </c>
      <c r="W112" t="s">
        <v>56</v>
      </c>
      <c r="X112" t="s">
        <v>15</v>
      </c>
      <c r="Y112" s="56">
        <f>IF(clean[[#This Row],[is_delivered]]="Yes",clean[[#This Row],[net_sales]],0 )</f>
        <v>180000</v>
      </c>
    </row>
    <row r="113" spans="1:25">
      <c r="A113" t="s">
        <v>1133</v>
      </c>
      <c r="B113" s="9">
        <v>45822</v>
      </c>
      <c r="C113" t="s">
        <v>628</v>
      </c>
      <c r="D113" t="s">
        <v>761</v>
      </c>
      <c r="E113">
        <v>1</v>
      </c>
      <c r="F113" s="56">
        <v>75000</v>
      </c>
      <c r="G113" s="56">
        <v>75000</v>
      </c>
      <c r="H113" t="s">
        <v>872</v>
      </c>
      <c r="I113" s="56">
        <v>0</v>
      </c>
      <c r="J113" s="56">
        <v>15000</v>
      </c>
      <c r="K113" s="56">
        <v>90000</v>
      </c>
      <c r="L113" t="s">
        <v>889</v>
      </c>
      <c r="M113" t="s">
        <v>881</v>
      </c>
      <c r="N113" t="s">
        <v>875</v>
      </c>
      <c r="O113" s="57">
        <v>45809</v>
      </c>
      <c r="P113" t="s">
        <v>877</v>
      </c>
      <c r="Q113" s="56">
        <v>75000</v>
      </c>
      <c r="R113" t="s">
        <v>762</v>
      </c>
      <c r="S113" t="s">
        <v>727</v>
      </c>
      <c r="T113" t="s">
        <v>728</v>
      </c>
      <c r="U113" t="s">
        <v>629</v>
      </c>
      <c r="V113" t="s">
        <v>7</v>
      </c>
      <c r="W113" t="s">
        <v>36</v>
      </c>
      <c r="X113" t="s">
        <v>9</v>
      </c>
      <c r="Y113" s="56">
        <f>IF(clean[[#This Row],[is_delivered]]="Yes",clean[[#This Row],[net_sales]],0 )</f>
        <v>75000</v>
      </c>
    </row>
    <row r="114" spans="1:25">
      <c r="A114" t="s">
        <v>1395</v>
      </c>
      <c r="B114" s="9">
        <v>45822</v>
      </c>
      <c r="C114" t="s">
        <v>109</v>
      </c>
      <c r="D114" t="s">
        <v>841</v>
      </c>
      <c r="E114">
        <v>1</v>
      </c>
      <c r="F114" s="56">
        <v>75000</v>
      </c>
      <c r="G114" s="56">
        <v>75000</v>
      </c>
      <c r="H114" t="s">
        <v>872</v>
      </c>
      <c r="I114" s="56">
        <v>0</v>
      </c>
      <c r="J114" s="56">
        <v>25000</v>
      </c>
      <c r="K114" s="56">
        <v>100000</v>
      </c>
      <c r="L114" t="s">
        <v>880</v>
      </c>
      <c r="M114" t="s">
        <v>903</v>
      </c>
      <c r="N114" t="s">
        <v>921</v>
      </c>
      <c r="O114" s="57">
        <v>45809</v>
      </c>
      <c r="P114" t="s">
        <v>892</v>
      </c>
      <c r="Q114" s="56">
        <v>75000</v>
      </c>
      <c r="R114" t="s">
        <v>842</v>
      </c>
      <c r="S114" t="s">
        <v>743</v>
      </c>
      <c r="T114" t="s">
        <v>744</v>
      </c>
      <c r="U114" t="s">
        <v>110</v>
      </c>
      <c r="V114" t="s">
        <v>23</v>
      </c>
      <c r="W114" t="s">
        <v>46</v>
      </c>
      <c r="X114" t="s">
        <v>15</v>
      </c>
      <c r="Y114" s="56">
        <f>IF(clean[[#This Row],[is_delivered]]="Yes",clean[[#This Row],[net_sales]],0 )</f>
        <v>0</v>
      </c>
    </row>
    <row r="115" spans="1:25">
      <c r="A115" t="s">
        <v>1530</v>
      </c>
      <c r="B115" s="9">
        <v>45822</v>
      </c>
      <c r="C115" t="s">
        <v>320</v>
      </c>
      <c r="D115" t="s">
        <v>793</v>
      </c>
      <c r="E115">
        <v>2</v>
      </c>
      <c r="F115" s="56">
        <v>500000</v>
      </c>
      <c r="G115" s="56">
        <v>1000000</v>
      </c>
      <c r="H115" t="s">
        <v>883</v>
      </c>
      <c r="I115" s="56">
        <v>100000</v>
      </c>
      <c r="J115" s="56">
        <v>30000</v>
      </c>
      <c r="K115" s="56">
        <v>930000</v>
      </c>
      <c r="L115" t="s">
        <v>889</v>
      </c>
      <c r="M115" t="s">
        <v>881</v>
      </c>
      <c r="N115" t="s">
        <v>875</v>
      </c>
      <c r="O115" s="57">
        <v>45809</v>
      </c>
      <c r="P115" t="s">
        <v>877</v>
      </c>
      <c r="Q115" s="56">
        <v>900000</v>
      </c>
      <c r="R115" t="s">
        <v>794</v>
      </c>
      <c r="S115" t="s">
        <v>743</v>
      </c>
      <c r="T115" t="s">
        <v>744</v>
      </c>
      <c r="U115" t="s">
        <v>321</v>
      </c>
      <c r="V115" t="s">
        <v>7</v>
      </c>
      <c r="W115" t="s">
        <v>56</v>
      </c>
      <c r="X115" t="s">
        <v>9</v>
      </c>
      <c r="Y115" s="56">
        <f>IF(clean[[#This Row],[is_delivered]]="Yes",clean[[#This Row],[net_sales]],0 )</f>
        <v>900000</v>
      </c>
    </row>
    <row r="116" spans="1:25">
      <c r="A116" t="s">
        <v>1757</v>
      </c>
      <c r="B116" s="9">
        <v>45822</v>
      </c>
      <c r="C116" t="s">
        <v>268</v>
      </c>
      <c r="D116" t="s">
        <v>769</v>
      </c>
      <c r="E116">
        <v>1</v>
      </c>
      <c r="F116" s="56">
        <v>100000</v>
      </c>
      <c r="G116" s="56">
        <v>100000</v>
      </c>
      <c r="H116" t="s">
        <v>879</v>
      </c>
      <c r="I116" s="56">
        <v>20000</v>
      </c>
      <c r="J116" s="56">
        <v>25000</v>
      </c>
      <c r="K116" s="56">
        <v>105000</v>
      </c>
      <c r="L116" t="s">
        <v>889</v>
      </c>
      <c r="M116" t="s">
        <v>901</v>
      </c>
      <c r="N116" t="s">
        <v>890</v>
      </c>
      <c r="O116" s="57">
        <v>45809</v>
      </c>
      <c r="P116" t="s">
        <v>892</v>
      </c>
      <c r="Q116" s="56">
        <v>80000</v>
      </c>
      <c r="R116" t="s">
        <v>770</v>
      </c>
      <c r="S116" t="s">
        <v>743</v>
      </c>
      <c r="T116" t="s">
        <v>744</v>
      </c>
      <c r="U116" t="s">
        <v>269</v>
      </c>
      <c r="V116" t="s">
        <v>7</v>
      </c>
      <c r="W116" t="s">
        <v>8</v>
      </c>
      <c r="X116" t="s">
        <v>9</v>
      </c>
      <c r="Y116" s="56">
        <f>IF(clean[[#This Row],[is_delivered]]="Yes",clean[[#This Row],[net_sales]],0 )</f>
        <v>0</v>
      </c>
    </row>
    <row r="117" spans="1:25">
      <c r="A117" t="s">
        <v>914</v>
      </c>
      <c r="B117" s="9">
        <v>45821</v>
      </c>
      <c r="C117" t="s">
        <v>244</v>
      </c>
      <c r="D117" t="s">
        <v>853</v>
      </c>
      <c r="E117">
        <v>4</v>
      </c>
      <c r="F117" s="56">
        <v>75000</v>
      </c>
      <c r="G117" s="56">
        <v>300000</v>
      </c>
      <c r="H117" t="s">
        <v>895</v>
      </c>
      <c r="I117" s="56">
        <v>45000</v>
      </c>
      <c r="J117" s="56">
        <v>30000</v>
      </c>
      <c r="K117" s="56">
        <v>285000</v>
      </c>
      <c r="L117" t="s">
        <v>880</v>
      </c>
      <c r="M117" t="s">
        <v>881</v>
      </c>
      <c r="N117" t="s">
        <v>875</v>
      </c>
      <c r="O117" s="57">
        <v>45809</v>
      </c>
      <c r="P117" t="s">
        <v>877</v>
      </c>
      <c r="Q117" s="56">
        <v>255000</v>
      </c>
      <c r="R117" t="s">
        <v>854</v>
      </c>
      <c r="S117" t="s">
        <v>743</v>
      </c>
      <c r="T117" t="s">
        <v>744</v>
      </c>
      <c r="U117" t="s">
        <v>245</v>
      </c>
      <c r="V117" t="s">
        <v>7</v>
      </c>
      <c r="W117" t="s">
        <v>46</v>
      </c>
      <c r="X117" t="s">
        <v>9</v>
      </c>
      <c r="Y117" s="56">
        <f>IF(clean[[#This Row],[is_delivered]]="Yes",clean[[#This Row],[net_sales]],0 )</f>
        <v>255000</v>
      </c>
    </row>
    <row r="118" spans="1:25">
      <c r="A118" t="s">
        <v>979</v>
      </c>
      <c r="B118" s="9">
        <v>45821</v>
      </c>
      <c r="C118" t="s">
        <v>620</v>
      </c>
      <c r="D118" t="s">
        <v>781</v>
      </c>
      <c r="E118">
        <v>4</v>
      </c>
      <c r="F118" s="56">
        <v>50000</v>
      </c>
      <c r="G118" s="56">
        <v>200000</v>
      </c>
      <c r="H118" t="s">
        <v>872</v>
      </c>
      <c r="I118" s="56">
        <v>0</v>
      </c>
      <c r="J118" s="56">
        <v>15000</v>
      </c>
      <c r="K118" s="56">
        <v>215000</v>
      </c>
      <c r="L118" t="s">
        <v>880</v>
      </c>
      <c r="M118" t="s">
        <v>903</v>
      </c>
      <c r="N118" t="s">
        <v>875</v>
      </c>
      <c r="O118" s="57">
        <v>45809</v>
      </c>
      <c r="P118" t="s">
        <v>877</v>
      </c>
      <c r="Q118" s="56">
        <v>200000</v>
      </c>
      <c r="R118" t="s">
        <v>782</v>
      </c>
      <c r="S118" t="s">
        <v>743</v>
      </c>
      <c r="T118" t="s">
        <v>744</v>
      </c>
      <c r="U118" t="s">
        <v>621</v>
      </c>
      <c r="V118" t="s">
        <v>23</v>
      </c>
      <c r="W118" t="s">
        <v>36</v>
      </c>
      <c r="X118" t="s">
        <v>24</v>
      </c>
      <c r="Y118" s="56">
        <f>IF(clean[[#This Row],[is_delivered]]="Yes",clean[[#This Row],[net_sales]],0 )</f>
        <v>200000</v>
      </c>
    </row>
    <row r="119" spans="1:25">
      <c r="A119" t="s">
        <v>1264</v>
      </c>
      <c r="B119" s="9">
        <v>45821</v>
      </c>
      <c r="C119" t="s">
        <v>290</v>
      </c>
      <c r="D119" t="s">
        <v>753</v>
      </c>
      <c r="E119">
        <v>1</v>
      </c>
      <c r="F119" s="56">
        <v>300000</v>
      </c>
      <c r="G119" s="56">
        <v>300000</v>
      </c>
      <c r="H119" t="s">
        <v>883</v>
      </c>
      <c r="I119" s="56">
        <v>30000</v>
      </c>
      <c r="J119" s="56">
        <v>15000</v>
      </c>
      <c r="K119" s="56">
        <v>285000</v>
      </c>
      <c r="L119" t="s">
        <v>884</v>
      </c>
      <c r="M119" t="s">
        <v>903</v>
      </c>
      <c r="N119" t="s">
        <v>875</v>
      </c>
      <c r="O119" s="57">
        <v>45809</v>
      </c>
      <c r="P119" t="s">
        <v>877</v>
      </c>
      <c r="Q119" s="56">
        <v>270000</v>
      </c>
      <c r="R119" t="s">
        <v>754</v>
      </c>
      <c r="S119" t="s">
        <v>735</v>
      </c>
      <c r="T119" t="s">
        <v>736</v>
      </c>
      <c r="U119" t="s">
        <v>291</v>
      </c>
      <c r="V119" t="s">
        <v>23</v>
      </c>
      <c r="W119" t="s">
        <v>12</v>
      </c>
      <c r="X119" t="s">
        <v>9</v>
      </c>
      <c r="Y119" s="56">
        <f>IF(clean[[#This Row],[is_delivered]]="Yes",clean[[#This Row],[net_sales]],0 )</f>
        <v>270000</v>
      </c>
    </row>
    <row r="120" spans="1:25">
      <c r="A120" t="s">
        <v>1379</v>
      </c>
      <c r="B120" s="9">
        <v>45821</v>
      </c>
      <c r="C120" t="s">
        <v>314</v>
      </c>
      <c r="D120" t="s">
        <v>771</v>
      </c>
      <c r="E120">
        <v>3</v>
      </c>
      <c r="F120" s="56">
        <v>500000</v>
      </c>
      <c r="G120" s="56">
        <v>1500000</v>
      </c>
      <c r="H120" t="s">
        <v>872</v>
      </c>
      <c r="I120" s="56">
        <v>0</v>
      </c>
      <c r="J120" s="56">
        <v>30000</v>
      </c>
      <c r="K120" s="56">
        <v>1530000</v>
      </c>
      <c r="L120" t="s">
        <v>889</v>
      </c>
      <c r="M120" t="s">
        <v>881</v>
      </c>
      <c r="N120" t="s">
        <v>875</v>
      </c>
      <c r="O120" s="57">
        <v>45809</v>
      </c>
      <c r="P120" t="s">
        <v>877</v>
      </c>
      <c r="Q120" s="56">
        <v>1500000</v>
      </c>
      <c r="R120" t="s">
        <v>772</v>
      </c>
      <c r="S120" t="s">
        <v>747</v>
      </c>
      <c r="T120" t="s">
        <v>748</v>
      </c>
      <c r="U120" t="s">
        <v>315</v>
      </c>
      <c r="V120" t="s">
        <v>23</v>
      </c>
      <c r="W120" t="s">
        <v>56</v>
      </c>
      <c r="X120" t="s">
        <v>9</v>
      </c>
      <c r="Y120" s="56">
        <f>IF(clean[[#This Row],[is_delivered]]="Yes",clean[[#This Row],[net_sales]],0 )</f>
        <v>1500000</v>
      </c>
    </row>
    <row r="121" spans="1:25">
      <c r="A121" t="s">
        <v>1523</v>
      </c>
      <c r="B121" s="9">
        <v>45821</v>
      </c>
      <c r="C121" t="s">
        <v>340</v>
      </c>
      <c r="D121" t="s">
        <v>829</v>
      </c>
      <c r="E121">
        <v>2</v>
      </c>
      <c r="F121" s="56">
        <v>500000</v>
      </c>
      <c r="G121" s="56">
        <v>1000000</v>
      </c>
      <c r="H121" t="s">
        <v>895</v>
      </c>
      <c r="I121" s="56">
        <v>150000</v>
      </c>
      <c r="J121" s="56">
        <v>20000</v>
      </c>
      <c r="K121" s="56">
        <v>870000</v>
      </c>
      <c r="L121" t="s">
        <v>884</v>
      </c>
      <c r="M121" t="s">
        <v>881</v>
      </c>
      <c r="N121" t="s">
        <v>890</v>
      </c>
      <c r="O121" s="57">
        <v>45809</v>
      </c>
      <c r="P121" t="s">
        <v>892</v>
      </c>
      <c r="Q121" s="56">
        <v>850000</v>
      </c>
      <c r="R121" t="s">
        <v>830</v>
      </c>
      <c r="S121" t="s">
        <v>743</v>
      </c>
      <c r="T121" t="s">
        <v>744</v>
      </c>
      <c r="U121" t="s">
        <v>341</v>
      </c>
      <c r="V121" t="s">
        <v>7</v>
      </c>
      <c r="W121" t="s">
        <v>46</v>
      </c>
      <c r="X121" t="s">
        <v>24</v>
      </c>
      <c r="Y121" s="56">
        <f>IF(clean[[#This Row],[is_delivered]]="Yes",clean[[#This Row],[net_sales]],0 )</f>
        <v>0</v>
      </c>
    </row>
    <row r="122" spans="1:25">
      <c r="A122" t="s">
        <v>1733</v>
      </c>
      <c r="B122" s="9">
        <v>45821</v>
      </c>
      <c r="C122" t="s">
        <v>636</v>
      </c>
      <c r="D122" t="s">
        <v>769</v>
      </c>
      <c r="E122">
        <v>3</v>
      </c>
      <c r="F122" s="56">
        <v>100000</v>
      </c>
      <c r="G122" s="56">
        <v>300000</v>
      </c>
      <c r="H122" t="s">
        <v>872</v>
      </c>
      <c r="I122" s="56">
        <v>0</v>
      </c>
      <c r="J122" s="56">
        <v>25000</v>
      </c>
      <c r="K122" s="56">
        <v>325000</v>
      </c>
      <c r="L122" t="s">
        <v>884</v>
      </c>
      <c r="M122" t="s">
        <v>903</v>
      </c>
      <c r="N122" t="s">
        <v>875</v>
      </c>
      <c r="O122" s="57">
        <v>45809</v>
      </c>
      <c r="P122" t="s">
        <v>877</v>
      </c>
      <c r="Q122" s="56">
        <v>300000</v>
      </c>
      <c r="R122" t="s">
        <v>770</v>
      </c>
      <c r="S122" t="s">
        <v>743</v>
      </c>
      <c r="T122" t="s">
        <v>744</v>
      </c>
      <c r="U122" t="s">
        <v>637</v>
      </c>
      <c r="V122" t="s">
        <v>7</v>
      </c>
      <c r="W122" t="s">
        <v>29</v>
      </c>
      <c r="X122" t="s">
        <v>9</v>
      </c>
      <c r="Y122" s="56">
        <f>IF(clean[[#This Row],[is_delivered]]="Yes",clean[[#This Row],[net_sales]],0 )</f>
        <v>300000</v>
      </c>
    </row>
    <row r="123" spans="1:25">
      <c r="A123" t="s">
        <v>1908</v>
      </c>
      <c r="B123" s="9">
        <v>45821</v>
      </c>
      <c r="C123" t="s">
        <v>516</v>
      </c>
      <c r="D123" t="s">
        <v>759</v>
      </c>
      <c r="E123">
        <v>1</v>
      </c>
      <c r="F123" s="56">
        <v>300000</v>
      </c>
      <c r="G123" s="56">
        <v>300000</v>
      </c>
      <c r="H123" t="s">
        <v>872</v>
      </c>
      <c r="I123" s="56">
        <v>0</v>
      </c>
      <c r="J123" s="56">
        <v>30000</v>
      </c>
      <c r="K123" s="56">
        <v>330000</v>
      </c>
      <c r="L123" t="s">
        <v>880</v>
      </c>
      <c r="M123" t="s">
        <v>903</v>
      </c>
      <c r="N123" t="s">
        <v>905</v>
      </c>
      <c r="O123" s="57">
        <v>45809</v>
      </c>
      <c r="P123" t="s">
        <v>892</v>
      </c>
      <c r="Q123" s="56">
        <v>300000</v>
      </c>
      <c r="R123" t="s">
        <v>760</v>
      </c>
      <c r="S123" t="s">
        <v>747</v>
      </c>
      <c r="T123" t="s">
        <v>748</v>
      </c>
      <c r="U123" t="s">
        <v>517</v>
      </c>
      <c r="V123" t="s">
        <v>23</v>
      </c>
      <c r="W123" t="s">
        <v>36</v>
      </c>
      <c r="X123" t="s">
        <v>9</v>
      </c>
      <c r="Y123" s="56">
        <f>IF(clean[[#This Row],[is_delivered]]="Yes",clean[[#This Row],[net_sales]],0 )</f>
        <v>0</v>
      </c>
    </row>
    <row r="124" spans="1:25">
      <c r="A124" t="s">
        <v>1093</v>
      </c>
      <c r="B124" s="9">
        <v>45820</v>
      </c>
      <c r="C124" t="s">
        <v>596</v>
      </c>
      <c r="D124" t="s">
        <v>775</v>
      </c>
      <c r="E124">
        <v>2</v>
      </c>
      <c r="F124" s="56">
        <v>75000</v>
      </c>
      <c r="G124" s="56">
        <v>150000</v>
      </c>
      <c r="H124" t="s">
        <v>872</v>
      </c>
      <c r="I124" s="56">
        <v>0</v>
      </c>
      <c r="J124" s="56">
        <v>10000</v>
      </c>
      <c r="K124" s="56">
        <v>160000</v>
      </c>
      <c r="L124" t="s">
        <v>884</v>
      </c>
      <c r="M124" t="s">
        <v>874</v>
      </c>
      <c r="N124" t="s">
        <v>875</v>
      </c>
      <c r="O124" s="57">
        <v>45809</v>
      </c>
      <c r="P124" t="s">
        <v>877</v>
      </c>
      <c r="Q124" s="56">
        <v>150000</v>
      </c>
      <c r="R124" t="s">
        <v>776</v>
      </c>
      <c r="S124" t="s">
        <v>731</v>
      </c>
      <c r="T124" t="s">
        <v>732</v>
      </c>
      <c r="U124" t="s">
        <v>597</v>
      </c>
      <c r="V124" t="s">
        <v>23</v>
      </c>
      <c r="W124" t="s">
        <v>137</v>
      </c>
      <c r="X124" t="s">
        <v>24</v>
      </c>
      <c r="Y124" s="56">
        <f>IF(clean[[#This Row],[is_delivered]]="Yes",clean[[#This Row],[net_sales]],0 )</f>
        <v>150000</v>
      </c>
    </row>
    <row r="125" spans="1:25">
      <c r="A125" t="s">
        <v>937</v>
      </c>
      <c r="B125" s="9">
        <v>45820</v>
      </c>
      <c r="C125" t="s">
        <v>374</v>
      </c>
      <c r="D125" t="s">
        <v>771</v>
      </c>
      <c r="E125">
        <v>3</v>
      </c>
      <c r="F125" s="56">
        <v>500000</v>
      </c>
      <c r="G125" s="56">
        <v>1500000</v>
      </c>
      <c r="H125" t="s">
        <v>872</v>
      </c>
      <c r="I125" s="56">
        <v>0</v>
      </c>
      <c r="J125" s="56">
        <v>30000</v>
      </c>
      <c r="K125" s="56">
        <v>1530000</v>
      </c>
      <c r="L125" t="s">
        <v>880</v>
      </c>
      <c r="M125" t="s">
        <v>881</v>
      </c>
      <c r="N125" t="s">
        <v>921</v>
      </c>
      <c r="O125" s="57">
        <v>45809</v>
      </c>
      <c r="P125" t="s">
        <v>892</v>
      </c>
      <c r="Q125" s="56">
        <v>1500000</v>
      </c>
      <c r="R125" t="s">
        <v>772</v>
      </c>
      <c r="S125" t="s">
        <v>747</v>
      </c>
      <c r="T125" t="s">
        <v>748</v>
      </c>
      <c r="U125" t="s">
        <v>375</v>
      </c>
      <c r="V125" t="s">
        <v>23</v>
      </c>
      <c r="W125" t="s">
        <v>137</v>
      </c>
      <c r="X125" t="s">
        <v>9</v>
      </c>
      <c r="Y125" s="56">
        <f>IF(clean[[#This Row],[is_delivered]]="Yes",clean[[#This Row],[net_sales]],0 )</f>
        <v>0</v>
      </c>
    </row>
    <row r="126" spans="1:25">
      <c r="A126" t="s">
        <v>1232</v>
      </c>
      <c r="B126" s="9">
        <v>45820</v>
      </c>
      <c r="C126" t="s">
        <v>506</v>
      </c>
      <c r="D126" t="s">
        <v>853</v>
      </c>
      <c r="E126">
        <v>2</v>
      </c>
      <c r="F126" s="56">
        <v>75000</v>
      </c>
      <c r="G126" s="56">
        <v>150000</v>
      </c>
      <c r="H126" t="s">
        <v>883</v>
      </c>
      <c r="I126" s="56">
        <v>15000</v>
      </c>
      <c r="J126" s="56">
        <v>20000</v>
      </c>
      <c r="K126" s="56">
        <v>155000</v>
      </c>
      <c r="L126" t="s">
        <v>884</v>
      </c>
      <c r="M126" t="s">
        <v>881</v>
      </c>
      <c r="N126" t="s">
        <v>911</v>
      </c>
      <c r="O126" s="57">
        <v>45809</v>
      </c>
      <c r="P126" t="s">
        <v>892</v>
      </c>
      <c r="Q126" s="56">
        <v>135000</v>
      </c>
      <c r="R126" t="s">
        <v>854</v>
      </c>
      <c r="S126" t="s">
        <v>743</v>
      </c>
      <c r="T126" t="s">
        <v>744</v>
      </c>
      <c r="U126" t="s">
        <v>507</v>
      </c>
      <c r="V126" t="s">
        <v>23</v>
      </c>
      <c r="W126" t="s">
        <v>12</v>
      </c>
      <c r="X126" t="s">
        <v>9</v>
      </c>
      <c r="Y126" s="56">
        <f>IF(clean[[#This Row],[is_delivered]]="Yes",clean[[#This Row],[net_sales]],0 )</f>
        <v>0</v>
      </c>
    </row>
    <row r="127" spans="1:25">
      <c r="A127" t="s">
        <v>1290</v>
      </c>
      <c r="B127" s="9">
        <v>45820</v>
      </c>
      <c r="C127" t="s">
        <v>376</v>
      </c>
      <c r="D127" t="s">
        <v>775</v>
      </c>
      <c r="E127">
        <v>2</v>
      </c>
      <c r="F127" s="56">
        <v>75000</v>
      </c>
      <c r="G127" s="56">
        <v>150000</v>
      </c>
      <c r="H127" t="s">
        <v>886</v>
      </c>
      <c r="I127" s="56">
        <v>15000</v>
      </c>
      <c r="J127" s="56">
        <v>30000</v>
      </c>
      <c r="K127" s="56">
        <v>165000</v>
      </c>
      <c r="L127" t="s">
        <v>873</v>
      </c>
      <c r="M127" t="s">
        <v>881</v>
      </c>
      <c r="N127" t="s">
        <v>911</v>
      </c>
      <c r="O127" s="57">
        <v>45809</v>
      </c>
      <c r="P127" t="s">
        <v>892</v>
      </c>
      <c r="Q127" s="56">
        <v>135000</v>
      </c>
      <c r="R127" t="s">
        <v>776</v>
      </c>
      <c r="S127" t="s">
        <v>731</v>
      </c>
      <c r="T127" t="s">
        <v>732</v>
      </c>
      <c r="U127" t="s">
        <v>377</v>
      </c>
      <c r="V127" t="s">
        <v>7</v>
      </c>
      <c r="W127" t="s">
        <v>8</v>
      </c>
      <c r="X127" t="s">
        <v>9</v>
      </c>
      <c r="Y127" s="56">
        <f>IF(clean[[#This Row],[is_delivered]]="Yes",clean[[#This Row],[net_sales]],0 )</f>
        <v>0</v>
      </c>
    </row>
    <row r="128" spans="1:25">
      <c r="A128" t="s">
        <v>1388</v>
      </c>
      <c r="B128" s="9">
        <v>45820</v>
      </c>
      <c r="C128" t="s">
        <v>412</v>
      </c>
      <c r="D128" t="s">
        <v>789</v>
      </c>
      <c r="E128">
        <v>2</v>
      </c>
      <c r="F128" s="56">
        <v>200000</v>
      </c>
      <c r="G128" s="56">
        <v>400000</v>
      </c>
      <c r="H128" t="s">
        <v>883</v>
      </c>
      <c r="I128" s="56">
        <v>40000</v>
      </c>
      <c r="J128" s="56">
        <v>20000</v>
      </c>
      <c r="K128" s="56">
        <v>380000</v>
      </c>
      <c r="L128" t="s">
        <v>873</v>
      </c>
      <c r="M128" t="s">
        <v>901</v>
      </c>
      <c r="N128" t="s">
        <v>890</v>
      </c>
      <c r="O128" s="57">
        <v>45809</v>
      </c>
      <c r="P128" t="s">
        <v>892</v>
      </c>
      <c r="Q128" s="56">
        <v>360000</v>
      </c>
      <c r="R128" t="s">
        <v>790</v>
      </c>
      <c r="S128" t="s">
        <v>735</v>
      </c>
      <c r="T128" t="s">
        <v>736</v>
      </c>
      <c r="U128" t="s">
        <v>413</v>
      </c>
      <c r="V128" t="s">
        <v>7</v>
      </c>
      <c r="W128" t="s">
        <v>8</v>
      </c>
      <c r="X128" t="s">
        <v>9</v>
      </c>
      <c r="Y128" s="56">
        <f>IF(clean[[#This Row],[is_delivered]]="Yes",clean[[#This Row],[net_sales]],0 )</f>
        <v>0</v>
      </c>
    </row>
    <row r="129" spans="1:25">
      <c r="A129" t="s">
        <v>1929</v>
      </c>
      <c r="B129" s="9">
        <v>45820</v>
      </c>
      <c r="C129" t="s">
        <v>364</v>
      </c>
      <c r="D129" t="s">
        <v>843</v>
      </c>
      <c r="E129">
        <v>1</v>
      </c>
      <c r="F129" s="56">
        <v>100000</v>
      </c>
      <c r="G129" s="56">
        <v>100000</v>
      </c>
      <c r="H129" t="s">
        <v>872</v>
      </c>
      <c r="I129" s="56">
        <v>0</v>
      </c>
      <c r="J129" s="56">
        <v>30000</v>
      </c>
      <c r="K129" s="56">
        <v>130000</v>
      </c>
      <c r="L129" t="s">
        <v>873</v>
      </c>
      <c r="M129" t="s">
        <v>901</v>
      </c>
      <c r="N129" t="s">
        <v>905</v>
      </c>
      <c r="O129" s="57">
        <v>45809</v>
      </c>
      <c r="P129" t="s">
        <v>892</v>
      </c>
      <c r="Q129" s="56">
        <v>100000</v>
      </c>
      <c r="R129" t="s">
        <v>844</v>
      </c>
      <c r="S129" t="s">
        <v>747</v>
      </c>
      <c r="T129" t="s">
        <v>748</v>
      </c>
      <c r="U129" t="s">
        <v>365</v>
      </c>
      <c r="V129" t="s">
        <v>23</v>
      </c>
      <c r="W129" t="s">
        <v>46</v>
      </c>
      <c r="X129" t="s">
        <v>24</v>
      </c>
      <c r="Y129" s="56">
        <f>IF(clean[[#This Row],[is_delivered]]="Yes",clean[[#This Row],[net_sales]],0 )</f>
        <v>0</v>
      </c>
    </row>
    <row r="130" spans="1:25">
      <c r="A130" t="s">
        <v>2091</v>
      </c>
      <c r="B130" s="9">
        <v>45820</v>
      </c>
      <c r="C130" t="s">
        <v>376</v>
      </c>
      <c r="D130" t="s">
        <v>737</v>
      </c>
      <c r="E130">
        <v>4</v>
      </c>
      <c r="F130" s="56">
        <v>300000</v>
      </c>
      <c r="G130" s="56">
        <v>1200000</v>
      </c>
      <c r="H130" t="s">
        <v>872</v>
      </c>
      <c r="I130" s="56">
        <v>0</v>
      </c>
      <c r="J130" s="56">
        <v>10000</v>
      </c>
      <c r="K130" s="56">
        <v>1210000</v>
      </c>
      <c r="L130" t="s">
        <v>889</v>
      </c>
      <c r="M130" t="s">
        <v>901</v>
      </c>
      <c r="N130" t="s">
        <v>875</v>
      </c>
      <c r="O130" s="57">
        <v>45809</v>
      </c>
      <c r="P130" t="s">
        <v>877</v>
      </c>
      <c r="Q130" s="56">
        <v>1200000</v>
      </c>
      <c r="R130" t="s">
        <v>738</v>
      </c>
      <c r="S130" t="s">
        <v>739</v>
      </c>
      <c r="T130" t="s">
        <v>740</v>
      </c>
      <c r="U130" t="s">
        <v>377</v>
      </c>
      <c r="V130" t="s">
        <v>7</v>
      </c>
      <c r="W130" t="s">
        <v>8</v>
      </c>
      <c r="X130" t="s">
        <v>9</v>
      </c>
      <c r="Y130" s="56">
        <f>IF(clean[[#This Row],[is_delivered]]="Yes",clean[[#This Row],[net_sales]],0 )</f>
        <v>1200000</v>
      </c>
    </row>
    <row r="131" spans="1:25">
      <c r="A131" t="s">
        <v>1173</v>
      </c>
      <c r="B131" s="9">
        <v>45819</v>
      </c>
      <c r="C131" t="s">
        <v>286</v>
      </c>
      <c r="D131" t="s">
        <v>749</v>
      </c>
      <c r="E131">
        <v>2</v>
      </c>
      <c r="F131" s="56">
        <v>150000</v>
      </c>
      <c r="G131" s="56">
        <v>300000</v>
      </c>
      <c r="H131" t="s">
        <v>872</v>
      </c>
      <c r="I131" s="56">
        <v>0</v>
      </c>
      <c r="J131" s="56">
        <v>25000</v>
      </c>
      <c r="K131" s="56">
        <v>325000</v>
      </c>
      <c r="L131" t="s">
        <v>873</v>
      </c>
      <c r="M131" t="s">
        <v>881</v>
      </c>
      <c r="N131" t="s">
        <v>875</v>
      </c>
      <c r="O131" s="57">
        <v>45809</v>
      </c>
      <c r="P131" t="s">
        <v>877</v>
      </c>
      <c r="Q131" s="56">
        <v>300000</v>
      </c>
      <c r="R131" t="s">
        <v>750</v>
      </c>
      <c r="S131" t="s">
        <v>727</v>
      </c>
      <c r="T131" t="s">
        <v>728</v>
      </c>
      <c r="U131" t="s">
        <v>287</v>
      </c>
      <c r="V131" t="s">
        <v>7</v>
      </c>
      <c r="W131" t="s">
        <v>46</v>
      </c>
      <c r="X131" t="s">
        <v>24</v>
      </c>
      <c r="Y131" s="56">
        <f>IF(clean[[#This Row],[is_delivered]]="Yes",clean[[#This Row],[net_sales]],0 )</f>
        <v>300000</v>
      </c>
    </row>
    <row r="132" spans="1:25">
      <c r="A132" t="s">
        <v>1251</v>
      </c>
      <c r="B132" s="9">
        <v>45819</v>
      </c>
      <c r="C132" t="s">
        <v>420</v>
      </c>
      <c r="D132" t="s">
        <v>819</v>
      </c>
      <c r="E132">
        <v>2</v>
      </c>
      <c r="F132" s="56">
        <v>300000</v>
      </c>
      <c r="G132" s="56">
        <v>600000</v>
      </c>
      <c r="H132" t="s">
        <v>872</v>
      </c>
      <c r="I132" s="56">
        <v>0</v>
      </c>
      <c r="J132" s="56">
        <v>20000</v>
      </c>
      <c r="K132" s="56">
        <v>620000</v>
      </c>
      <c r="L132" t="s">
        <v>889</v>
      </c>
      <c r="M132" t="s">
        <v>881</v>
      </c>
      <c r="N132" t="s">
        <v>875</v>
      </c>
      <c r="O132" s="57">
        <v>45809</v>
      </c>
      <c r="P132" t="s">
        <v>877</v>
      </c>
      <c r="Q132" s="56">
        <v>600000</v>
      </c>
      <c r="R132" t="s">
        <v>820</v>
      </c>
      <c r="S132" t="s">
        <v>747</v>
      </c>
      <c r="T132" t="s">
        <v>748</v>
      </c>
      <c r="U132" t="s">
        <v>421</v>
      </c>
      <c r="V132" t="s">
        <v>7</v>
      </c>
      <c r="W132" t="s">
        <v>137</v>
      </c>
      <c r="X132" t="s">
        <v>24</v>
      </c>
      <c r="Y132" s="56">
        <f>IF(clean[[#This Row],[is_delivered]]="Yes",clean[[#This Row],[net_sales]],0 )</f>
        <v>600000</v>
      </c>
    </row>
    <row r="133" spans="1:25">
      <c r="A133" t="s">
        <v>1007</v>
      </c>
      <c r="B133" s="9">
        <v>45818</v>
      </c>
      <c r="C133" t="s">
        <v>256</v>
      </c>
      <c r="D133" t="s">
        <v>777</v>
      </c>
      <c r="E133">
        <v>1</v>
      </c>
      <c r="F133" s="56">
        <v>200000</v>
      </c>
      <c r="G133" s="56">
        <v>200000</v>
      </c>
      <c r="H133" t="s">
        <v>886</v>
      </c>
      <c r="I133" s="56">
        <v>20000</v>
      </c>
      <c r="J133" s="56">
        <v>20000</v>
      </c>
      <c r="K133" s="56">
        <v>200000</v>
      </c>
      <c r="L133" t="s">
        <v>884</v>
      </c>
      <c r="M133" t="s">
        <v>881</v>
      </c>
      <c r="N133" t="s">
        <v>875</v>
      </c>
      <c r="O133" s="57">
        <v>45809</v>
      </c>
      <c r="P133" t="s">
        <v>877</v>
      </c>
      <c r="Q133" s="56">
        <v>180000</v>
      </c>
      <c r="R133" t="s">
        <v>778</v>
      </c>
      <c r="S133" t="s">
        <v>735</v>
      </c>
      <c r="T133" t="s">
        <v>736</v>
      </c>
      <c r="U133" t="s">
        <v>257</v>
      </c>
      <c r="V133" t="s">
        <v>7</v>
      </c>
      <c r="W133" t="s">
        <v>8</v>
      </c>
      <c r="X133" t="s">
        <v>9</v>
      </c>
      <c r="Y133" s="56">
        <f>IF(clean[[#This Row],[is_delivered]]="Yes",clean[[#This Row],[net_sales]],0 )</f>
        <v>180000</v>
      </c>
    </row>
    <row r="134" spans="1:25">
      <c r="A134" t="s">
        <v>991</v>
      </c>
      <c r="B134" s="9">
        <v>45818</v>
      </c>
      <c r="C134" t="s">
        <v>356</v>
      </c>
      <c r="D134" t="s">
        <v>785</v>
      </c>
      <c r="E134">
        <v>2</v>
      </c>
      <c r="F134" s="56">
        <v>100000</v>
      </c>
      <c r="G134" s="56">
        <v>200000</v>
      </c>
      <c r="H134" t="s">
        <v>872</v>
      </c>
      <c r="I134" s="56">
        <v>0</v>
      </c>
      <c r="J134" s="56">
        <v>15000</v>
      </c>
      <c r="K134" s="56">
        <v>215000</v>
      </c>
      <c r="L134" t="s">
        <v>884</v>
      </c>
      <c r="M134" t="s">
        <v>901</v>
      </c>
      <c r="N134" t="s">
        <v>890</v>
      </c>
      <c r="O134" s="57">
        <v>45809</v>
      </c>
      <c r="P134" t="s">
        <v>892</v>
      </c>
      <c r="Q134" s="56">
        <v>200000</v>
      </c>
      <c r="R134" t="s">
        <v>786</v>
      </c>
      <c r="S134" t="s">
        <v>727</v>
      </c>
      <c r="T134" t="s">
        <v>728</v>
      </c>
      <c r="U134" t="s">
        <v>357</v>
      </c>
      <c r="V134" t="s">
        <v>7</v>
      </c>
      <c r="W134" t="s">
        <v>56</v>
      </c>
      <c r="X134" t="s">
        <v>9</v>
      </c>
      <c r="Y134" s="56">
        <f>IF(clean[[#This Row],[is_delivered]]="Yes",clean[[#This Row],[net_sales]],0 )</f>
        <v>0</v>
      </c>
    </row>
    <row r="135" spans="1:25">
      <c r="A135" t="s">
        <v>1141</v>
      </c>
      <c r="B135" s="9">
        <v>45818</v>
      </c>
      <c r="C135" t="s">
        <v>450</v>
      </c>
      <c r="D135" t="s">
        <v>781</v>
      </c>
      <c r="E135">
        <v>4</v>
      </c>
      <c r="F135" s="56">
        <v>50000</v>
      </c>
      <c r="G135" s="56">
        <v>200000</v>
      </c>
      <c r="H135" t="s">
        <v>886</v>
      </c>
      <c r="I135" s="56">
        <v>20000</v>
      </c>
      <c r="J135" s="56">
        <v>20000</v>
      </c>
      <c r="K135" s="56">
        <v>200000</v>
      </c>
      <c r="L135" t="s">
        <v>880</v>
      </c>
      <c r="M135" t="s">
        <v>881</v>
      </c>
      <c r="N135" t="s">
        <v>875</v>
      </c>
      <c r="O135" s="57">
        <v>45809</v>
      </c>
      <c r="P135" t="s">
        <v>877</v>
      </c>
      <c r="Q135" s="56">
        <v>180000</v>
      </c>
      <c r="R135" t="s">
        <v>782</v>
      </c>
      <c r="S135" t="s">
        <v>743</v>
      </c>
      <c r="T135" t="s">
        <v>744</v>
      </c>
      <c r="U135" t="s">
        <v>451</v>
      </c>
      <c r="V135" t="s">
        <v>23</v>
      </c>
      <c r="W135" t="s">
        <v>56</v>
      </c>
      <c r="X135" t="s">
        <v>9</v>
      </c>
      <c r="Y135" s="56">
        <f>IF(clean[[#This Row],[is_delivered]]="Yes",clean[[#This Row],[net_sales]],0 )</f>
        <v>180000</v>
      </c>
    </row>
    <row r="136" spans="1:25">
      <c r="A136" t="s">
        <v>1803</v>
      </c>
      <c r="B136" s="9">
        <v>45818</v>
      </c>
      <c r="C136" t="s">
        <v>322</v>
      </c>
      <c r="D136" t="s">
        <v>807</v>
      </c>
      <c r="E136">
        <v>1</v>
      </c>
      <c r="F136" s="56">
        <v>150000</v>
      </c>
      <c r="G136" s="56">
        <v>150000</v>
      </c>
      <c r="H136" t="s">
        <v>886</v>
      </c>
      <c r="I136" s="56">
        <v>15000</v>
      </c>
      <c r="J136" s="56">
        <v>30000</v>
      </c>
      <c r="K136" s="56">
        <v>165000</v>
      </c>
      <c r="L136" t="s">
        <v>884</v>
      </c>
      <c r="M136" t="s">
        <v>874</v>
      </c>
      <c r="N136" t="s">
        <v>875</v>
      </c>
      <c r="O136" s="57">
        <v>45809</v>
      </c>
      <c r="P136" t="s">
        <v>877</v>
      </c>
      <c r="Q136" s="56">
        <v>135000</v>
      </c>
      <c r="R136" t="s">
        <v>808</v>
      </c>
      <c r="S136" t="s">
        <v>747</v>
      </c>
      <c r="T136" t="s">
        <v>748</v>
      </c>
      <c r="U136" t="s">
        <v>323</v>
      </c>
      <c r="V136" t="s">
        <v>7</v>
      </c>
      <c r="W136" t="s">
        <v>8</v>
      </c>
      <c r="X136" t="s">
        <v>9</v>
      </c>
      <c r="Y136" s="56">
        <f>IF(clean[[#This Row],[is_delivered]]="Yes",clean[[#This Row],[net_sales]],0 )</f>
        <v>135000</v>
      </c>
    </row>
    <row r="137" spans="1:25">
      <c r="A137" t="s">
        <v>1864</v>
      </c>
      <c r="B137" s="9">
        <v>45818</v>
      </c>
      <c r="C137" t="s">
        <v>370</v>
      </c>
      <c r="D137" t="s">
        <v>733</v>
      </c>
      <c r="E137">
        <v>4</v>
      </c>
      <c r="F137" s="56">
        <v>150000</v>
      </c>
      <c r="G137" s="56">
        <v>600000</v>
      </c>
      <c r="H137" t="s">
        <v>883</v>
      </c>
      <c r="I137" s="56">
        <v>60000</v>
      </c>
      <c r="J137" s="56">
        <v>30000</v>
      </c>
      <c r="K137" s="56">
        <v>570000</v>
      </c>
      <c r="L137" t="s">
        <v>884</v>
      </c>
      <c r="M137" t="s">
        <v>901</v>
      </c>
      <c r="N137" t="s">
        <v>875</v>
      </c>
      <c r="O137" s="57">
        <v>45809</v>
      </c>
      <c r="P137" t="s">
        <v>877</v>
      </c>
      <c r="Q137" s="56">
        <v>540000</v>
      </c>
      <c r="R137" t="s">
        <v>734</v>
      </c>
      <c r="S137" t="s">
        <v>735</v>
      </c>
      <c r="T137" t="s">
        <v>736</v>
      </c>
      <c r="U137" t="s">
        <v>371</v>
      </c>
      <c r="V137" t="s">
        <v>23</v>
      </c>
      <c r="W137" t="s">
        <v>36</v>
      </c>
      <c r="X137" t="s">
        <v>15</v>
      </c>
      <c r="Y137" s="56">
        <f>IF(clean[[#This Row],[is_delivered]]="Yes",clean[[#This Row],[net_sales]],0 )</f>
        <v>540000</v>
      </c>
    </row>
    <row r="138" spans="1:25">
      <c r="A138" t="s">
        <v>1873</v>
      </c>
      <c r="B138" s="9">
        <v>45818</v>
      </c>
      <c r="C138" t="s">
        <v>596</v>
      </c>
      <c r="D138" t="s">
        <v>751</v>
      </c>
      <c r="E138">
        <v>2</v>
      </c>
      <c r="F138" s="56">
        <v>150000</v>
      </c>
      <c r="G138" s="56">
        <v>300000</v>
      </c>
      <c r="H138" t="s">
        <v>872</v>
      </c>
      <c r="I138" s="56">
        <v>0</v>
      </c>
      <c r="J138" s="56">
        <v>15000</v>
      </c>
      <c r="K138" s="56">
        <v>315000</v>
      </c>
      <c r="L138" t="s">
        <v>884</v>
      </c>
      <c r="M138" t="s">
        <v>874</v>
      </c>
      <c r="N138" t="s">
        <v>875</v>
      </c>
      <c r="O138" s="57">
        <v>45809</v>
      </c>
      <c r="P138" t="s">
        <v>877</v>
      </c>
      <c r="Q138" s="56">
        <v>300000</v>
      </c>
      <c r="R138" t="s">
        <v>752</v>
      </c>
      <c r="S138" t="s">
        <v>731</v>
      </c>
      <c r="T138" t="s">
        <v>732</v>
      </c>
      <c r="U138" t="s">
        <v>597</v>
      </c>
      <c r="V138" t="s">
        <v>23</v>
      </c>
      <c r="W138" t="s">
        <v>137</v>
      </c>
      <c r="X138" t="s">
        <v>24</v>
      </c>
      <c r="Y138" s="56">
        <f>IF(clean[[#This Row],[is_delivered]]="Yes",clean[[#This Row],[net_sales]],0 )</f>
        <v>300000</v>
      </c>
    </row>
    <row r="139" spans="1:25">
      <c r="A139" t="s">
        <v>1982</v>
      </c>
      <c r="B139" s="9">
        <v>45818</v>
      </c>
      <c r="C139" t="s">
        <v>326</v>
      </c>
      <c r="D139" t="s">
        <v>831</v>
      </c>
      <c r="E139">
        <v>1</v>
      </c>
      <c r="F139" s="56">
        <v>300000</v>
      </c>
      <c r="G139" s="56">
        <v>300000</v>
      </c>
      <c r="H139" t="s">
        <v>872</v>
      </c>
      <c r="I139" s="56">
        <v>0</v>
      </c>
      <c r="J139" s="56">
        <v>20000</v>
      </c>
      <c r="K139" s="56">
        <v>320000</v>
      </c>
      <c r="L139" t="s">
        <v>873</v>
      </c>
      <c r="M139" t="s">
        <v>874</v>
      </c>
      <c r="N139" t="s">
        <v>921</v>
      </c>
      <c r="O139" s="57">
        <v>45809</v>
      </c>
      <c r="P139" t="s">
        <v>892</v>
      </c>
      <c r="Q139" s="56">
        <v>300000</v>
      </c>
      <c r="R139" t="s">
        <v>832</v>
      </c>
      <c r="S139" t="s">
        <v>747</v>
      </c>
      <c r="T139" t="s">
        <v>748</v>
      </c>
      <c r="U139" t="s">
        <v>327</v>
      </c>
      <c r="V139" t="s">
        <v>7</v>
      </c>
      <c r="W139" t="s">
        <v>8</v>
      </c>
      <c r="X139" t="s">
        <v>9</v>
      </c>
      <c r="Y139" s="56">
        <f>IF(clean[[#This Row],[is_delivered]]="Yes",clean[[#This Row],[net_sales]],0 )</f>
        <v>0</v>
      </c>
    </row>
    <row r="140" spans="1:25">
      <c r="A140" t="s">
        <v>1039</v>
      </c>
      <c r="B140" s="9">
        <v>45817</v>
      </c>
      <c r="C140" t="s">
        <v>192</v>
      </c>
      <c r="D140" t="s">
        <v>809</v>
      </c>
      <c r="E140">
        <v>2</v>
      </c>
      <c r="F140" s="56">
        <v>100000</v>
      </c>
      <c r="G140" s="56">
        <v>200000</v>
      </c>
      <c r="H140" t="s">
        <v>872</v>
      </c>
      <c r="I140" s="56">
        <v>0</v>
      </c>
      <c r="J140" s="56">
        <v>20000</v>
      </c>
      <c r="K140" s="56">
        <v>220000</v>
      </c>
      <c r="L140" t="s">
        <v>873</v>
      </c>
      <c r="M140" t="s">
        <v>901</v>
      </c>
      <c r="N140" t="s">
        <v>875</v>
      </c>
      <c r="O140" s="57">
        <v>45809</v>
      </c>
      <c r="P140" t="s">
        <v>877</v>
      </c>
      <c r="Q140" s="56">
        <v>200000</v>
      </c>
      <c r="R140" t="s">
        <v>810</v>
      </c>
      <c r="S140" t="s">
        <v>727</v>
      </c>
      <c r="T140" t="s">
        <v>728</v>
      </c>
      <c r="U140" t="s">
        <v>193</v>
      </c>
      <c r="V140" t="s">
        <v>7</v>
      </c>
      <c r="W140" t="s">
        <v>12</v>
      </c>
      <c r="X140" t="s">
        <v>9</v>
      </c>
      <c r="Y140" s="56">
        <f>IF(clean[[#This Row],[is_delivered]]="Yes",clean[[#This Row],[net_sales]],0 )</f>
        <v>200000</v>
      </c>
    </row>
    <row r="141" spans="1:25">
      <c r="A141" t="s">
        <v>1278</v>
      </c>
      <c r="B141" s="9">
        <v>45817</v>
      </c>
      <c r="C141" t="s">
        <v>384</v>
      </c>
      <c r="D141" t="s">
        <v>765</v>
      </c>
      <c r="E141">
        <v>1</v>
      </c>
      <c r="F141" s="56">
        <v>500000</v>
      </c>
      <c r="G141" s="56">
        <v>500000</v>
      </c>
      <c r="H141" t="s">
        <v>883</v>
      </c>
      <c r="I141" s="56">
        <v>50000</v>
      </c>
      <c r="J141" s="56">
        <v>15000</v>
      </c>
      <c r="K141" s="56">
        <v>465000</v>
      </c>
      <c r="L141" t="s">
        <v>880</v>
      </c>
      <c r="M141" t="s">
        <v>901</v>
      </c>
      <c r="N141" t="s">
        <v>875</v>
      </c>
      <c r="O141" s="57">
        <v>45809</v>
      </c>
      <c r="P141" t="s">
        <v>877</v>
      </c>
      <c r="Q141" s="56">
        <v>450000</v>
      </c>
      <c r="R141" t="s">
        <v>766</v>
      </c>
      <c r="S141" t="s">
        <v>735</v>
      </c>
      <c r="T141" t="s">
        <v>736</v>
      </c>
      <c r="U141" t="s">
        <v>385</v>
      </c>
      <c r="V141" t="s">
        <v>23</v>
      </c>
      <c r="W141" t="s">
        <v>46</v>
      </c>
      <c r="X141" t="s">
        <v>9</v>
      </c>
      <c r="Y141" s="56">
        <f>IF(clean[[#This Row],[is_delivered]]="Yes",clean[[#This Row],[net_sales]],0 )</f>
        <v>450000</v>
      </c>
    </row>
    <row r="142" spans="1:25">
      <c r="A142" t="s">
        <v>1293</v>
      </c>
      <c r="B142" s="9">
        <v>45817</v>
      </c>
      <c r="C142" t="s">
        <v>121</v>
      </c>
      <c r="D142" t="s">
        <v>765</v>
      </c>
      <c r="E142">
        <v>2</v>
      </c>
      <c r="F142" s="56">
        <v>500000</v>
      </c>
      <c r="G142" s="56">
        <v>1000000</v>
      </c>
      <c r="H142" t="s">
        <v>879</v>
      </c>
      <c r="I142" s="56">
        <v>200000</v>
      </c>
      <c r="J142" s="56">
        <v>25000</v>
      </c>
      <c r="K142" s="56">
        <v>825000</v>
      </c>
      <c r="L142" t="s">
        <v>880</v>
      </c>
      <c r="M142" t="s">
        <v>901</v>
      </c>
      <c r="N142" t="s">
        <v>875</v>
      </c>
      <c r="O142" s="57">
        <v>45809</v>
      </c>
      <c r="P142" t="s">
        <v>877</v>
      </c>
      <c r="Q142" s="56">
        <v>800000</v>
      </c>
      <c r="R142" t="s">
        <v>766</v>
      </c>
      <c r="S142" t="s">
        <v>735</v>
      </c>
      <c r="T142" t="s">
        <v>736</v>
      </c>
      <c r="U142" t="s">
        <v>122</v>
      </c>
      <c r="V142" t="s">
        <v>7</v>
      </c>
      <c r="W142" t="s">
        <v>36</v>
      </c>
      <c r="X142" t="s">
        <v>9</v>
      </c>
      <c r="Y142" s="56">
        <f>IF(clean[[#This Row],[is_delivered]]="Yes",clean[[#This Row],[net_sales]],0 )</f>
        <v>800000</v>
      </c>
    </row>
    <row r="143" spans="1:25">
      <c r="A143" t="s">
        <v>1529</v>
      </c>
      <c r="B143" s="9">
        <v>45817</v>
      </c>
      <c r="C143" t="s">
        <v>528</v>
      </c>
      <c r="D143" t="s">
        <v>765</v>
      </c>
      <c r="E143">
        <v>2</v>
      </c>
      <c r="F143" s="56">
        <v>500000</v>
      </c>
      <c r="G143" s="56">
        <v>1000000</v>
      </c>
      <c r="H143" t="s">
        <v>895</v>
      </c>
      <c r="I143" s="56">
        <v>150000</v>
      </c>
      <c r="J143" s="56">
        <v>30000</v>
      </c>
      <c r="K143" s="56">
        <v>880000</v>
      </c>
      <c r="L143" t="s">
        <v>884</v>
      </c>
      <c r="M143" t="s">
        <v>881</v>
      </c>
      <c r="N143" t="s">
        <v>890</v>
      </c>
      <c r="O143" s="57">
        <v>45809</v>
      </c>
      <c r="P143" t="s">
        <v>892</v>
      </c>
      <c r="Q143" s="56">
        <v>850000</v>
      </c>
      <c r="R143" t="s">
        <v>766</v>
      </c>
      <c r="S143" t="s">
        <v>735</v>
      </c>
      <c r="T143" t="s">
        <v>736</v>
      </c>
      <c r="U143" t="s">
        <v>529</v>
      </c>
      <c r="V143" t="s">
        <v>7</v>
      </c>
      <c r="W143" t="s">
        <v>12</v>
      </c>
      <c r="X143" t="s">
        <v>9</v>
      </c>
      <c r="Y143" s="56">
        <f>IF(clean[[#This Row],[is_delivered]]="Yes",clean[[#This Row],[net_sales]],0 )</f>
        <v>0</v>
      </c>
    </row>
    <row r="144" spans="1:25">
      <c r="A144" t="s">
        <v>1753</v>
      </c>
      <c r="B144" s="9">
        <v>45817</v>
      </c>
      <c r="C144" t="s">
        <v>69</v>
      </c>
      <c r="D144" t="s">
        <v>837</v>
      </c>
      <c r="E144">
        <v>1</v>
      </c>
      <c r="F144" s="56">
        <v>300000</v>
      </c>
      <c r="G144" s="56">
        <v>300000</v>
      </c>
      <c r="H144" t="s">
        <v>872</v>
      </c>
      <c r="I144" s="56">
        <v>0</v>
      </c>
      <c r="J144" s="56">
        <v>25000</v>
      </c>
      <c r="K144" s="56">
        <v>325000</v>
      </c>
      <c r="L144" t="s">
        <v>880</v>
      </c>
      <c r="M144" t="s">
        <v>903</v>
      </c>
      <c r="N144" t="s">
        <v>875</v>
      </c>
      <c r="O144" s="57">
        <v>45809</v>
      </c>
      <c r="P144" t="s">
        <v>877</v>
      </c>
      <c r="Q144" s="56">
        <v>300000</v>
      </c>
      <c r="R144" t="s">
        <v>838</v>
      </c>
      <c r="S144" t="s">
        <v>735</v>
      </c>
      <c r="T144" t="s">
        <v>736</v>
      </c>
      <c r="U144" t="s">
        <v>70</v>
      </c>
      <c r="V144" t="s">
        <v>7</v>
      </c>
      <c r="W144" t="s">
        <v>29</v>
      </c>
      <c r="X144" t="s">
        <v>9</v>
      </c>
      <c r="Y144" s="56">
        <f>IF(clean[[#This Row],[is_delivered]]="Yes",clean[[#This Row],[net_sales]],0 )</f>
        <v>300000</v>
      </c>
    </row>
    <row r="145" spans="1:25">
      <c r="A145" t="s">
        <v>1860</v>
      </c>
      <c r="B145" s="9">
        <v>45817</v>
      </c>
      <c r="C145" t="s">
        <v>550</v>
      </c>
      <c r="D145" t="s">
        <v>815</v>
      </c>
      <c r="E145">
        <v>4</v>
      </c>
      <c r="F145" s="56">
        <v>75000</v>
      </c>
      <c r="G145" s="56">
        <v>300000</v>
      </c>
      <c r="H145" t="s">
        <v>872</v>
      </c>
      <c r="I145" s="56">
        <v>0</v>
      </c>
      <c r="J145" s="56">
        <v>30000</v>
      </c>
      <c r="K145" s="56">
        <v>330000</v>
      </c>
      <c r="L145" t="s">
        <v>884</v>
      </c>
      <c r="M145" t="s">
        <v>901</v>
      </c>
      <c r="N145" t="s">
        <v>890</v>
      </c>
      <c r="O145" s="57">
        <v>45809</v>
      </c>
      <c r="P145" t="s">
        <v>892</v>
      </c>
      <c r="Q145" s="56">
        <v>300000</v>
      </c>
      <c r="R145" t="s">
        <v>816</v>
      </c>
      <c r="S145" t="s">
        <v>739</v>
      </c>
      <c r="T145" t="s">
        <v>740</v>
      </c>
      <c r="U145" t="s">
        <v>551</v>
      </c>
      <c r="V145" t="s">
        <v>23</v>
      </c>
      <c r="W145" t="s">
        <v>36</v>
      </c>
      <c r="X145" t="s">
        <v>15</v>
      </c>
      <c r="Y145" s="56">
        <f>IF(clean[[#This Row],[is_delivered]]="Yes",clean[[#This Row],[net_sales]],0 )</f>
        <v>0</v>
      </c>
    </row>
    <row r="146" spans="1:25">
      <c r="A146" t="s">
        <v>1002</v>
      </c>
      <c r="B146" s="9">
        <v>45816</v>
      </c>
      <c r="C146" t="s">
        <v>160</v>
      </c>
      <c r="D146" t="s">
        <v>847</v>
      </c>
      <c r="E146">
        <v>1</v>
      </c>
      <c r="F146" s="56">
        <v>100000</v>
      </c>
      <c r="G146" s="56">
        <v>100000</v>
      </c>
      <c r="H146" t="s">
        <v>872</v>
      </c>
      <c r="I146" s="56">
        <v>0</v>
      </c>
      <c r="J146" s="56">
        <v>10000</v>
      </c>
      <c r="K146" s="56">
        <v>110000</v>
      </c>
      <c r="L146" t="s">
        <v>884</v>
      </c>
      <c r="M146" t="s">
        <v>874</v>
      </c>
      <c r="N146" t="s">
        <v>875</v>
      </c>
      <c r="O146" s="57">
        <v>45809</v>
      </c>
      <c r="P146" t="s">
        <v>877</v>
      </c>
      <c r="Q146" s="56">
        <v>100000</v>
      </c>
      <c r="R146" t="s">
        <v>848</v>
      </c>
      <c r="S146" t="s">
        <v>731</v>
      </c>
      <c r="T146" t="s">
        <v>732</v>
      </c>
      <c r="U146" t="s">
        <v>161</v>
      </c>
      <c r="V146" t="s">
        <v>23</v>
      </c>
      <c r="W146" t="s">
        <v>137</v>
      </c>
      <c r="X146" t="s">
        <v>9</v>
      </c>
      <c r="Y146" s="56">
        <f>IF(clean[[#This Row],[is_delivered]]="Yes",clean[[#This Row],[net_sales]],0 )</f>
        <v>100000</v>
      </c>
    </row>
    <row r="147" spans="1:25">
      <c r="A147" t="s">
        <v>1343</v>
      </c>
      <c r="B147" s="9">
        <v>45816</v>
      </c>
      <c r="C147" t="s">
        <v>420</v>
      </c>
      <c r="D147" t="s">
        <v>813</v>
      </c>
      <c r="E147">
        <v>2</v>
      </c>
      <c r="F147" s="56">
        <v>35000</v>
      </c>
      <c r="G147" s="56">
        <v>70000</v>
      </c>
      <c r="H147" t="s">
        <v>879</v>
      </c>
      <c r="I147" s="56">
        <v>14000</v>
      </c>
      <c r="J147" s="56">
        <v>15000</v>
      </c>
      <c r="K147" s="56">
        <v>71000</v>
      </c>
      <c r="L147" t="s">
        <v>889</v>
      </c>
      <c r="M147" t="s">
        <v>874</v>
      </c>
      <c r="N147" t="s">
        <v>905</v>
      </c>
      <c r="O147" s="57">
        <v>45809</v>
      </c>
      <c r="P147" t="s">
        <v>892</v>
      </c>
      <c r="Q147" s="56">
        <v>56000</v>
      </c>
      <c r="R147" t="s">
        <v>814</v>
      </c>
      <c r="S147" t="s">
        <v>735</v>
      </c>
      <c r="T147" t="s">
        <v>736</v>
      </c>
      <c r="U147" t="s">
        <v>421</v>
      </c>
      <c r="V147" t="s">
        <v>7</v>
      </c>
      <c r="W147" t="s">
        <v>137</v>
      </c>
      <c r="X147" t="s">
        <v>24</v>
      </c>
      <c r="Y147" s="56">
        <f>IF(clean[[#This Row],[is_delivered]]="Yes",clean[[#This Row],[net_sales]],0 )</f>
        <v>0</v>
      </c>
    </row>
    <row r="148" spans="1:25">
      <c r="A148" t="s">
        <v>1655</v>
      </c>
      <c r="B148" s="9">
        <v>45816</v>
      </c>
      <c r="C148" t="s">
        <v>156</v>
      </c>
      <c r="D148" t="s">
        <v>783</v>
      </c>
      <c r="E148">
        <v>3</v>
      </c>
      <c r="F148" s="56">
        <v>500000</v>
      </c>
      <c r="G148" s="56">
        <v>1500000</v>
      </c>
      <c r="H148" t="s">
        <v>886</v>
      </c>
      <c r="I148" s="56">
        <v>150000</v>
      </c>
      <c r="J148" s="56">
        <v>15000</v>
      </c>
      <c r="K148" s="56">
        <v>1365000</v>
      </c>
      <c r="L148" t="s">
        <v>884</v>
      </c>
      <c r="M148" t="s">
        <v>874</v>
      </c>
      <c r="N148" t="s">
        <v>905</v>
      </c>
      <c r="O148" s="57">
        <v>45809</v>
      </c>
      <c r="P148" t="s">
        <v>892</v>
      </c>
      <c r="Q148" s="56">
        <v>1350000</v>
      </c>
      <c r="R148" t="s">
        <v>784</v>
      </c>
      <c r="S148" t="s">
        <v>747</v>
      </c>
      <c r="T148" t="s">
        <v>748</v>
      </c>
      <c r="U148" t="s">
        <v>157</v>
      </c>
      <c r="V148" t="s">
        <v>23</v>
      </c>
      <c r="W148" t="s">
        <v>137</v>
      </c>
      <c r="X148" t="s">
        <v>15</v>
      </c>
      <c r="Y148" s="56">
        <f>IF(clean[[#This Row],[is_delivered]]="Yes",clean[[#This Row],[net_sales]],0 )</f>
        <v>0</v>
      </c>
    </row>
    <row r="149" spans="1:25">
      <c r="A149" t="s">
        <v>1726</v>
      </c>
      <c r="B149" s="9">
        <v>45816</v>
      </c>
      <c r="C149" t="s">
        <v>274</v>
      </c>
      <c r="D149" t="s">
        <v>761</v>
      </c>
      <c r="E149">
        <v>4</v>
      </c>
      <c r="F149" s="56">
        <v>75000</v>
      </c>
      <c r="G149" s="56">
        <v>300000</v>
      </c>
      <c r="H149" t="s">
        <v>895</v>
      </c>
      <c r="I149" s="56">
        <v>45000</v>
      </c>
      <c r="J149" s="56">
        <v>25000</v>
      </c>
      <c r="K149" s="56">
        <v>280000</v>
      </c>
      <c r="L149" t="s">
        <v>880</v>
      </c>
      <c r="M149" t="s">
        <v>881</v>
      </c>
      <c r="N149" t="s">
        <v>890</v>
      </c>
      <c r="O149" s="57">
        <v>45809</v>
      </c>
      <c r="P149" t="s">
        <v>892</v>
      </c>
      <c r="Q149" s="56">
        <v>255000</v>
      </c>
      <c r="R149" t="s">
        <v>762</v>
      </c>
      <c r="S149" t="s">
        <v>727</v>
      </c>
      <c r="T149" t="s">
        <v>728</v>
      </c>
      <c r="U149" t="s">
        <v>275</v>
      </c>
      <c r="V149" t="s">
        <v>7</v>
      </c>
      <c r="W149" t="s">
        <v>8</v>
      </c>
      <c r="X149" t="s">
        <v>9</v>
      </c>
      <c r="Y149" s="56">
        <f>IF(clean[[#This Row],[is_delivered]]="Yes",clean[[#This Row],[net_sales]],0 )</f>
        <v>0</v>
      </c>
    </row>
    <row r="150" spans="1:25">
      <c r="A150" t="s">
        <v>1745</v>
      </c>
      <c r="B150" s="9">
        <v>45816</v>
      </c>
      <c r="C150" t="s">
        <v>414</v>
      </c>
      <c r="D150" t="s">
        <v>733</v>
      </c>
      <c r="E150">
        <v>4</v>
      </c>
      <c r="F150" s="56">
        <v>150000</v>
      </c>
      <c r="G150" s="56">
        <v>600000</v>
      </c>
      <c r="H150" t="s">
        <v>883</v>
      </c>
      <c r="I150" s="56">
        <v>60000</v>
      </c>
      <c r="J150" s="56">
        <v>10000</v>
      </c>
      <c r="K150" s="56">
        <v>550000</v>
      </c>
      <c r="L150" t="s">
        <v>884</v>
      </c>
      <c r="M150" t="s">
        <v>874</v>
      </c>
      <c r="N150" t="s">
        <v>875</v>
      </c>
      <c r="O150" s="57">
        <v>45809</v>
      </c>
      <c r="P150" t="s">
        <v>877</v>
      </c>
      <c r="Q150" s="56">
        <v>540000</v>
      </c>
      <c r="R150" t="s">
        <v>734</v>
      </c>
      <c r="S150" t="s">
        <v>735</v>
      </c>
      <c r="T150" t="s">
        <v>736</v>
      </c>
      <c r="U150" t="s">
        <v>415</v>
      </c>
      <c r="V150" t="s">
        <v>23</v>
      </c>
      <c r="W150" t="s">
        <v>39</v>
      </c>
      <c r="X150" t="s">
        <v>24</v>
      </c>
      <c r="Y150" s="56">
        <f>IF(clean[[#This Row],[is_delivered]]="Yes",clean[[#This Row],[net_sales]],0 )</f>
        <v>540000</v>
      </c>
    </row>
    <row r="151" spans="1:25">
      <c r="A151" t="s">
        <v>1848</v>
      </c>
      <c r="B151" s="9">
        <v>45816</v>
      </c>
      <c r="C151" t="s">
        <v>424</v>
      </c>
      <c r="D151" t="s">
        <v>831</v>
      </c>
      <c r="E151">
        <v>2</v>
      </c>
      <c r="F151" s="56">
        <v>300000</v>
      </c>
      <c r="G151" s="56">
        <v>600000</v>
      </c>
      <c r="H151" t="s">
        <v>872</v>
      </c>
      <c r="I151" s="56">
        <v>0</v>
      </c>
      <c r="J151" s="56">
        <v>20000</v>
      </c>
      <c r="K151" s="56">
        <v>620000</v>
      </c>
      <c r="L151" t="s">
        <v>873</v>
      </c>
      <c r="M151" t="s">
        <v>881</v>
      </c>
      <c r="N151" t="s">
        <v>875</v>
      </c>
      <c r="O151" s="57">
        <v>45809</v>
      </c>
      <c r="P151" t="s">
        <v>877</v>
      </c>
      <c r="Q151" s="56">
        <v>600000</v>
      </c>
      <c r="R151" t="s">
        <v>832</v>
      </c>
      <c r="S151" t="s">
        <v>747</v>
      </c>
      <c r="T151" t="s">
        <v>748</v>
      </c>
      <c r="U151" t="s">
        <v>425</v>
      </c>
      <c r="V151" t="s">
        <v>7</v>
      </c>
      <c r="W151" t="s">
        <v>8</v>
      </c>
      <c r="X151" t="s">
        <v>24</v>
      </c>
      <c r="Y151" s="56">
        <f>IF(clean[[#This Row],[is_delivered]]="Yes",clean[[#This Row],[net_sales]],0 )</f>
        <v>600000</v>
      </c>
    </row>
    <row r="152" spans="1:25">
      <c r="A152" t="s">
        <v>1248</v>
      </c>
      <c r="B152" s="9">
        <v>45815</v>
      </c>
      <c r="C152" t="s">
        <v>644</v>
      </c>
      <c r="D152" t="s">
        <v>779</v>
      </c>
      <c r="E152">
        <v>1</v>
      </c>
      <c r="F152" s="56">
        <v>150000</v>
      </c>
      <c r="G152" s="56">
        <v>150000</v>
      </c>
      <c r="H152" t="s">
        <v>895</v>
      </c>
      <c r="I152" s="56">
        <v>22500</v>
      </c>
      <c r="J152" s="56">
        <v>25000</v>
      </c>
      <c r="K152" s="56">
        <v>152500</v>
      </c>
      <c r="L152" t="s">
        <v>873</v>
      </c>
      <c r="M152" t="s">
        <v>901</v>
      </c>
      <c r="N152" t="s">
        <v>875</v>
      </c>
      <c r="O152" s="57">
        <v>45809</v>
      </c>
      <c r="P152" t="s">
        <v>877</v>
      </c>
      <c r="Q152" s="56">
        <v>127500</v>
      </c>
      <c r="R152" t="s">
        <v>780</v>
      </c>
      <c r="S152" t="s">
        <v>739</v>
      </c>
      <c r="T152" t="s">
        <v>740</v>
      </c>
      <c r="U152" t="s">
        <v>645</v>
      </c>
      <c r="V152" t="s">
        <v>23</v>
      </c>
      <c r="W152" t="s">
        <v>8</v>
      </c>
      <c r="X152" t="s">
        <v>24</v>
      </c>
      <c r="Y152" s="56">
        <f>IF(clean[[#This Row],[is_delivered]]="Yes",clean[[#This Row],[net_sales]],0 )</f>
        <v>127500</v>
      </c>
    </row>
    <row r="153" spans="1:25">
      <c r="A153" t="s">
        <v>1250</v>
      </c>
      <c r="B153" s="9">
        <v>45815</v>
      </c>
      <c r="C153" t="s">
        <v>436</v>
      </c>
      <c r="D153" t="s">
        <v>821</v>
      </c>
      <c r="E153">
        <v>1</v>
      </c>
      <c r="F153" s="56">
        <v>50000</v>
      </c>
      <c r="G153" s="56">
        <v>50000</v>
      </c>
      <c r="H153" t="s">
        <v>872</v>
      </c>
      <c r="I153" s="56">
        <v>0</v>
      </c>
      <c r="J153" s="56">
        <v>25000</v>
      </c>
      <c r="K153" s="56">
        <v>75000</v>
      </c>
      <c r="L153" t="s">
        <v>889</v>
      </c>
      <c r="M153" t="s">
        <v>881</v>
      </c>
      <c r="N153" t="s">
        <v>911</v>
      </c>
      <c r="O153" s="57">
        <v>45809</v>
      </c>
      <c r="P153" t="s">
        <v>892</v>
      </c>
      <c r="Q153" s="56">
        <v>50000</v>
      </c>
      <c r="R153" t="s">
        <v>822</v>
      </c>
      <c r="S153" t="s">
        <v>727</v>
      </c>
      <c r="T153" t="s">
        <v>728</v>
      </c>
      <c r="U153" t="s">
        <v>437</v>
      </c>
      <c r="V153" t="s">
        <v>7</v>
      </c>
      <c r="W153" t="s">
        <v>51</v>
      </c>
      <c r="X153" t="s">
        <v>9</v>
      </c>
      <c r="Y153" s="56">
        <f>IF(clean[[#This Row],[is_delivered]]="Yes",clean[[#This Row],[net_sales]],0 )</f>
        <v>0</v>
      </c>
    </row>
    <row r="154" spans="1:25">
      <c r="A154" t="s">
        <v>1543</v>
      </c>
      <c r="B154" s="9">
        <v>45815</v>
      </c>
      <c r="C154" t="s">
        <v>408</v>
      </c>
      <c r="D154" t="s">
        <v>779</v>
      </c>
      <c r="E154">
        <v>1</v>
      </c>
      <c r="F154" s="56">
        <v>150000</v>
      </c>
      <c r="G154" s="56">
        <v>150000</v>
      </c>
      <c r="H154" t="s">
        <v>872</v>
      </c>
      <c r="I154" s="56">
        <v>0</v>
      </c>
      <c r="J154" s="56">
        <v>25000</v>
      </c>
      <c r="K154" s="56">
        <v>175000</v>
      </c>
      <c r="L154" t="s">
        <v>880</v>
      </c>
      <c r="M154" t="s">
        <v>881</v>
      </c>
      <c r="N154" t="s">
        <v>875</v>
      </c>
      <c r="O154" s="57">
        <v>45809</v>
      </c>
      <c r="P154" t="s">
        <v>877</v>
      </c>
      <c r="Q154" s="56">
        <v>150000</v>
      </c>
      <c r="R154" t="s">
        <v>780</v>
      </c>
      <c r="S154" t="s">
        <v>739</v>
      </c>
      <c r="T154" t="s">
        <v>740</v>
      </c>
      <c r="U154" t="s">
        <v>409</v>
      </c>
      <c r="V154" t="s">
        <v>7</v>
      </c>
      <c r="W154" t="s">
        <v>8</v>
      </c>
      <c r="X154" t="s">
        <v>24</v>
      </c>
      <c r="Y154" s="56">
        <f>IF(clean[[#This Row],[is_delivered]]="Yes",clean[[#This Row],[net_sales]],0 )</f>
        <v>150000</v>
      </c>
    </row>
    <row r="155" spans="1:25">
      <c r="A155" t="s">
        <v>1800</v>
      </c>
      <c r="B155" s="9">
        <v>45815</v>
      </c>
      <c r="C155" t="s">
        <v>57</v>
      </c>
      <c r="D155" t="s">
        <v>809</v>
      </c>
      <c r="E155">
        <v>1</v>
      </c>
      <c r="F155" s="56">
        <v>100000</v>
      </c>
      <c r="G155" s="56">
        <v>100000</v>
      </c>
      <c r="H155" t="s">
        <v>872</v>
      </c>
      <c r="I155" s="56">
        <v>0</v>
      </c>
      <c r="J155" s="56">
        <v>20000</v>
      </c>
      <c r="K155" s="56">
        <v>120000</v>
      </c>
      <c r="L155" t="s">
        <v>889</v>
      </c>
      <c r="M155" t="s">
        <v>903</v>
      </c>
      <c r="N155" t="s">
        <v>875</v>
      </c>
      <c r="O155" s="57">
        <v>45809</v>
      </c>
      <c r="P155" t="s">
        <v>877</v>
      </c>
      <c r="Q155" s="56">
        <v>100000</v>
      </c>
      <c r="R155" t="s">
        <v>810</v>
      </c>
      <c r="S155" t="s">
        <v>727</v>
      </c>
      <c r="T155" t="s">
        <v>728</v>
      </c>
      <c r="U155" t="s">
        <v>58</v>
      </c>
      <c r="V155" t="s">
        <v>23</v>
      </c>
      <c r="W155" t="s">
        <v>8</v>
      </c>
      <c r="X155" t="s">
        <v>9</v>
      </c>
      <c r="Y155" s="56">
        <f>IF(clean[[#This Row],[is_delivered]]="Yes",clean[[#This Row],[net_sales]],0 )</f>
        <v>100000</v>
      </c>
    </row>
    <row r="156" spans="1:25">
      <c r="A156" t="s">
        <v>1815</v>
      </c>
      <c r="B156" s="9">
        <v>45815</v>
      </c>
      <c r="C156" t="s">
        <v>91</v>
      </c>
      <c r="D156" t="s">
        <v>845</v>
      </c>
      <c r="E156">
        <v>1</v>
      </c>
      <c r="F156" s="56">
        <v>300000</v>
      </c>
      <c r="G156" s="56">
        <v>300000</v>
      </c>
      <c r="H156" t="s">
        <v>895</v>
      </c>
      <c r="I156" s="56">
        <v>45000</v>
      </c>
      <c r="J156" s="56">
        <v>25000</v>
      </c>
      <c r="K156" s="56">
        <v>280000</v>
      </c>
      <c r="L156" t="s">
        <v>889</v>
      </c>
      <c r="M156" t="s">
        <v>874</v>
      </c>
      <c r="N156" t="s">
        <v>875</v>
      </c>
      <c r="O156" s="57">
        <v>45809</v>
      </c>
      <c r="P156" t="s">
        <v>877</v>
      </c>
      <c r="Q156" s="56">
        <v>255000</v>
      </c>
      <c r="R156" t="s">
        <v>846</v>
      </c>
      <c r="S156" t="s">
        <v>727</v>
      </c>
      <c r="T156" t="s">
        <v>728</v>
      </c>
      <c r="U156" t="s">
        <v>92</v>
      </c>
      <c r="V156" t="s">
        <v>23</v>
      </c>
      <c r="W156" t="s">
        <v>8</v>
      </c>
      <c r="X156" t="s">
        <v>15</v>
      </c>
      <c r="Y156" s="56">
        <f>IF(clean[[#This Row],[is_delivered]]="Yes",clean[[#This Row],[net_sales]],0 )</f>
        <v>255000</v>
      </c>
    </row>
    <row r="157" spans="1:25">
      <c r="A157" t="s">
        <v>1849</v>
      </c>
      <c r="B157" s="9">
        <v>45815</v>
      </c>
      <c r="C157" t="s">
        <v>472</v>
      </c>
      <c r="D157" t="s">
        <v>817</v>
      </c>
      <c r="E157">
        <v>3</v>
      </c>
      <c r="F157" s="56">
        <v>75000</v>
      </c>
      <c r="G157" s="56">
        <v>225000</v>
      </c>
      <c r="H157" t="s">
        <v>886</v>
      </c>
      <c r="I157" s="56">
        <v>22500</v>
      </c>
      <c r="J157" s="56">
        <v>10000</v>
      </c>
      <c r="K157" s="56">
        <v>212500</v>
      </c>
      <c r="L157" t="s">
        <v>873</v>
      </c>
      <c r="M157" t="s">
        <v>881</v>
      </c>
      <c r="N157" t="s">
        <v>875</v>
      </c>
      <c r="O157" s="57">
        <v>45809</v>
      </c>
      <c r="P157" t="s">
        <v>877</v>
      </c>
      <c r="Q157" s="56">
        <v>202500</v>
      </c>
      <c r="R157" t="s">
        <v>818</v>
      </c>
      <c r="S157" t="s">
        <v>743</v>
      </c>
      <c r="T157" t="s">
        <v>744</v>
      </c>
      <c r="U157" t="s">
        <v>473</v>
      </c>
      <c r="V157" t="s">
        <v>7</v>
      </c>
      <c r="W157" t="s">
        <v>137</v>
      </c>
      <c r="X157" t="s">
        <v>9</v>
      </c>
      <c r="Y157" s="56">
        <f>IF(clean[[#This Row],[is_delivered]]="Yes",clean[[#This Row],[net_sales]],0 )</f>
        <v>202500</v>
      </c>
    </row>
    <row r="158" spans="1:25">
      <c r="A158" t="s">
        <v>953</v>
      </c>
      <c r="B158" s="9">
        <v>45814</v>
      </c>
      <c r="C158" t="s">
        <v>168</v>
      </c>
      <c r="D158" t="s">
        <v>839</v>
      </c>
      <c r="E158">
        <v>1</v>
      </c>
      <c r="F158" s="56">
        <v>200000</v>
      </c>
      <c r="G158" s="56">
        <v>200000</v>
      </c>
      <c r="H158" t="s">
        <v>872</v>
      </c>
      <c r="I158" s="56">
        <v>0</v>
      </c>
      <c r="J158" s="56">
        <v>10000</v>
      </c>
      <c r="K158" s="56">
        <v>210000</v>
      </c>
      <c r="L158" t="s">
        <v>889</v>
      </c>
      <c r="M158" t="s">
        <v>881</v>
      </c>
      <c r="N158" t="s">
        <v>890</v>
      </c>
      <c r="O158" s="57">
        <v>45809</v>
      </c>
      <c r="P158" t="s">
        <v>892</v>
      </c>
      <c r="Q158" s="56">
        <v>200000</v>
      </c>
      <c r="R158" t="s">
        <v>840</v>
      </c>
      <c r="S158" t="s">
        <v>739</v>
      </c>
      <c r="T158" t="s">
        <v>740</v>
      </c>
      <c r="U158" t="s">
        <v>169</v>
      </c>
      <c r="V158" t="s">
        <v>7</v>
      </c>
      <c r="W158" t="s">
        <v>12</v>
      </c>
      <c r="X158" t="s">
        <v>24</v>
      </c>
      <c r="Y158" s="56">
        <f>IF(clean[[#This Row],[is_delivered]]="Yes",clean[[#This Row],[net_sales]],0 )</f>
        <v>0</v>
      </c>
    </row>
    <row r="159" spans="1:25">
      <c r="A159" t="s">
        <v>1000</v>
      </c>
      <c r="B159" s="9">
        <v>45814</v>
      </c>
      <c r="C159" t="s">
        <v>496</v>
      </c>
      <c r="D159" t="s">
        <v>791</v>
      </c>
      <c r="E159">
        <v>1</v>
      </c>
      <c r="F159" s="56">
        <v>50000</v>
      </c>
      <c r="G159" s="56">
        <v>50000</v>
      </c>
      <c r="H159" t="s">
        <v>895</v>
      </c>
      <c r="I159" s="56">
        <v>7500</v>
      </c>
      <c r="J159" s="56">
        <v>10000</v>
      </c>
      <c r="K159" s="56">
        <v>52500</v>
      </c>
      <c r="L159" t="s">
        <v>889</v>
      </c>
      <c r="M159" t="s">
        <v>903</v>
      </c>
      <c r="N159" t="s">
        <v>875</v>
      </c>
      <c r="O159" s="57">
        <v>45809</v>
      </c>
      <c r="P159" t="s">
        <v>877</v>
      </c>
      <c r="Q159" s="56">
        <v>42500</v>
      </c>
      <c r="R159" t="s">
        <v>792</v>
      </c>
      <c r="S159" t="s">
        <v>739</v>
      </c>
      <c r="T159" t="s">
        <v>740</v>
      </c>
      <c r="U159" t="s">
        <v>497</v>
      </c>
      <c r="V159" t="s">
        <v>7</v>
      </c>
      <c r="W159" t="s">
        <v>56</v>
      </c>
      <c r="X159" t="s">
        <v>24</v>
      </c>
      <c r="Y159" s="56">
        <f>IF(clean[[#This Row],[is_delivered]]="Yes",clean[[#This Row],[net_sales]],0 )</f>
        <v>42500</v>
      </c>
    </row>
    <row r="160" spans="1:25">
      <c r="A160" t="s">
        <v>1176</v>
      </c>
      <c r="B160" s="9">
        <v>45814</v>
      </c>
      <c r="C160" t="s">
        <v>332</v>
      </c>
      <c r="D160" t="s">
        <v>803</v>
      </c>
      <c r="E160">
        <v>1</v>
      </c>
      <c r="F160" s="56">
        <v>50000</v>
      </c>
      <c r="G160" s="56">
        <v>50000</v>
      </c>
      <c r="H160" t="s">
        <v>895</v>
      </c>
      <c r="I160" s="56">
        <v>7500</v>
      </c>
      <c r="J160" s="56">
        <v>25000</v>
      </c>
      <c r="K160" s="56">
        <v>67500</v>
      </c>
      <c r="L160" t="s">
        <v>873</v>
      </c>
      <c r="M160" t="s">
        <v>881</v>
      </c>
      <c r="N160" t="s">
        <v>875</v>
      </c>
      <c r="O160" s="57">
        <v>45809</v>
      </c>
      <c r="P160" t="s">
        <v>877</v>
      </c>
      <c r="Q160" s="56">
        <v>42500</v>
      </c>
      <c r="R160" t="s">
        <v>804</v>
      </c>
      <c r="S160" t="s">
        <v>739</v>
      </c>
      <c r="T160" t="s">
        <v>740</v>
      </c>
      <c r="U160" t="s">
        <v>333</v>
      </c>
      <c r="V160" t="s">
        <v>23</v>
      </c>
      <c r="W160" t="s">
        <v>12</v>
      </c>
      <c r="X160" t="s">
        <v>9</v>
      </c>
      <c r="Y160" s="56">
        <f>IF(clean[[#This Row],[is_delivered]]="Yes",clean[[#This Row],[net_sales]],0 )</f>
        <v>42500</v>
      </c>
    </row>
    <row r="161" spans="1:25">
      <c r="A161" t="s">
        <v>1386</v>
      </c>
      <c r="B161" s="9">
        <v>45814</v>
      </c>
      <c r="C161" t="s">
        <v>125</v>
      </c>
      <c r="D161" t="s">
        <v>787</v>
      </c>
      <c r="E161">
        <v>1</v>
      </c>
      <c r="F161" s="56">
        <v>200000</v>
      </c>
      <c r="G161" s="56">
        <v>200000</v>
      </c>
      <c r="H161" t="s">
        <v>872</v>
      </c>
      <c r="I161" s="56">
        <v>0</v>
      </c>
      <c r="J161" s="56">
        <v>10000</v>
      </c>
      <c r="K161" s="56">
        <v>210000</v>
      </c>
      <c r="L161" t="s">
        <v>884</v>
      </c>
      <c r="M161" t="s">
        <v>881</v>
      </c>
      <c r="N161" t="s">
        <v>911</v>
      </c>
      <c r="O161" s="57">
        <v>45809</v>
      </c>
      <c r="P161" t="s">
        <v>892</v>
      </c>
      <c r="Q161" s="56">
        <v>200000</v>
      </c>
      <c r="R161" t="s">
        <v>788</v>
      </c>
      <c r="S161" t="s">
        <v>731</v>
      </c>
      <c r="T161" t="s">
        <v>732</v>
      </c>
      <c r="U161" t="s">
        <v>126</v>
      </c>
      <c r="V161" t="s">
        <v>23</v>
      </c>
      <c r="W161" t="s">
        <v>56</v>
      </c>
      <c r="X161" t="s">
        <v>9</v>
      </c>
      <c r="Y161" s="56">
        <f>IF(clean[[#This Row],[is_delivered]]="Yes",clean[[#This Row],[net_sales]],0 )</f>
        <v>0</v>
      </c>
    </row>
    <row r="162" spans="1:25">
      <c r="A162" t="s">
        <v>1404</v>
      </c>
      <c r="B162" s="9">
        <v>45814</v>
      </c>
      <c r="C162" t="s">
        <v>47</v>
      </c>
      <c r="D162" t="s">
        <v>805</v>
      </c>
      <c r="E162">
        <v>4</v>
      </c>
      <c r="F162" s="56">
        <v>200000</v>
      </c>
      <c r="G162" s="56">
        <v>800000</v>
      </c>
      <c r="H162" t="s">
        <v>872</v>
      </c>
      <c r="I162" s="56">
        <v>0</v>
      </c>
      <c r="J162" s="56">
        <v>15000</v>
      </c>
      <c r="K162" s="56">
        <v>815000</v>
      </c>
      <c r="L162" t="s">
        <v>884</v>
      </c>
      <c r="M162" t="s">
        <v>901</v>
      </c>
      <c r="N162" t="s">
        <v>905</v>
      </c>
      <c r="O162" s="57">
        <v>45809</v>
      </c>
      <c r="P162" t="s">
        <v>892</v>
      </c>
      <c r="Q162" s="56">
        <v>800000</v>
      </c>
      <c r="R162" t="s">
        <v>806</v>
      </c>
      <c r="S162" t="s">
        <v>743</v>
      </c>
      <c r="T162" t="s">
        <v>744</v>
      </c>
      <c r="U162" t="s">
        <v>48</v>
      </c>
      <c r="V162" t="s">
        <v>23</v>
      </c>
      <c r="W162" t="s">
        <v>36</v>
      </c>
      <c r="X162" t="s">
        <v>9</v>
      </c>
      <c r="Y162" s="56">
        <f>IF(clean[[#This Row],[is_delivered]]="Yes",clean[[#This Row],[net_sales]],0 )</f>
        <v>0</v>
      </c>
    </row>
    <row r="163" spans="1:25">
      <c r="A163" t="s">
        <v>1493</v>
      </c>
      <c r="B163" s="9">
        <v>45814</v>
      </c>
      <c r="C163" t="s">
        <v>322</v>
      </c>
      <c r="D163" t="s">
        <v>755</v>
      </c>
      <c r="E163">
        <v>2</v>
      </c>
      <c r="F163" s="56">
        <v>50000</v>
      </c>
      <c r="G163" s="56">
        <v>100000</v>
      </c>
      <c r="H163" t="s">
        <v>879</v>
      </c>
      <c r="I163" s="56">
        <v>20000</v>
      </c>
      <c r="J163" s="56">
        <v>15000</v>
      </c>
      <c r="K163" s="56">
        <v>95000</v>
      </c>
      <c r="L163" t="s">
        <v>873</v>
      </c>
      <c r="M163" t="s">
        <v>874</v>
      </c>
      <c r="N163" t="s">
        <v>905</v>
      </c>
      <c r="O163" s="57">
        <v>45809</v>
      </c>
      <c r="P163" t="s">
        <v>892</v>
      </c>
      <c r="Q163" s="56">
        <v>80000</v>
      </c>
      <c r="R163" t="s">
        <v>756</v>
      </c>
      <c r="S163" t="s">
        <v>739</v>
      </c>
      <c r="T163" t="s">
        <v>740</v>
      </c>
      <c r="U163" t="s">
        <v>323</v>
      </c>
      <c r="V163" t="s">
        <v>7</v>
      </c>
      <c r="W163" t="s">
        <v>8</v>
      </c>
      <c r="X163" t="s">
        <v>9</v>
      </c>
      <c r="Y163" s="56">
        <f>IF(clean[[#This Row],[is_delivered]]="Yes",clean[[#This Row],[net_sales]],0 )</f>
        <v>0</v>
      </c>
    </row>
    <row r="164" spans="1:25">
      <c r="A164" t="s">
        <v>1619</v>
      </c>
      <c r="B164" s="9">
        <v>45814</v>
      </c>
      <c r="C164" t="s">
        <v>688</v>
      </c>
      <c r="D164" t="s">
        <v>793</v>
      </c>
      <c r="E164">
        <v>2</v>
      </c>
      <c r="F164" s="56">
        <v>500000</v>
      </c>
      <c r="G164" s="56">
        <v>1000000</v>
      </c>
      <c r="H164" t="s">
        <v>883</v>
      </c>
      <c r="I164" s="56">
        <v>100000</v>
      </c>
      <c r="J164" s="56">
        <v>20000</v>
      </c>
      <c r="K164" s="56">
        <v>920000</v>
      </c>
      <c r="L164" t="s">
        <v>889</v>
      </c>
      <c r="M164" t="s">
        <v>874</v>
      </c>
      <c r="N164" t="s">
        <v>875</v>
      </c>
      <c r="O164" s="57">
        <v>45809</v>
      </c>
      <c r="P164" t="s">
        <v>877</v>
      </c>
      <c r="Q164" s="56">
        <v>900000</v>
      </c>
      <c r="R164" t="s">
        <v>794</v>
      </c>
      <c r="S164" t="s">
        <v>743</v>
      </c>
      <c r="T164" t="s">
        <v>744</v>
      </c>
      <c r="U164" t="s">
        <v>689</v>
      </c>
      <c r="V164" t="s">
        <v>7</v>
      </c>
      <c r="W164" t="s">
        <v>46</v>
      </c>
      <c r="X164" t="s">
        <v>24</v>
      </c>
      <c r="Y164" s="56">
        <f>IF(clean[[#This Row],[is_delivered]]="Yes",clean[[#This Row],[net_sales]],0 )</f>
        <v>900000</v>
      </c>
    </row>
    <row r="165" spans="1:25">
      <c r="A165" t="s">
        <v>1126</v>
      </c>
      <c r="B165" s="9">
        <v>45813</v>
      </c>
      <c r="C165" t="s">
        <v>25</v>
      </c>
      <c r="D165" t="s">
        <v>737</v>
      </c>
      <c r="E165">
        <v>2</v>
      </c>
      <c r="F165" s="56">
        <v>300000</v>
      </c>
      <c r="G165" s="56">
        <v>600000</v>
      </c>
      <c r="H165" t="s">
        <v>872</v>
      </c>
      <c r="I165" s="56">
        <v>0</v>
      </c>
      <c r="J165" s="56">
        <v>15000</v>
      </c>
      <c r="K165" s="56">
        <v>615000</v>
      </c>
      <c r="L165" t="s">
        <v>884</v>
      </c>
      <c r="M165" t="s">
        <v>874</v>
      </c>
      <c r="N165" t="s">
        <v>911</v>
      </c>
      <c r="O165" s="57">
        <v>45809</v>
      </c>
      <c r="P165" t="s">
        <v>892</v>
      </c>
      <c r="Q165" s="56">
        <v>600000</v>
      </c>
      <c r="R165" t="s">
        <v>738</v>
      </c>
      <c r="S165" t="s">
        <v>739</v>
      </c>
      <c r="T165" t="s">
        <v>740</v>
      </c>
      <c r="U165" t="s">
        <v>26</v>
      </c>
      <c r="V165" t="s">
        <v>23</v>
      </c>
      <c r="W165" t="s">
        <v>20</v>
      </c>
      <c r="X165" t="s">
        <v>9</v>
      </c>
      <c r="Y165" s="56">
        <f>IF(clean[[#This Row],[is_delivered]]="Yes",clean[[#This Row],[net_sales]],0 )</f>
        <v>0</v>
      </c>
    </row>
    <row r="166" spans="1:25">
      <c r="A166" t="s">
        <v>996</v>
      </c>
      <c r="B166" s="9">
        <v>45813</v>
      </c>
      <c r="C166" t="s">
        <v>252</v>
      </c>
      <c r="D166" t="s">
        <v>793</v>
      </c>
      <c r="E166">
        <v>1</v>
      </c>
      <c r="F166" s="56">
        <v>500000</v>
      </c>
      <c r="G166" s="56">
        <v>500000</v>
      </c>
      <c r="H166" t="s">
        <v>886</v>
      </c>
      <c r="I166" s="56">
        <v>50000</v>
      </c>
      <c r="J166" s="56">
        <v>25000</v>
      </c>
      <c r="K166" s="56">
        <v>475000</v>
      </c>
      <c r="L166" t="s">
        <v>889</v>
      </c>
      <c r="M166" t="s">
        <v>874</v>
      </c>
      <c r="N166" t="s">
        <v>875</v>
      </c>
      <c r="O166" s="57">
        <v>45809</v>
      </c>
      <c r="P166" t="s">
        <v>877</v>
      </c>
      <c r="Q166" s="56">
        <v>450000</v>
      </c>
      <c r="R166" t="s">
        <v>794</v>
      </c>
      <c r="S166" t="s">
        <v>743</v>
      </c>
      <c r="T166" t="s">
        <v>744</v>
      </c>
      <c r="U166" t="s">
        <v>253</v>
      </c>
      <c r="V166" t="s">
        <v>7</v>
      </c>
      <c r="W166" t="s">
        <v>29</v>
      </c>
      <c r="X166" t="s">
        <v>9</v>
      </c>
      <c r="Y166" s="56">
        <f>IF(clean[[#This Row],[is_delivered]]="Yes",clean[[#This Row],[net_sales]],0 )</f>
        <v>450000</v>
      </c>
    </row>
    <row r="167" spans="1:25">
      <c r="A167" t="s">
        <v>1091</v>
      </c>
      <c r="B167" s="9">
        <v>45813</v>
      </c>
      <c r="C167" t="s">
        <v>514</v>
      </c>
      <c r="D167" t="s">
        <v>787</v>
      </c>
      <c r="E167">
        <v>3</v>
      </c>
      <c r="F167" s="56">
        <v>200000</v>
      </c>
      <c r="G167" s="56">
        <v>600000</v>
      </c>
      <c r="H167" t="s">
        <v>872</v>
      </c>
      <c r="I167" s="56">
        <v>0</v>
      </c>
      <c r="J167" s="56">
        <v>15000</v>
      </c>
      <c r="K167" s="56">
        <v>615000</v>
      </c>
      <c r="L167" t="s">
        <v>884</v>
      </c>
      <c r="M167" t="s">
        <v>903</v>
      </c>
      <c r="N167" t="s">
        <v>890</v>
      </c>
      <c r="O167" s="57">
        <v>45809</v>
      </c>
      <c r="P167" t="s">
        <v>892</v>
      </c>
      <c r="Q167" s="56">
        <v>600000</v>
      </c>
      <c r="R167" t="s">
        <v>788</v>
      </c>
      <c r="S167" t="s">
        <v>731</v>
      </c>
      <c r="T167" t="s">
        <v>732</v>
      </c>
      <c r="U167" t="s">
        <v>515</v>
      </c>
      <c r="V167" t="s">
        <v>23</v>
      </c>
      <c r="W167" t="s">
        <v>39</v>
      </c>
      <c r="X167" t="s">
        <v>9</v>
      </c>
      <c r="Y167" s="56">
        <f>IF(clean[[#This Row],[is_delivered]]="Yes",clean[[#This Row],[net_sales]],0 )</f>
        <v>0</v>
      </c>
    </row>
    <row r="168" spans="1:25">
      <c r="A168" t="s">
        <v>1190</v>
      </c>
      <c r="B168" s="9">
        <v>45813</v>
      </c>
      <c r="C168" t="s">
        <v>528</v>
      </c>
      <c r="D168" t="s">
        <v>821</v>
      </c>
      <c r="E168">
        <v>2</v>
      </c>
      <c r="F168" s="56">
        <v>50000</v>
      </c>
      <c r="G168" s="56">
        <v>100000</v>
      </c>
      <c r="H168" t="s">
        <v>886</v>
      </c>
      <c r="I168" s="56">
        <v>10000</v>
      </c>
      <c r="J168" s="56">
        <v>20000</v>
      </c>
      <c r="K168" s="56">
        <v>110000</v>
      </c>
      <c r="L168" t="s">
        <v>884</v>
      </c>
      <c r="M168" t="s">
        <v>903</v>
      </c>
      <c r="N168" t="s">
        <v>875</v>
      </c>
      <c r="O168" s="57">
        <v>45809</v>
      </c>
      <c r="P168" t="s">
        <v>877</v>
      </c>
      <c r="Q168" s="56">
        <v>90000</v>
      </c>
      <c r="R168" t="s">
        <v>822</v>
      </c>
      <c r="S168" t="s">
        <v>727</v>
      </c>
      <c r="T168" t="s">
        <v>728</v>
      </c>
      <c r="U168" t="s">
        <v>529</v>
      </c>
      <c r="V168" t="s">
        <v>7</v>
      </c>
      <c r="W168" t="s">
        <v>12</v>
      </c>
      <c r="X168" t="s">
        <v>9</v>
      </c>
      <c r="Y168" s="56">
        <f>IF(clean[[#This Row],[is_delivered]]="Yes",clean[[#This Row],[net_sales]],0 )</f>
        <v>90000</v>
      </c>
    </row>
    <row r="169" spans="1:25">
      <c r="A169" t="s">
        <v>1304</v>
      </c>
      <c r="B169" s="9">
        <v>45813</v>
      </c>
      <c r="C169" t="s">
        <v>280</v>
      </c>
      <c r="D169" t="s">
        <v>825</v>
      </c>
      <c r="E169">
        <v>3</v>
      </c>
      <c r="F169" s="56">
        <v>100000</v>
      </c>
      <c r="G169" s="56">
        <v>300000</v>
      </c>
      <c r="H169" t="s">
        <v>886</v>
      </c>
      <c r="I169" s="56">
        <v>30000</v>
      </c>
      <c r="J169" s="56">
        <v>10000</v>
      </c>
      <c r="K169" s="56">
        <v>280000</v>
      </c>
      <c r="L169" t="s">
        <v>884</v>
      </c>
      <c r="M169" t="s">
        <v>901</v>
      </c>
      <c r="N169" t="s">
        <v>905</v>
      </c>
      <c r="O169" s="57">
        <v>45809</v>
      </c>
      <c r="P169" t="s">
        <v>892</v>
      </c>
      <c r="Q169" s="56">
        <v>270000</v>
      </c>
      <c r="R169" t="s">
        <v>826</v>
      </c>
      <c r="S169" t="s">
        <v>735</v>
      </c>
      <c r="T169" t="s">
        <v>736</v>
      </c>
      <c r="U169" t="s">
        <v>281</v>
      </c>
      <c r="V169" t="s">
        <v>7</v>
      </c>
      <c r="W169" t="s">
        <v>137</v>
      </c>
      <c r="X169" t="s">
        <v>9</v>
      </c>
      <c r="Y169" s="56">
        <f>IF(clean[[#This Row],[is_delivered]]="Yes",clean[[#This Row],[net_sales]],0 )</f>
        <v>0</v>
      </c>
    </row>
    <row r="170" spans="1:25">
      <c r="A170" t="s">
        <v>1634</v>
      </c>
      <c r="B170" s="9">
        <v>45813</v>
      </c>
      <c r="C170" t="s">
        <v>340</v>
      </c>
      <c r="D170" t="s">
        <v>821</v>
      </c>
      <c r="E170">
        <v>4</v>
      </c>
      <c r="F170" s="56">
        <v>50000</v>
      </c>
      <c r="G170" s="56">
        <v>200000</v>
      </c>
      <c r="H170" t="s">
        <v>886</v>
      </c>
      <c r="I170" s="56">
        <v>20000</v>
      </c>
      <c r="J170" s="56">
        <v>30000</v>
      </c>
      <c r="K170" s="56">
        <v>210000</v>
      </c>
      <c r="L170" t="s">
        <v>873</v>
      </c>
      <c r="M170" t="s">
        <v>901</v>
      </c>
      <c r="N170" t="s">
        <v>875</v>
      </c>
      <c r="O170" s="57">
        <v>45809</v>
      </c>
      <c r="P170" t="s">
        <v>877</v>
      </c>
      <c r="Q170" s="56">
        <v>180000</v>
      </c>
      <c r="R170" t="s">
        <v>822</v>
      </c>
      <c r="S170" t="s">
        <v>727</v>
      </c>
      <c r="T170" t="s">
        <v>728</v>
      </c>
      <c r="U170" t="s">
        <v>341</v>
      </c>
      <c r="V170" t="s">
        <v>7</v>
      </c>
      <c r="W170" t="s">
        <v>46</v>
      </c>
      <c r="X170" t="s">
        <v>24</v>
      </c>
      <c r="Y170" s="56">
        <f>IF(clean[[#This Row],[is_delivered]]="Yes",clean[[#This Row],[net_sales]],0 )</f>
        <v>180000</v>
      </c>
    </row>
    <row r="171" spans="1:25">
      <c r="A171" t="s">
        <v>1780</v>
      </c>
      <c r="B171" s="9">
        <v>45813</v>
      </c>
      <c r="C171" t="s">
        <v>228</v>
      </c>
      <c r="D171" t="s">
        <v>725</v>
      </c>
      <c r="E171">
        <v>1</v>
      </c>
      <c r="F171" s="56">
        <v>300000</v>
      </c>
      <c r="G171" s="56">
        <v>300000</v>
      </c>
      <c r="H171" t="s">
        <v>879</v>
      </c>
      <c r="I171" s="56">
        <v>60000</v>
      </c>
      <c r="J171" s="56">
        <v>20000</v>
      </c>
      <c r="K171" s="56">
        <v>260000</v>
      </c>
      <c r="L171" t="s">
        <v>884</v>
      </c>
      <c r="M171" t="s">
        <v>903</v>
      </c>
      <c r="N171" t="s">
        <v>875</v>
      </c>
      <c r="O171" s="57">
        <v>45809</v>
      </c>
      <c r="P171" t="s">
        <v>877</v>
      </c>
      <c r="Q171" s="56">
        <v>240000</v>
      </c>
      <c r="R171" t="s">
        <v>726</v>
      </c>
      <c r="S171" t="s">
        <v>727</v>
      </c>
      <c r="T171" t="s">
        <v>728</v>
      </c>
      <c r="U171" t="s">
        <v>229</v>
      </c>
      <c r="V171" t="s">
        <v>23</v>
      </c>
      <c r="W171" t="s">
        <v>39</v>
      </c>
      <c r="X171" t="s">
        <v>9</v>
      </c>
      <c r="Y171" s="56">
        <f>IF(clean[[#This Row],[is_delivered]]="Yes",clean[[#This Row],[net_sales]],0 )</f>
        <v>240000</v>
      </c>
    </row>
    <row r="172" spans="1:25">
      <c r="A172" t="s">
        <v>1821</v>
      </c>
      <c r="B172" s="9">
        <v>45813</v>
      </c>
      <c r="C172" t="s">
        <v>464</v>
      </c>
      <c r="D172" t="s">
        <v>777</v>
      </c>
      <c r="E172">
        <v>3</v>
      </c>
      <c r="F172" s="56">
        <v>200000</v>
      </c>
      <c r="G172" s="56">
        <v>600000</v>
      </c>
      <c r="H172" t="s">
        <v>886</v>
      </c>
      <c r="I172" s="56">
        <v>60000</v>
      </c>
      <c r="J172" s="56">
        <v>25000</v>
      </c>
      <c r="K172" s="56">
        <v>565000</v>
      </c>
      <c r="L172" t="s">
        <v>884</v>
      </c>
      <c r="M172" t="s">
        <v>881</v>
      </c>
      <c r="N172" t="s">
        <v>905</v>
      </c>
      <c r="O172" s="57">
        <v>45809</v>
      </c>
      <c r="P172" t="s">
        <v>892</v>
      </c>
      <c r="Q172" s="56">
        <v>540000</v>
      </c>
      <c r="R172" t="s">
        <v>778</v>
      </c>
      <c r="S172" t="s">
        <v>735</v>
      </c>
      <c r="T172" t="s">
        <v>736</v>
      </c>
      <c r="U172" t="s">
        <v>465</v>
      </c>
      <c r="V172" t="s">
        <v>23</v>
      </c>
      <c r="W172" t="s">
        <v>12</v>
      </c>
      <c r="X172" t="s">
        <v>9</v>
      </c>
      <c r="Y172" s="56">
        <f>IF(clean[[#This Row],[is_delivered]]="Yes",clean[[#This Row],[net_sales]],0 )</f>
        <v>0</v>
      </c>
    </row>
    <row r="173" spans="1:25">
      <c r="A173" t="s">
        <v>2031</v>
      </c>
      <c r="B173" s="9">
        <v>45813</v>
      </c>
      <c r="C173" t="s">
        <v>536</v>
      </c>
      <c r="D173" t="s">
        <v>811</v>
      </c>
      <c r="E173">
        <v>2</v>
      </c>
      <c r="F173" s="56">
        <v>35000</v>
      </c>
      <c r="G173" s="56">
        <v>70000</v>
      </c>
      <c r="H173" t="s">
        <v>886</v>
      </c>
      <c r="I173" s="56">
        <v>7000</v>
      </c>
      <c r="J173" s="56">
        <v>30000</v>
      </c>
      <c r="K173" s="56">
        <v>93000</v>
      </c>
      <c r="L173" t="s">
        <v>873</v>
      </c>
      <c r="M173" t="s">
        <v>901</v>
      </c>
      <c r="N173" t="s">
        <v>875</v>
      </c>
      <c r="O173" s="57">
        <v>45809</v>
      </c>
      <c r="P173" t="s">
        <v>877</v>
      </c>
      <c r="Q173" s="56">
        <v>63000</v>
      </c>
      <c r="R173" t="s">
        <v>812</v>
      </c>
      <c r="S173" t="s">
        <v>731</v>
      </c>
      <c r="T173" t="s">
        <v>732</v>
      </c>
      <c r="U173" t="s">
        <v>537</v>
      </c>
      <c r="V173" t="s">
        <v>7</v>
      </c>
      <c r="W173" t="s">
        <v>36</v>
      </c>
      <c r="X173" t="s">
        <v>9</v>
      </c>
      <c r="Y173" s="56">
        <f>IF(clean[[#This Row],[is_delivered]]="Yes",clean[[#This Row],[net_sales]],0 )</f>
        <v>63000</v>
      </c>
    </row>
    <row r="174" spans="1:25">
      <c r="A174" t="s">
        <v>1192</v>
      </c>
      <c r="B174" s="9">
        <v>45812</v>
      </c>
      <c r="C174" t="s">
        <v>85</v>
      </c>
      <c r="D174" t="s">
        <v>837</v>
      </c>
      <c r="E174">
        <v>1</v>
      </c>
      <c r="F174" s="56">
        <v>300000</v>
      </c>
      <c r="G174" s="56">
        <v>300000</v>
      </c>
      <c r="H174" t="s">
        <v>886</v>
      </c>
      <c r="I174" s="56">
        <v>30000</v>
      </c>
      <c r="J174" s="56">
        <v>25000</v>
      </c>
      <c r="K174" s="56">
        <v>295000</v>
      </c>
      <c r="L174" t="s">
        <v>873</v>
      </c>
      <c r="M174" t="s">
        <v>901</v>
      </c>
      <c r="N174" t="s">
        <v>875</v>
      </c>
      <c r="O174" s="57">
        <v>45809</v>
      </c>
      <c r="P174" t="s">
        <v>877</v>
      </c>
      <c r="Q174" s="56">
        <v>270000</v>
      </c>
      <c r="R174" t="s">
        <v>838</v>
      </c>
      <c r="S174" t="s">
        <v>735</v>
      </c>
      <c r="T174" t="s">
        <v>736</v>
      </c>
      <c r="U174" t="s">
        <v>86</v>
      </c>
      <c r="V174" t="s">
        <v>23</v>
      </c>
      <c r="W174" t="s">
        <v>39</v>
      </c>
      <c r="X174" t="s">
        <v>9</v>
      </c>
      <c r="Y174" s="56">
        <f>IF(clean[[#This Row],[is_delivered]]="Yes",clean[[#This Row],[net_sales]],0 )</f>
        <v>270000</v>
      </c>
    </row>
    <row r="175" spans="1:25">
      <c r="A175" t="s">
        <v>1054</v>
      </c>
      <c r="B175" s="9">
        <v>45812</v>
      </c>
      <c r="C175" t="s">
        <v>150</v>
      </c>
      <c r="D175" t="s">
        <v>817</v>
      </c>
      <c r="E175">
        <v>2</v>
      </c>
      <c r="F175" s="56">
        <v>75000</v>
      </c>
      <c r="G175" s="56">
        <v>150000</v>
      </c>
      <c r="H175" t="s">
        <v>895</v>
      </c>
      <c r="I175" s="56">
        <v>22500</v>
      </c>
      <c r="J175" s="56">
        <v>25000</v>
      </c>
      <c r="K175" s="56">
        <v>152500</v>
      </c>
      <c r="L175" t="s">
        <v>884</v>
      </c>
      <c r="M175" t="s">
        <v>2106</v>
      </c>
      <c r="N175" t="s">
        <v>875</v>
      </c>
      <c r="O175" s="57">
        <v>45809</v>
      </c>
      <c r="P175" t="s">
        <v>877</v>
      </c>
      <c r="Q175" s="56">
        <v>127500</v>
      </c>
      <c r="R175" t="s">
        <v>818</v>
      </c>
      <c r="S175" t="s">
        <v>743</v>
      </c>
      <c r="T175" t="s">
        <v>744</v>
      </c>
      <c r="U175" t="s">
        <v>151</v>
      </c>
      <c r="V175" t="s">
        <v>23</v>
      </c>
      <c r="W175" t="s">
        <v>29</v>
      </c>
      <c r="X175" t="s">
        <v>15</v>
      </c>
      <c r="Y175" s="56">
        <f>IF(clean[[#This Row],[is_delivered]]="Yes",clean[[#This Row],[net_sales]],0 )</f>
        <v>127500</v>
      </c>
    </row>
    <row r="176" spans="1:25">
      <c r="A176" t="s">
        <v>1005</v>
      </c>
      <c r="B176" s="9">
        <v>45811</v>
      </c>
      <c r="C176" t="s">
        <v>712</v>
      </c>
      <c r="D176" t="s">
        <v>809</v>
      </c>
      <c r="E176">
        <v>2</v>
      </c>
      <c r="F176" s="56">
        <v>100000</v>
      </c>
      <c r="G176" s="56">
        <v>200000</v>
      </c>
      <c r="H176" t="s">
        <v>895</v>
      </c>
      <c r="I176" s="56">
        <v>30000</v>
      </c>
      <c r="J176" s="56">
        <v>10000</v>
      </c>
      <c r="K176" s="56">
        <v>180000</v>
      </c>
      <c r="L176" t="s">
        <v>880</v>
      </c>
      <c r="M176" t="s">
        <v>874</v>
      </c>
      <c r="N176" t="s">
        <v>875</v>
      </c>
      <c r="O176" s="57">
        <v>45809</v>
      </c>
      <c r="P176" t="s">
        <v>877</v>
      </c>
      <c r="Q176" s="56">
        <v>170000</v>
      </c>
      <c r="R176" t="s">
        <v>810</v>
      </c>
      <c r="S176" t="s">
        <v>727</v>
      </c>
      <c r="T176" t="s">
        <v>728</v>
      </c>
      <c r="U176" t="s">
        <v>713</v>
      </c>
      <c r="V176" t="s">
        <v>23</v>
      </c>
      <c r="W176" t="s">
        <v>29</v>
      </c>
      <c r="X176" t="s">
        <v>9</v>
      </c>
      <c r="Y176" s="56">
        <f>IF(clean[[#This Row],[is_delivered]]="Yes",clean[[#This Row],[net_sales]],0 )</f>
        <v>170000</v>
      </c>
    </row>
    <row r="177" spans="1:25">
      <c r="A177" t="s">
        <v>1485</v>
      </c>
      <c r="B177" s="9">
        <v>45811</v>
      </c>
      <c r="C177" t="s">
        <v>87</v>
      </c>
      <c r="D177" t="s">
        <v>765</v>
      </c>
      <c r="E177">
        <v>1</v>
      </c>
      <c r="F177" s="56">
        <v>500000</v>
      </c>
      <c r="G177" s="56">
        <v>500000</v>
      </c>
      <c r="H177" t="s">
        <v>886</v>
      </c>
      <c r="I177" s="56">
        <v>50000</v>
      </c>
      <c r="J177" s="56">
        <v>20000</v>
      </c>
      <c r="K177" s="56">
        <v>470000</v>
      </c>
      <c r="L177" t="s">
        <v>889</v>
      </c>
      <c r="M177" t="s">
        <v>901</v>
      </c>
      <c r="N177" t="s">
        <v>875</v>
      </c>
      <c r="O177" s="57">
        <v>45809</v>
      </c>
      <c r="P177" t="s">
        <v>877</v>
      </c>
      <c r="Q177" s="56">
        <v>450000</v>
      </c>
      <c r="R177" t="s">
        <v>766</v>
      </c>
      <c r="S177" t="s">
        <v>735</v>
      </c>
      <c r="T177" t="s">
        <v>736</v>
      </c>
      <c r="U177" t="s">
        <v>88</v>
      </c>
      <c r="V177" t="s">
        <v>23</v>
      </c>
      <c r="W177" t="s">
        <v>39</v>
      </c>
      <c r="X177" t="s">
        <v>24</v>
      </c>
      <c r="Y177" s="56">
        <f>IF(clean[[#This Row],[is_delivered]]="Yes",clean[[#This Row],[net_sales]],0 )</f>
        <v>450000</v>
      </c>
    </row>
    <row r="178" spans="1:25">
      <c r="A178" t="s">
        <v>1516</v>
      </c>
      <c r="B178" s="9">
        <v>45811</v>
      </c>
      <c r="C178" t="s">
        <v>606</v>
      </c>
      <c r="D178" t="s">
        <v>843</v>
      </c>
      <c r="E178">
        <v>2</v>
      </c>
      <c r="F178" s="56">
        <v>100000</v>
      </c>
      <c r="G178" s="56">
        <v>200000</v>
      </c>
      <c r="H178" t="s">
        <v>872</v>
      </c>
      <c r="I178" s="56">
        <v>0</v>
      </c>
      <c r="J178" s="56">
        <v>10000</v>
      </c>
      <c r="K178" s="56">
        <v>210000</v>
      </c>
      <c r="L178" t="s">
        <v>884</v>
      </c>
      <c r="M178" t="s">
        <v>881</v>
      </c>
      <c r="N178" t="s">
        <v>875</v>
      </c>
      <c r="O178" s="57">
        <v>45809</v>
      </c>
      <c r="P178" t="s">
        <v>877</v>
      </c>
      <c r="Q178" s="56">
        <v>200000</v>
      </c>
      <c r="R178" t="s">
        <v>844</v>
      </c>
      <c r="S178" t="s">
        <v>747</v>
      </c>
      <c r="T178" t="s">
        <v>748</v>
      </c>
      <c r="U178" t="s">
        <v>607</v>
      </c>
      <c r="V178" t="s">
        <v>23</v>
      </c>
      <c r="W178" t="s">
        <v>46</v>
      </c>
      <c r="X178" t="s">
        <v>24</v>
      </c>
      <c r="Y178" s="56">
        <f>IF(clean[[#This Row],[is_delivered]]="Yes",clean[[#This Row],[net_sales]],0 )</f>
        <v>200000</v>
      </c>
    </row>
    <row r="179" spans="1:25">
      <c r="A179" t="s">
        <v>1879</v>
      </c>
      <c r="B179" s="9">
        <v>45811</v>
      </c>
      <c r="C179" t="s">
        <v>474</v>
      </c>
      <c r="D179" t="s">
        <v>751</v>
      </c>
      <c r="E179">
        <v>1</v>
      </c>
      <c r="F179" s="56">
        <v>150000</v>
      </c>
      <c r="G179" s="56">
        <v>150000</v>
      </c>
      <c r="H179" t="s">
        <v>886</v>
      </c>
      <c r="I179" s="56">
        <v>15000</v>
      </c>
      <c r="J179" s="56">
        <v>25000</v>
      </c>
      <c r="K179" s="56">
        <v>160000</v>
      </c>
      <c r="L179" t="s">
        <v>884</v>
      </c>
      <c r="M179" t="s">
        <v>901</v>
      </c>
      <c r="N179" t="s">
        <v>875</v>
      </c>
      <c r="O179" s="57">
        <v>45809</v>
      </c>
      <c r="P179" t="s">
        <v>877</v>
      </c>
      <c r="Q179" s="56">
        <v>135000</v>
      </c>
      <c r="R179" t="s">
        <v>752</v>
      </c>
      <c r="S179" t="s">
        <v>731</v>
      </c>
      <c r="T179" t="s">
        <v>732</v>
      </c>
      <c r="U179" t="s">
        <v>475</v>
      </c>
      <c r="V179" t="s">
        <v>7</v>
      </c>
      <c r="W179" t="s">
        <v>46</v>
      </c>
      <c r="X179" t="s">
        <v>9</v>
      </c>
      <c r="Y179" s="56">
        <f>IF(clean[[#This Row],[is_delivered]]="Yes",clean[[#This Row],[net_sales]],0 )</f>
        <v>135000</v>
      </c>
    </row>
    <row r="180" spans="1:25">
      <c r="A180" t="s">
        <v>1081</v>
      </c>
      <c r="B180" s="9">
        <v>45810</v>
      </c>
      <c r="C180" t="s">
        <v>514</v>
      </c>
      <c r="D180" t="s">
        <v>733</v>
      </c>
      <c r="E180">
        <v>2</v>
      </c>
      <c r="F180" s="56">
        <v>150000</v>
      </c>
      <c r="G180" s="56">
        <v>300000</v>
      </c>
      <c r="H180" t="s">
        <v>872</v>
      </c>
      <c r="I180" s="56">
        <v>0</v>
      </c>
      <c r="J180" s="56">
        <v>10000</v>
      </c>
      <c r="K180" s="56">
        <v>310000</v>
      </c>
      <c r="L180" t="s">
        <v>884</v>
      </c>
      <c r="M180" t="s">
        <v>903</v>
      </c>
      <c r="N180" t="s">
        <v>875</v>
      </c>
      <c r="O180" s="57">
        <v>45809</v>
      </c>
      <c r="P180" t="s">
        <v>877</v>
      </c>
      <c r="Q180" s="56">
        <v>300000</v>
      </c>
      <c r="R180" t="s">
        <v>734</v>
      </c>
      <c r="S180" t="s">
        <v>735</v>
      </c>
      <c r="T180" t="s">
        <v>736</v>
      </c>
      <c r="U180" t="s">
        <v>515</v>
      </c>
      <c r="V180" t="s">
        <v>23</v>
      </c>
      <c r="W180" t="s">
        <v>39</v>
      </c>
      <c r="X180" t="s">
        <v>9</v>
      </c>
      <c r="Y180" s="56">
        <f>IF(clean[[#This Row],[is_delivered]]="Yes",clean[[#This Row],[net_sales]],0 )</f>
        <v>300000</v>
      </c>
    </row>
    <row r="181" spans="1:25">
      <c r="A181" t="s">
        <v>1280</v>
      </c>
      <c r="B181" s="9">
        <v>45810</v>
      </c>
      <c r="C181" t="s">
        <v>570</v>
      </c>
      <c r="D181" t="s">
        <v>831</v>
      </c>
      <c r="E181">
        <v>1</v>
      </c>
      <c r="F181" s="56">
        <v>300000</v>
      </c>
      <c r="G181" s="56">
        <v>300000</v>
      </c>
      <c r="H181" t="s">
        <v>872</v>
      </c>
      <c r="I181" s="56">
        <v>0</v>
      </c>
      <c r="J181" s="56">
        <v>30000</v>
      </c>
      <c r="K181" s="56">
        <v>330000</v>
      </c>
      <c r="L181" t="s">
        <v>884</v>
      </c>
      <c r="M181" t="s">
        <v>903</v>
      </c>
      <c r="N181" t="s">
        <v>905</v>
      </c>
      <c r="O181" s="57">
        <v>45809</v>
      </c>
      <c r="P181" t="s">
        <v>892</v>
      </c>
      <c r="Q181" s="56">
        <v>300000</v>
      </c>
      <c r="R181" t="s">
        <v>832</v>
      </c>
      <c r="S181" t="s">
        <v>747</v>
      </c>
      <c r="T181" t="s">
        <v>748</v>
      </c>
      <c r="U181" t="s">
        <v>571</v>
      </c>
      <c r="V181" t="s">
        <v>23</v>
      </c>
      <c r="W181" t="s">
        <v>56</v>
      </c>
      <c r="X181" t="s">
        <v>9</v>
      </c>
      <c r="Y181" s="56">
        <f>IF(clean[[#This Row],[is_delivered]]="Yes",clean[[#This Row],[net_sales]],0 )</f>
        <v>0</v>
      </c>
    </row>
    <row r="182" spans="1:25">
      <c r="A182" t="s">
        <v>1452</v>
      </c>
      <c r="B182" s="9">
        <v>45810</v>
      </c>
      <c r="C182" t="s">
        <v>21</v>
      </c>
      <c r="D182" t="s">
        <v>783</v>
      </c>
      <c r="E182">
        <v>1</v>
      </c>
      <c r="F182" s="56">
        <v>500000</v>
      </c>
      <c r="G182" s="56">
        <v>500000</v>
      </c>
      <c r="H182" t="s">
        <v>872</v>
      </c>
      <c r="I182" s="56">
        <v>0</v>
      </c>
      <c r="J182" s="56">
        <v>20000</v>
      </c>
      <c r="K182" s="56">
        <v>520000</v>
      </c>
      <c r="L182" t="s">
        <v>873</v>
      </c>
      <c r="M182" t="s">
        <v>901</v>
      </c>
      <c r="N182" t="s">
        <v>911</v>
      </c>
      <c r="O182" s="57">
        <v>45809</v>
      </c>
      <c r="P182" t="s">
        <v>892</v>
      </c>
      <c r="Q182" s="56">
        <v>500000</v>
      </c>
      <c r="R182" t="s">
        <v>784</v>
      </c>
      <c r="S182" t="s">
        <v>747</v>
      </c>
      <c r="T182" t="s">
        <v>748</v>
      </c>
      <c r="U182" t="s">
        <v>22</v>
      </c>
      <c r="V182" t="s">
        <v>23</v>
      </c>
      <c r="W182" t="s">
        <v>20</v>
      </c>
      <c r="X182" t="s">
        <v>24</v>
      </c>
      <c r="Y182" s="56">
        <f>IF(clean[[#This Row],[is_delivered]]="Yes",clean[[#This Row],[net_sales]],0 )</f>
        <v>0</v>
      </c>
    </row>
    <row r="183" spans="1:25">
      <c r="A183" t="s">
        <v>1532</v>
      </c>
      <c r="B183" s="9">
        <v>45810</v>
      </c>
      <c r="C183" t="s">
        <v>618</v>
      </c>
      <c r="D183" t="s">
        <v>759</v>
      </c>
      <c r="E183">
        <v>1</v>
      </c>
      <c r="F183" s="56">
        <v>300000</v>
      </c>
      <c r="G183" s="56">
        <v>300000</v>
      </c>
      <c r="H183" t="s">
        <v>886</v>
      </c>
      <c r="I183" s="56">
        <v>30000</v>
      </c>
      <c r="J183" s="56">
        <v>30000</v>
      </c>
      <c r="K183" s="56">
        <v>300000</v>
      </c>
      <c r="L183" t="s">
        <v>880</v>
      </c>
      <c r="M183" t="s">
        <v>874</v>
      </c>
      <c r="N183" t="s">
        <v>905</v>
      </c>
      <c r="O183" s="57">
        <v>45809</v>
      </c>
      <c r="P183" t="s">
        <v>892</v>
      </c>
      <c r="Q183" s="56">
        <v>270000</v>
      </c>
      <c r="R183" t="s">
        <v>760</v>
      </c>
      <c r="S183" t="s">
        <v>747</v>
      </c>
      <c r="T183" t="s">
        <v>748</v>
      </c>
      <c r="U183" t="s">
        <v>619</v>
      </c>
      <c r="V183" t="s">
        <v>7</v>
      </c>
      <c r="W183" t="s">
        <v>29</v>
      </c>
      <c r="X183" t="s">
        <v>15</v>
      </c>
      <c r="Y183" s="56">
        <f>IF(clean[[#This Row],[is_delivered]]="Yes",clean[[#This Row],[net_sales]],0 )</f>
        <v>0</v>
      </c>
    </row>
    <row r="184" spans="1:25">
      <c r="A184" t="s">
        <v>1944</v>
      </c>
      <c r="B184" s="9">
        <v>45810</v>
      </c>
      <c r="C184" t="s">
        <v>334</v>
      </c>
      <c r="D184" t="s">
        <v>771</v>
      </c>
      <c r="E184">
        <v>1</v>
      </c>
      <c r="F184" s="56">
        <v>500000</v>
      </c>
      <c r="G184" s="56">
        <v>500000</v>
      </c>
      <c r="H184" t="s">
        <v>886</v>
      </c>
      <c r="I184" s="56">
        <v>50000</v>
      </c>
      <c r="J184" s="56">
        <v>25000</v>
      </c>
      <c r="K184" s="56">
        <v>475000</v>
      </c>
      <c r="L184" t="s">
        <v>880</v>
      </c>
      <c r="M184" t="s">
        <v>874</v>
      </c>
      <c r="N184" t="s">
        <v>875</v>
      </c>
      <c r="O184" s="57">
        <v>45809</v>
      </c>
      <c r="P184" t="s">
        <v>877</v>
      </c>
      <c r="Q184" s="56">
        <v>450000</v>
      </c>
      <c r="R184" t="s">
        <v>772</v>
      </c>
      <c r="S184" t="s">
        <v>747</v>
      </c>
      <c r="T184" t="s">
        <v>748</v>
      </c>
      <c r="U184" t="s">
        <v>335</v>
      </c>
      <c r="V184" t="s">
        <v>7</v>
      </c>
      <c r="W184" t="s">
        <v>46</v>
      </c>
      <c r="X184" t="s">
        <v>9</v>
      </c>
      <c r="Y184" s="56">
        <f>IF(clean[[#This Row],[is_delivered]]="Yes",clean[[#This Row],[net_sales]],0 )</f>
        <v>450000</v>
      </c>
    </row>
    <row r="185" spans="1:25">
      <c r="A185" t="s">
        <v>1040</v>
      </c>
      <c r="B185" s="9">
        <v>45809</v>
      </c>
      <c r="C185" t="s">
        <v>49</v>
      </c>
      <c r="D185" t="s">
        <v>741</v>
      </c>
      <c r="E185">
        <v>2</v>
      </c>
      <c r="F185" s="56">
        <v>75000</v>
      </c>
      <c r="G185" s="56">
        <v>150000</v>
      </c>
      <c r="H185" t="s">
        <v>879</v>
      </c>
      <c r="I185" s="56">
        <v>30000</v>
      </c>
      <c r="J185" s="56">
        <v>25000</v>
      </c>
      <c r="K185" s="56">
        <v>145000</v>
      </c>
      <c r="L185" t="s">
        <v>884</v>
      </c>
      <c r="M185" t="s">
        <v>903</v>
      </c>
      <c r="N185" t="s">
        <v>890</v>
      </c>
      <c r="O185" s="57">
        <v>45809</v>
      </c>
      <c r="P185" t="s">
        <v>892</v>
      </c>
      <c r="Q185" s="56">
        <v>120000</v>
      </c>
      <c r="R185" t="s">
        <v>742</v>
      </c>
      <c r="S185" t="s">
        <v>743</v>
      </c>
      <c r="T185" t="s">
        <v>744</v>
      </c>
      <c r="U185" t="s">
        <v>50</v>
      </c>
      <c r="V185" t="s">
        <v>23</v>
      </c>
      <c r="W185" t="s">
        <v>51</v>
      </c>
      <c r="X185" t="s">
        <v>9</v>
      </c>
      <c r="Y185" s="56">
        <f>IF(clean[[#This Row],[is_delivered]]="Yes",clean[[#This Row],[net_sales]],0 )</f>
        <v>0</v>
      </c>
    </row>
    <row r="186" spans="1:25">
      <c r="A186" t="s">
        <v>1156</v>
      </c>
      <c r="B186" s="9">
        <v>45809</v>
      </c>
      <c r="C186" t="s">
        <v>688</v>
      </c>
      <c r="D186" t="s">
        <v>779</v>
      </c>
      <c r="E186">
        <v>3</v>
      </c>
      <c r="F186" s="56">
        <v>150000</v>
      </c>
      <c r="G186" s="56">
        <v>450000</v>
      </c>
      <c r="H186" t="s">
        <v>895</v>
      </c>
      <c r="I186" s="56">
        <v>67500</v>
      </c>
      <c r="J186" s="56">
        <v>25000</v>
      </c>
      <c r="K186" s="56">
        <v>407500</v>
      </c>
      <c r="L186" t="s">
        <v>889</v>
      </c>
      <c r="M186" t="s">
        <v>881</v>
      </c>
      <c r="N186" t="s">
        <v>875</v>
      </c>
      <c r="O186" s="57">
        <v>45809</v>
      </c>
      <c r="P186" t="s">
        <v>877</v>
      </c>
      <c r="Q186" s="56">
        <v>382500</v>
      </c>
      <c r="R186" t="s">
        <v>780</v>
      </c>
      <c r="S186" t="s">
        <v>739</v>
      </c>
      <c r="T186" t="s">
        <v>740</v>
      </c>
      <c r="U186" t="s">
        <v>689</v>
      </c>
      <c r="V186" t="s">
        <v>7</v>
      </c>
      <c r="W186" t="s">
        <v>46</v>
      </c>
      <c r="X186" t="s">
        <v>24</v>
      </c>
      <c r="Y186" s="56">
        <f>IF(clean[[#This Row],[is_delivered]]="Yes",clean[[#This Row],[net_sales]],0 )</f>
        <v>382500</v>
      </c>
    </row>
    <row r="187" spans="1:25">
      <c r="A187" t="s">
        <v>1403</v>
      </c>
      <c r="B187" s="9">
        <v>45809</v>
      </c>
      <c r="C187" t="s">
        <v>602</v>
      </c>
      <c r="D187" t="s">
        <v>835</v>
      </c>
      <c r="E187">
        <v>2</v>
      </c>
      <c r="F187" s="56">
        <v>200000</v>
      </c>
      <c r="G187" s="56">
        <v>400000</v>
      </c>
      <c r="H187" t="s">
        <v>872</v>
      </c>
      <c r="I187" s="56">
        <v>0</v>
      </c>
      <c r="J187" s="56">
        <v>25000</v>
      </c>
      <c r="K187" s="56">
        <v>425000</v>
      </c>
      <c r="L187" t="s">
        <v>884</v>
      </c>
      <c r="M187" t="s">
        <v>903</v>
      </c>
      <c r="N187" t="s">
        <v>875</v>
      </c>
      <c r="O187" s="57">
        <v>45809</v>
      </c>
      <c r="P187" t="s">
        <v>877</v>
      </c>
      <c r="Q187" s="56">
        <v>400000</v>
      </c>
      <c r="R187" t="s">
        <v>836</v>
      </c>
      <c r="S187" t="s">
        <v>731</v>
      </c>
      <c r="T187" t="s">
        <v>732</v>
      </c>
      <c r="U187" t="s">
        <v>603</v>
      </c>
      <c r="V187" t="s">
        <v>7</v>
      </c>
      <c r="W187" t="s">
        <v>137</v>
      </c>
      <c r="X187" t="s">
        <v>24</v>
      </c>
      <c r="Y187" s="56">
        <f>IF(clean[[#This Row],[is_delivered]]="Yes",clean[[#This Row],[net_sales]],0 )</f>
        <v>400000</v>
      </c>
    </row>
    <row r="188" spans="1:25">
      <c r="A188" t="s">
        <v>1817</v>
      </c>
      <c r="B188" s="9">
        <v>45809</v>
      </c>
      <c r="C188" t="s">
        <v>454</v>
      </c>
      <c r="D188" t="s">
        <v>795</v>
      </c>
      <c r="E188">
        <v>1</v>
      </c>
      <c r="F188" s="56">
        <v>100000</v>
      </c>
      <c r="G188" s="56">
        <v>100000</v>
      </c>
      <c r="H188" t="s">
        <v>872</v>
      </c>
      <c r="I188" s="56">
        <v>0</v>
      </c>
      <c r="J188" s="56">
        <v>15000</v>
      </c>
      <c r="K188" s="56">
        <v>115000</v>
      </c>
      <c r="L188" t="s">
        <v>884</v>
      </c>
      <c r="M188" t="s">
        <v>903</v>
      </c>
      <c r="N188" t="s">
        <v>875</v>
      </c>
      <c r="O188" s="57">
        <v>45809</v>
      </c>
      <c r="P188" t="s">
        <v>877</v>
      </c>
      <c r="Q188" s="56">
        <v>100000</v>
      </c>
      <c r="R188" t="s">
        <v>796</v>
      </c>
      <c r="S188" t="s">
        <v>747</v>
      </c>
      <c r="T188" t="s">
        <v>748</v>
      </c>
      <c r="U188" t="s">
        <v>455</v>
      </c>
      <c r="V188" t="s">
        <v>23</v>
      </c>
      <c r="W188" t="s">
        <v>137</v>
      </c>
      <c r="X188" t="s">
        <v>9</v>
      </c>
      <c r="Y188" s="56">
        <f>IF(clean[[#This Row],[is_delivered]]="Yes",clean[[#This Row],[net_sales]],0 )</f>
        <v>100000</v>
      </c>
    </row>
    <row r="189" spans="1:25">
      <c r="A189" t="s">
        <v>998</v>
      </c>
      <c r="B189" s="9">
        <v>45808</v>
      </c>
      <c r="C189" t="s">
        <v>232</v>
      </c>
      <c r="D189" t="s">
        <v>845</v>
      </c>
      <c r="E189">
        <v>4</v>
      </c>
      <c r="F189" s="56">
        <v>300000</v>
      </c>
      <c r="G189" s="56">
        <v>1200000</v>
      </c>
      <c r="H189" t="s">
        <v>879</v>
      </c>
      <c r="I189" s="56">
        <v>240000</v>
      </c>
      <c r="J189" s="56">
        <v>25000</v>
      </c>
      <c r="K189" s="56">
        <v>985000</v>
      </c>
      <c r="L189" t="s">
        <v>880</v>
      </c>
      <c r="M189" t="s">
        <v>874</v>
      </c>
      <c r="N189" t="s">
        <v>875</v>
      </c>
      <c r="O189" s="57">
        <v>45778</v>
      </c>
      <c r="P189" t="s">
        <v>877</v>
      </c>
      <c r="Q189" s="56">
        <v>960000</v>
      </c>
      <c r="R189" t="s">
        <v>846</v>
      </c>
      <c r="S189" t="s">
        <v>727</v>
      </c>
      <c r="T189" t="s">
        <v>728</v>
      </c>
      <c r="U189" t="s">
        <v>233</v>
      </c>
      <c r="V189" t="s">
        <v>23</v>
      </c>
      <c r="W189" t="s">
        <v>137</v>
      </c>
      <c r="X189" t="s">
        <v>9</v>
      </c>
      <c r="Y189" s="56">
        <f>IF(clean[[#This Row],[is_delivered]]="Yes",clean[[#This Row],[net_sales]],0 )</f>
        <v>960000</v>
      </c>
    </row>
    <row r="190" spans="1:25">
      <c r="A190" t="s">
        <v>1234</v>
      </c>
      <c r="B190" s="9">
        <v>45808</v>
      </c>
      <c r="C190" t="s">
        <v>240</v>
      </c>
      <c r="D190" t="s">
        <v>799</v>
      </c>
      <c r="E190">
        <v>2</v>
      </c>
      <c r="F190" s="56">
        <v>35000</v>
      </c>
      <c r="G190" s="56">
        <v>70000</v>
      </c>
      <c r="H190" t="s">
        <v>872</v>
      </c>
      <c r="I190" s="56">
        <v>0</v>
      </c>
      <c r="J190" s="56">
        <v>20000</v>
      </c>
      <c r="K190" s="56">
        <v>90000</v>
      </c>
      <c r="L190" t="s">
        <v>889</v>
      </c>
      <c r="M190" t="s">
        <v>901</v>
      </c>
      <c r="N190" t="s">
        <v>875</v>
      </c>
      <c r="O190" s="57">
        <v>45778</v>
      </c>
      <c r="P190" t="s">
        <v>877</v>
      </c>
      <c r="Q190" s="56">
        <v>70000</v>
      </c>
      <c r="R190" t="s">
        <v>800</v>
      </c>
      <c r="S190" t="s">
        <v>731</v>
      </c>
      <c r="T190" t="s">
        <v>732</v>
      </c>
      <c r="U190" t="s">
        <v>241</v>
      </c>
      <c r="V190" t="s">
        <v>23</v>
      </c>
      <c r="W190" t="s">
        <v>39</v>
      </c>
      <c r="X190" t="s">
        <v>24</v>
      </c>
      <c r="Y190" s="56">
        <f>IF(clean[[#This Row],[is_delivered]]="Yes",clean[[#This Row],[net_sales]],0 )</f>
        <v>70000</v>
      </c>
    </row>
    <row r="191" spans="1:25">
      <c r="A191" t="s">
        <v>1391</v>
      </c>
      <c r="B191" s="9">
        <v>45808</v>
      </c>
      <c r="C191" t="s">
        <v>616</v>
      </c>
      <c r="D191" t="s">
        <v>761</v>
      </c>
      <c r="E191">
        <v>2</v>
      </c>
      <c r="F191" s="56">
        <v>75000</v>
      </c>
      <c r="G191" s="56">
        <v>150000</v>
      </c>
      <c r="H191" t="s">
        <v>872</v>
      </c>
      <c r="I191" s="56">
        <v>0</v>
      </c>
      <c r="J191" s="56">
        <v>25000</v>
      </c>
      <c r="K191" s="56">
        <v>175000</v>
      </c>
      <c r="L191" t="s">
        <v>873</v>
      </c>
      <c r="M191" t="s">
        <v>874</v>
      </c>
      <c r="N191" t="s">
        <v>890</v>
      </c>
      <c r="O191" s="57">
        <v>45778</v>
      </c>
      <c r="P191" t="s">
        <v>892</v>
      </c>
      <c r="Q191" s="56">
        <v>150000</v>
      </c>
      <c r="R191" t="s">
        <v>762</v>
      </c>
      <c r="S191" t="s">
        <v>727</v>
      </c>
      <c r="T191" t="s">
        <v>728</v>
      </c>
      <c r="U191" t="s">
        <v>617</v>
      </c>
      <c r="V191" t="s">
        <v>7</v>
      </c>
      <c r="W191" t="s">
        <v>39</v>
      </c>
      <c r="X191" t="s">
        <v>9</v>
      </c>
      <c r="Y191" s="56">
        <f>IF(clean[[#This Row],[is_delivered]]="Yes",clean[[#This Row],[net_sales]],0 )</f>
        <v>0</v>
      </c>
    </row>
    <row r="192" spans="1:25">
      <c r="A192" t="s">
        <v>1446</v>
      </c>
      <c r="B192" s="9">
        <v>45808</v>
      </c>
      <c r="C192" t="s">
        <v>332</v>
      </c>
      <c r="D192" t="s">
        <v>763</v>
      </c>
      <c r="E192">
        <v>1</v>
      </c>
      <c r="F192" s="56">
        <v>75000</v>
      </c>
      <c r="G192" s="56">
        <v>75000</v>
      </c>
      <c r="H192" t="s">
        <v>872</v>
      </c>
      <c r="I192" s="56">
        <v>0</v>
      </c>
      <c r="J192" s="56">
        <v>25000</v>
      </c>
      <c r="K192" s="56">
        <v>100000</v>
      </c>
      <c r="L192" t="s">
        <v>873</v>
      </c>
      <c r="M192" t="s">
        <v>901</v>
      </c>
      <c r="N192" t="s">
        <v>890</v>
      </c>
      <c r="O192" s="57">
        <v>45778</v>
      </c>
      <c r="P192" t="s">
        <v>892</v>
      </c>
      <c r="Q192" s="56">
        <v>75000</v>
      </c>
      <c r="R192" t="s">
        <v>764</v>
      </c>
      <c r="S192" t="s">
        <v>731</v>
      </c>
      <c r="T192" t="s">
        <v>732</v>
      </c>
      <c r="U192" t="s">
        <v>333</v>
      </c>
      <c r="V192" t="s">
        <v>23</v>
      </c>
      <c r="W192" t="s">
        <v>12</v>
      </c>
      <c r="X192" t="s">
        <v>9</v>
      </c>
      <c r="Y192" s="56">
        <f>IF(clean[[#This Row],[is_delivered]]="Yes",clean[[#This Row],[net_sales]],0 )</f>
        <v>0</v>
      </c>
    </row>
    <row r="193" spans="1:25">
      <c r="A193" t="s">
        <v>1531</v>
      </c>
      <c r="B193" s="9">
        <v>45808</v>
      </c>
      <c r="C193" t="s">
        <v>264</v>
      </c>
      <c r="D193" t="s">
        <v>767</v>
      </c>
      <c r="E193">
        <v>3</v>
      </c>
      <c r="F193" s="56">
        <v>150000</v>
      </c>
      <c r="G193" s="56">
        <v>450000</v>
      </c>
      <c r="H193" t="s">
        <v>883</v>
      </c>
      <c r="I193" s="56">
        <v>45000</v>
      </c>
      <c r="J193" s="56">
        <v>15000</v>
      </c>
      <c r="K193" s="56">
        <v>420000</v>
      </c>
      <c r="L193" t="s">
        <v>884</v>
      </c>
      <c r="M193" t="s">
        <v>874</v>
      </c>
      <c r="N193" t="s">
        <v>890</v>
      </c>
      <c r="O193" s="57">
        <v>45778</v>
      </c>
      <c r="P193" t="s">
        <v>892</v>
      </c>
      <c r="Q193" s="56">
        <v>405000</v>
      </c>
      <c r="R193" t="s">
        <v>768</v>
      </c>
      <c r="S193" t="s">
        <v>739</v>
      </c>
      <c r="T193" t="s">
        <v>740</v>
      </c>
      <c r="U193" t="s">
        <v>265</v>
      </c>
      <c r="V193" t="s">
        <v>23</v>
      </c>
      <c r="W193" t="s">
        <v>20</v>
      </c>
      <c r="X193" t="s">
        <v>9</v>
      </c>
      <c r="Y193" s="56">
        <f>IF(clean[[#This Row],[is_delivered]]="Yes",clean[[#This Row],[net_sales]],0 )</f>
        <v>0</v>
      </c>
    </row>
    <row r="194" spans="1:25">
      <c r="A194" t="s">
        <v>1676</v>
      </c>
      <c r="B194" s="9">
        <v>45808</v>
      </c>
      <c r="C194" t="s">
        <v>300</v>
      </c>
      <c r="D194" t="s">
        <v>741</v>
      </c>
      <c r="E194">
        <v>2</v>
      </c>
      <c r="F194" s="56">
        <v>75000</v>
      </c>
      <c r="G194" s="56">
        <v>150000</v>
      </c>
      <c r="H194" t="s">
        <v>879</v>
      </c>
      <c r="I194" s="56">
        <v>30000</v>
      </c>
      <c r="J194" s="56">
        <v>30000</v>
      </c>
      <c r="K194" s="56">
        <v>150000</v>
      </c>
      <c r="L194" t="s">
        <v>884</v>
      </c>
      <c r="M194" t="s">
        <v>901</v>
      </c>
      <c r="N194" t="s">
        <v>875</v>
      </c>
      <c r="O194" s="57">
        <v>45778</v>
      </c>
      <c r="P194" t="s">
        <v>877</v>
      </c>
      <c r="Q194" s="56">
        <v>120000</v>
      </c>
      <c r="R194" t="s">
        <v>742</v>
      </c>
      <c r="S194" t="s">
        <v>743</v>
      </c>
      <c r="T194" t="s">
        <v>744</v>
      </c>
      <c r="U194" t="s">
        <v>301</v>
      </c>
      <c r="V194" t="s">
        <v>7</v>
      </c>
      <c r="W194" t="s">
        <v>39</v>
      </c>
      <c r="X194" t="s">
        <v>9</v>
      </c>
      <c r="Y194" s="56">
        <f>IF(clean[[#This Row],[is_delivered]]="Yes",clean[[#This Row],[net_sales]],0 )</f>
        <v>120000</v>
      </c>
    </row>
    <row r="195" spans="1:25">
      <c r="A195" t="s">
        <v>2095</v>
      </c>
      <c r="B195" s="9">
        <v>45808</v>
      </c>
      <c r="C195" t="s">
        <v>294</v>
      </c>
      <c r="D195" t="s">
        <v>837</v>
      </c>
      <c r="E195">
        <v>1</v>
      </c>
      <c r="F195" s="56">
        <v>300000</v>
      </c>
      <c r="G195" s="56">
        <v>300000</v>
      </c>
      <c r="H195" t="s">
        <v>872</v>
      </c>
      <c r="I195" s="56">
        <v>0</v>
      </c>
      <c r="J195" s="56">
        <v>20000</v>
      </c>
      <c r="K195" s="56">
        <v>320000</v>
      </c>
      <c r="L195" t="s">
        <v>884</v>
      </c>
      <c r="M195" t="s">
        <v>874</v>
      </c>
      <c r="N195" t="s">
        <v>905</v>
      </c>
      <c r="O195" s="57">
        <v>45778</v>
      </c>
      <c r="P195" t="s">
        <v>892</v>
      </c>
      <c r="Q195" s="56">
        <v>300000</v>
      </c>
      <c r="R195" t="s">
        <v>838</v>
      </c>
      <c r="S195" t="s">
        <v>735</v>
      </c>
      <c r="T195" t="s">
        <v>736</v>
      </c>
      <c r="U195" t="s">
        <v>295</v>
      </c>
      <c r="V195" t="s">
        <v>23</v>
      </c>
      <c r="W195" t="s">
        <v>39</v>
      </c>
      <c r="X195" t="s">
        <v>9</v>
      </c>
      <c r="Y195" s="56">
        <f>IF(clean[[#This Row],[is_delivered]]="Yes",clean[[#This Row],[net_sales]],0 )</f>
        <v>0</v>
      </c>
    </row>
    <row r="196" spans="1:25">
      <c r="A196" t="s">
        <v>1229</v>
      </c>
      <c r="B196" s="9">
        <v>45807</v>
      </c>
      <c r="C196" t="s">
        <v>113</v>
      </c>
      <c r="D196" t="s">
        <v>777</v>
      </c>
      <c r="E196">
        <v>1</v>
      </c>
      <c r="F196" s="56">
        <v>200000</v>
      </c>
      <c r="G196" s="56">
        <v>200000</v>
      </c>
      <c r="H196" t="s">
        <v>895</v>
      </c>
      <c r="I196" s="56">
        <v>30000</v>
      </c>
      <c r="J196" s="56">
        <v>25000</v>
      </c>
      <c r="K196" s="56">
        <v>195000</v>
      </c>
      <c r="L196" t="s">
        <v>873</v>
      </c>
      <c r="M196" t="s">
        <v>903</v>
      </c>
      <c r="N196" t="s">
        <v>890</v>
      </c>
      <c r="O196" s="57">
        <v>45778</v>
      </c>
      <c r="P196" t="s">
        <v>892</v>
      </c>
      <c r="Q196" s="56">
        <v>170000</v>
      </c>
      <c r="R196" t="s">
        <v>778</v>
      </c>
      <c r="S196" t="s">
        <v>735</v>
      </c>
      <c r="T196" t="s">
        <v>736</v>
      </c>
      <c r="U196" t="s">
        <v>114</v>
      </c>
      <c r="V196" t="s">
        <v>23</v>
      </c>
      <c r="W196" t="s">
        <v>39</v>
      </c>
      <c r="X196" t="s">
        <v>24</v>
      </c>
      <c r="Y196" s="56">
        <f>IF(clean[[#This Row],[is_delivered]]="Yes",clean[[#This Row],[net_sales]],0 )</f>
        <v>0</v>
      </c>
    </row>
    <row r="197" spans="1:25">
      <c r="A197" t="s">
        <v>1108</v>
      </c>
      <c r="B197" s="9">
        <v>45807</v>
      </c>
      <c r="C197" t="s">
        <v>170</v>
      </c>
      <c r="D197" t="s">
        <v>825</v>
      </c>
      <c r="E197">
        <v>1</v>
      </c>
      <c r="F197" s="56">
        <v>100000</v>
      </c>
      <c r="G197" s="56">
        <v>100000</v>
      </c>
      <c r="H197" t="s">
        <v>886</v>
      </c>
      <c r="I197" s="56">
        <v>10000</v>
      </c>
      <c r="J197" s="56">
        <v>10000</v>
      </c>
      <c r="K197" s="56">
        <v>100000</v>
      </c>
      <c r="L197" t="s">
        <v>880</v>
      </c>
      <c r="M197" t="s">
        <v>903</v>
      </c>
      <c r="N197" t="s">
        <v>875</v>
      </c>
      <c r="O197" s="57">
        <v>45778</v>
      </c>
      <c r="P197" t="s">
        <v>877</v>
      </c>
      <c r="Q197" s="56">
        <v>90000</v>
      </c>
      <c r="R197" t="s">
        <v>826</v>
      </c>
      <c r="S197" t="s">
        <v>735</v>
      </c>
      <c r="T197" t="s">
        <v>736</v>
      </c>
      <c r="U197" t="s">
        <v>171</v>
      </c>
      <c r="V197" t="s">
        <v>7</v>
      </c>
      <c r="W197" t="s">
        <v>29</v>
      </c>
      <c r="X197" t="s">
        <v>9</v>
      </c>
      <c r="Y197" s="56">
        <f>IF(clean[[#This Row],[is_delivered]]="Yes",clean[[#This Row],[net_sales]],0 )</f>
        <v>90000</v>
      </c>
    </row>
    <row r="198" spans="1:25">
      <c r="A198" t="s">
        <v>1288</v>
      </c>
      <c r="B198" s="9">
        <v>45807</v>
      </c>
      <c r="C198" t="s">
        <v>314</v>
      </c>
      <c r="D198" t="s">
        <v>751</v>
      </c>
      <c r="E198">
        <v>2</v>
      </c>
      <c r="F198" s="56">
        <v>150000</v>
      </c>
      <c r="G198" s="56">
        <v>300000</v>
      </c>
      <c r="H198" t="s">
        <v>886</v>
      </c>
      <c r="I198" s="56">
        <v>30000</v>
      </c>
      <c r="J198" s="56">
        <v>20000</v>
      </c>
      <c r="K198" s="56">
        <v>290000</v>
      </c>
      <c r="L198" t="s">
        <v>889</v>
      </c>
      <c r="M198" t="s">
        <v>874</v>
      </c>
      <c r="N198" t="s">
        <v>875</v>
      </c>
      <c r="O198" s="57">
        <v>45778</v>
      </c>
      <c r="P198" t="s">
        <v>877</v>
      </c>
      <c r="Q198" s="56">
        <v>270000</v>
      </c>
      <c r="R198" t="s">
        <v>752</v>
      </c>
      <c r="S198" t="s">
        <v>731</v>
      </c>
      <c r="T198" t="s">
        <v>732</v>
      </c>
      <c r="U198" t="s">
        <v>315</v>
      </c>
      <c r="V198" t="s">
        <v>23</v>
      </c>
      <c r="W198" t="s">
        <v>56</v>
      </c>
      <c r="X198" t="s">
        <v>9</v>
      </c>
      <c r="Y198" s="56">
        <f>IF(clean[[#This Row],[is_delivered]]="Yes",clean[[#This Row],[net_sales]],0 )</f>
        <v>270000</v>
      </c>
    </row>
    <row r="199" spans="1:25">
      <c r="A199" t="s">
        <v>1349</v>
      </c>
      <c r="B199" s="9">
        <v>45807</v>
      </c>
      <c r="C199" t="s">
        <v>512</v>
      </c>
      <c r="D199" t="s">
        <v>757</v>
      </c>
      <c r="E199">
        <v>2</v>
      </c>
      <c r="F199" s="56">
        <v>75000</v>
      </c>
      <c r="G199" s="56">
        <v>150000</v>
      </c>
      <c r="H199" t="s">
        <v>872</v>
      </c>
      <c r="I199" s="56">
        <v>0</v>
      </c>
      <c r="J199" s="56">
        <v>10000</v>
      </c>
      <c r="K199" s="56">
        <v>160000</v>
      </c>
      <c r="L199" t="s">
        <v>889</v>
      </c>
      <c r="M199" t="s">
        <v>874</v>
      </c>
      <c r="N199" t="s">
        <v>921</v>
      </c>
      <c r="O199" s="57">
        <v>45778</v>
      </c>
      <c r="P199" t="s">
        <v>892</v>
      </c>
      <c r="Q199" s="56">
        <v>150000</v>
      </c>
      <c r="R199" t="s">
        <v>758</v>
      </c>
      <c r="S199" t="s">
        <v>743</v>
      </c>
      <c r="T199" t="s">
        <v>744</v>
      </c>
      <c r="U199" t="s">
        <v>513</v>
      </c>
      <c r="V199" t="s">
        <v>23</v>
      </c>
      <c r="W199" t="s">
        <v>39</v>
      </c>
      <c r="X199" t="s">
        <v>24</v>
      </c>
      <c r="Y199" s="56">
        <f>IF(clean[[#This Row],[is_delivered]]="Yes",clean[[#This Row],[net_sales]],0 )</f>
        <v>0</v>
      </c>
    </row>
    <row r="200" spans="1:25">
      <c r="A200" t="s">
        <v>1737</v>
      </c>
      <c r="B200" s="9">
        <v>45807</v>
      </c>
      <c r="C200" t="s">
        <v>109</v>
      </c>
      <c r="D200" t="s">
        <v>833</v>
      </c>
      <c r="E200">
        <v>1</v>
      </c>
      <c r="F200" s="56">
        <v>200000</v>
      </c>
      <c r="G200" s="56">
        <v>200000</v>
      </c>
      <c r="H200" t="s">
        <v>895</v>
      </c>
      <c r="I200" s="56">
        <v>30000</v>
      </c>
      <c r="J200" s="56">
        <v>20000</v>
      </c>
      <c r="K200" s="56">
        <v>190000</v>
      </c>
      <c r="L200" t="s">
        <v>884</v>
      </c>
      <c r="M200" t="s">
        <v>901</v>
      </c>
      <c r="N200" t="s">
        <v>890</v>
      </c>
      <c r="O200" s="57">
        <v>45778</v>
      </c>
      <c r="P200" t="s">
        <v>892</v>
      </c>
      <c r="Q200" s="56">
        <v>170000</v>
      </c>
      <c r="R200" t="s">
        <v>834</v>
      </c>
      <c r="S200" t="s">
        <v>727</v>
      </c>
      <c r="T200" t="s">
        <v>728</v>
      </c>
      <c r="U200" t="s">
        <v>110</v>
      </c>
      <c r="V200" t="s">
        <v>23</v>
      </c>
      <c r="W200" t="s">
        <v>46</v>
      </c>
      <c r="X200" t="s">
        <v>15</v>
      </c>
      <c r="Y200" s="56">
        <f>IF(clean[[#This Row],[is_delivered]]="Yes",clean[[#This Row],[net_sales]],0 )</f>
        <v>0</v>
      </c>
    </row>
    <row r="201" spans="1:25">
      <c r="A201" t="s">
        <v>1761</v>
      </c>
      <c r="B201" s="9">
        <v>45807</v>
      </c>
      <c r="C201" t="s">
        <v>658</v>
      </c>
      <c r="D201" t="s">
        <v>817</v>
      </c>
      <c r="E201">
        <v>4</v>
      </c>
      <c r="F201" s="56">
        <v>75000</v>
      </c>
      <c r="G201" s="56">
        <v>300000</v>
      </c>
      <c r="H201" t="s">
        <v>872</v>
      </c>
      <c r="I201" s="56">
        <v>0</v>
      </c>
      <c r="J201" s="56">
        <v>15000</v>
      </c>
      <c r="K201" s="56">
        <v>315000</v>
      </c>
      <c r="L201" t="s">
        <v>889</v>
      </c>
      <c r="M201" t="s">
        <v>901</v>
      </c>
      <c r="N201" t="s">
        <v>875</v>
      </c>
      <c r="O201" s="57">
        <v>45778</v>
      </c>
      <c r="P201" t="s">
        <v>877</v>
      </c>
      <c r="Q201" s="56">
        <v>300000</v>
      </c>
      <c r="R201" t="s">
        <v>818</v>
      </c>
      <c r="S201" t="s">
        <v>743</v>
      </c>
      <c r="T201" t="s">
        <v>744</v>
      </c>
      <c r="U201" t="s">
        <v>659</v>
      </c>
      <c r="V201" t="s">
        <v>7</v>
      </c>
      <c r="W201" t="s">
        <v>12</v>
      </c>
      <c r="X201" t="s">
        <v>24</v>
      </c>
      <c r="Y201" s="56">
        <f>IF(clean[[#This Row],[is_delivered]]="Yes",clean[[#This Row],[net_sales]],0 )</f>
        <v>300000</v>
      </c>
    </row>
    <row r="202" spans="1:25">
      <c r="A202" t="s">
        <v>1851</v>
      </c>
      <c r="B202" s="9">
        <v>45807</v>
      </c>
      <c r="C202" t="s">
        <v>133</v>
      </c>
      <c r="D202" t="s">
        <v>847</v>
      </c>
      <c r="E202">
        <v>2</v>
      </c>
      <c r="F202" s="56">
        <v>100000</v>
      </c>
      <c r="G202" s="56">
        <v>200000</v>
      </c>
      <c r="H202" t="s">
        <v>872</v>
      </c>
      <c r="I202" s="56">
        <v>0</v>
      </c>
      <c r="J202" s="56">
        <v>30000</v>
      </c>
      <c r="K202" s="56">
        <v>230000</v>
      </c>
      <c r="L202" t="s">
        <v>884</v>
      </c>
      <c r="M202" t="s">
        <v>901</v>
      </c>
      <c r="N202" t="s">
        <v>875</v>
      </c>
      <c r="O202" s="57">
        <v>45778</v>
      </c>
      <c r="P202" t="s">
        <v>877</v>
      </c>
      <c r="Q202" s="56">
        <v>200000</v>
      </c>
      <c r="R202" t="s">
        <v>848</v>
      </c>
      <c r="S202" t="s">
        <v>731</v>
      </c>
      <c r="T202" t="s">
        <v>732</v>
      </c>
      <c r="U202" t="s">
        <v>134</v>
      </c>
      <c r="V202" t="s">
        <v>23</v>
      </c>
      <c r="W202" t="s">
        <v>12</v>
      </c>
      <c r="X202" t="s">
        <v>24</v>
      </c>
      <c r="Y202" s="56">
        <f>IF(clean[[#This Row],[is_delivered]]="Yes",clean[[#This Row],[net_sales]],0 )</f>
        <v>200000</v>
      </c>
    </row>
    <row r="203" spans="1:25">
      <c r="A203" t="s">
        <v>1104</v>
      </c>
      <c r="B203" s="9">
        <v>45806</v>
      </c>
      <c r="C203" t="s">
        <v>668</v>
      </c>
      <c r="D203" t="s">
        <v>831</v>
      </c>
      <c r="E203">
        <v>2</v>
      </c>
      <c r="F203" s="56">
        <v>300000</v>
      </c>
      <c r="G203" s="56">
        <v>600000</v>
      </c>
      <c r="H203" t="s">
        <v>872</v>
      </c>
      <c r="I203" s="56">
        <v>0</v>
      </c>
      <c r="J203" s="56">
        <v>30000</v>
      </c>
      <c r="K203" s="56">
        <v>630000</v>
      </c>
      <c r="L203" t="s">
        <v>884</v>
      </c>
      <c r="M203" t="s">
        <v>901</v>
      </c>
      <c r="N203" t="s">
        <v>875</v>
      </c>
      <c r="O203" s="57">
        <v>45778</v>
      </c>
      <c r="P203" t="s">
        <v>877</v>
      </c>
      <c r="Q203" s="56">
        <v>600000</v>
      </c>
      <c r="R203" t="s">
        <v>832</v>
      </c>
      <c r="S203" t="s">
        <v>747</v>
      </c>
      <c r="T203" t="s">
        <v>748</v>
      </c>
      <c r="U203" t="s">
        <v>669</v>
      </c>
      <c r="V203" t="s">
        <v>7</v>
      </c>
      <c r="W203" t="s">
        <v>39</v>
      </c>
      <c r="X203" t="s">
        <v>15</v>
      </c>
      <c r="Y203" s="56">
        <f>IF(clean[[#This Row],[is_delivered]]="Yes",clean[[#This Row],[net_sales]],0 )</f>
        <v>600000</v>
      </c>
    </row>
    <row r="204" spans="1:25">
      <c r="A204" t="s">
        <v>1048</v>
      </c>
      <c r="B204" s="9">
        <v>45806</v>
      </c>
      <c r="C204" t="s">
        <v>270</v>
      </c>
      <c r="D204" t="s">
        <v>751</v>
      </c>
      <c r="E204">
        <v>3</v>
      </c>
      <c r="F204" s="56">
        <v>150000</v>
      </c>
      <c r="G204" s="56">
        <v>450000</v>
      </c>
      <c r="H204" t="s">
        <v>872</v>
      </c>
      <c r="I204" s="56">
        <v>0</v>
      </c>
      <c r="J204" s="56">
        <v>20000</v>
      </c>
      <c r="K204" s="56">
        <v>470000</v>
      </c>
      <c r="L204" t="s">
        <v>873</v>
      </c>
      <c r="M204" t="s">
        <v>874</v>
      </c>
      <c r="N204" t="s">
        <v>890</v>
      </c>
      <c r="O204" s="57">
        <v>45778</v>
      </c>
      <c r="P204" t="s">
        <v>892</v>
      </c>
      <c r="Q204" s="56">
        <v>450000</v>
      </c>
      <c r="R204" t="s">
        <v>752</v>
      </c>
      <c r="S204" t="s">
        <v>731</v>
      </c>
      <c r="T204" t="s">
        <v>732</v>
      </c>
      <c r="U204" t="s">
        <v>271</v>
      </c>
      <c r="V204" t="s">
        <v>7</v>
      </c>
      <c r="W204" t="s">
        <v>39</v>
      </c>
      <c r="X204" t="s">
        <v>24</v>
      </c>
      <c r="Y204" s="56">
        <f>IF(clean[[#This Row],[is_delivered]]="Yes",clean[[#This Row],[net_sales]],0 )</f>
        <v>0</v>
      </c>
    </row>
    <row r="205" spans="1:25">
      <c r="A205" t="s">
        <v>1198</v>
      </c>
      <c r="B205" s="9">
        <v>45806</v>
      </c>
      <c r="C205" t="s">
        <v>282</v>
      </c>
      <c r="D205" t="s">
        <v>781</v>
      </c>
      <c r="E205">
        <v>1</v>
      </c>
      <c r="F205" s="56">
        <v>50000</v>
      </c>
      <c r="G205" s="56">
        <v>50000</v>
      </c>
      <c r="H205" t="s">
        <v>886</v>
      </c>
      <c r="I205" s="56">
        <v>5000</v>
      </c>
      <c r="J205" s="56">
        <v>10000</v>
      </c>
      <c r="K205" s="56">
        <v>55000</v>
      </c>
      <c r="L205" t="s">
        <v>884</v>
      </c>
      <c r="M205" t="s">
        <v>901</v>
      </c>
      <c r="N205" t="s">
        <v>911</v>
      </c>
      <c r="O205" s="57">
        <v>45778</v>
      </c>
      <c r="P205" t="s">
        <v>892</v>
      </c>
      <c r="Q205" s="56">
        <v>45000</v>
      </c>
      <c r="R205" t="s">
        <v>782</v>
      </c>
      <c r="S205" t="s">
        <v>743</v>
      </c>
      <c r="T205" t="s">
        <v>744</v>
      </c>
      <c r="U205" t="s">
        <v>283</v>
      </c>
      <c r="V205" t="s">
        <v>7</v>
      </c>
      <c r="W205" t="s">
        <v>46</v>
      </c>
      <c r="X205" t="s">
        <v>9</v>
      </c>
      <c r="Y205" s="56">
        <f>IF(clean[[#This Row],[is_delivered]]="Yes",clean[[#This Row],[net_sales]],0 )</f>
        <v>0</v>
      </c>
    </row>
    <row r="206" spans="1:25">
      <c r="A206" t="s">
        <v>1273</v>
      </c>
      <c r="B206" s="9">
        <v>45806</v>
      </c>
      <c r="C206" t="s">
        <v>210</v>
      </c>
      <c r="D206" t="s">
        <v>805</v>
      </c>
      <c r="E206">
        <v>4</v>
      </c>
      <c r="F206" s="56">
        <v>200000</v>
      </c>
      <c r="G206" s="56">
        <v>800000</v>
      </c>
      <c r="H206" t="s">
        <v>895</v>
      </c>
      <c r="I206" s="56">
        <v>120000</v>
      </c>
      <c r="J206" s="56">
        <v>10000</v>
      </c>
      <c r="K206" s="56">
        <v>690000</v>
      </c>
      <c r="L206" t="s">
        <v>889</v>
      </c>
      <c r="M206" t="s">
        <v>903</v>
      </c>
      <c r="N206" t="s">
        <v>875</v>
      </c>
      <c r="O206" s="57">
        <v>45778</v>
      </c>
      <c r="P206" t="s">
        <v>877</v>
      </c>
      <c r="Q206" s="56">
        <v>680000</v>
      </c>
      <c r="R206" t="s">
        <v>806</v>
      </c>
      <c r="S206" t="s">
        <v>743</v>
      </c>
      <c r="T206" t="s">
        <v>744</v>
      </c>
      <c r="U206" t="s">
        <v>211</v>
      </c>
      <c r="V206" t="s">
        <v>23</v>
      </c>
      <c r="W206" t="s">
        <v>56</v>
      </c>
      <c r="X206" t="s">
        <v>15</v>
      </c>
      <c r="Y206" s="56">
        <f>IF(clean[[#This Row],[is_delivered]]="Yes",clean[[#This Row],[net_sales]],0 )</f>
        <v>680000</v>
      </c>
    </row>
    <row r="207" spans="1:25">
      <c r="A207" t="s">
        <v>1277</v>
      </c>
      <c r="B207" s="9">
        <v>45806</v>
      </c>
      <c r="C207" t="s">
        <v>626</v>
      </c>
      <c r="D207" t="s">
        <v>841</v>
      </c>
      <c r="E207">
        <v>1</v>
      </c>
      <c r="F207" s="56">
        <v>75000</v>
      </c>
      <c r="G207" s="56">
        <v>75000</v>
      </c>
      <c r="H207" t="s">
        <v>886</v>
      </c>
      <c r="I207" s="56">
        <v>7500</v>
      </c>
      <c r="J207" s="56">
        <v>25000</v>
      </c>
      <c r="K207" s="56">
        <v>92500</v>
      </c>
      <c r="L207" t="s">
        <v>889</v>
      </c>
      <c r="M207" t="s">
        <v>874</v>
      </c>
      <c r="N207" t="s">
        <v>875</v>
      </c>
      <c r="O207" s="57">
        <v>45778</v>
      </c>
      <c r="P207" t="s">
        <v>877</v>
      </c>
      <c r="Q207" s="56">
        <v>67500</v>
      </c>
      <c r="R207" t="s">
        <v>842</v>
      </c>
      <c r="S207" t="s">
        <v>743</v>
      </c>
      <c r="T207" t="s">
        <v>744</v>
      </c>
      <c r="U207" t="s">
        <v>627</v>
      </c>
      <c r="V207" t="s">
        <v>23</v>
      </c>
      <c r="W207" t="s">
        <v>12</v>
      </c>
      <c r="X207" t="s">
        <v>15</v>
      </c>
      <c r="Y207" s="56">
        <f>IF(clean[[#This Row],[is_delivered]]="Yes",clean[[#This Row],[net_sales]],0 )</f>
        <v>67500</v>
      </c>
    </row>
    <row r="208" spans="1:25">
      <c r="A208" t="s">
        <v>1317</v>
      </c>
      <c r="B208" s="9">
        <v>45806</v>
      </c>
      <c r="C208" t="s">
        <v>248</v>
      </c>
      <c r="D208" t="s">
        <v>729</v>
      </c>
      <c r="E208">
        <v>4</v>
      </c>
      <c r="F208" s="56">
        <v>100000</v>
      </c>
      <c r="G208" s="56">
        <v>400000</v>
      </c>
      <c r="H208" t="s">
        <v>886</v>
      </c>
      <c r="I208" s="56">
        <v>40000</v>
      </c>
      <c r="J208" s="56">
        <v>20000</v>
      </c>
      <c r="K208" s="56">
        <v>380000</v>
      </c>
      <c r="L208" t="s">
        <v>873</v>
      </c>
      <c r="M208" t="s">
        <v>881</v>
      </c>
      <c r="N208" t="s">
        <v>875</v>
      </c>
      <c r="O208" s="57">
        <v>45778</v>
      </c>
      <c r="P208" t="s">
        <v>877</v>
      </c>
      <c r="Q208" s="56">
        <v>360000</v>
      </c>
      <c r="R208" t="s">
        <v>730</v>
      </c>
      <c r="S208" t="s">
        <v>731</v>
      </c>
      <c r="T208" t="s">
        <v>732</v>
      </c>
      <c r="U208" t="s">
        <v>249</v>
      </c>
      <c r="V208" t="s">
        <v>23</v>
      </c>
      <c r="W208" t="s">
        <v>56</v>
      </c>
      <c r="X208" t="s">
        <v>9</v>
      </c>
      <c r="Y208" s="56">
        <f>IF(clean[[#This Row],[is_delivered]]="Yes",clean[[#This Row],[net_sales]],0 )</f>
        <v>360000</v>
      </c>
    </row>
    <row r="209" spans="1:25">
      <c r="A209" t="s">
        <v>1380</v>
      </c>
      <c r="B209" s="9">
        <v>45806</v>
      </c>
      <c r="C209" t="s">
        <v>226</v>
      </c>
      <c r="D209" t="s">
        <v>837</v>
      </c>
      <c r="E209">
        <v>3</v>
      </c>
      <c r="F209" s="56">
        <v>300000</v>
      </c>
      <c r="G209" s="56">
        <v>900000</v>
      </c>
      <c r="H209" t="s">
        <v>872</v>
      </c>
      <c r="I209" s="56">
        <v>0</v>
      </c>
      <c r="J209" s="56">
        <v>30000</v>
      </c>
      <c r="K209" s="56">
        <v>930000</v>
      </c>
      <c r="L209" t="s">
        <v>889</v>
      </c>
      <c r="M209" t="s">
        <v>874</v>
      </c>
      <c r="N209" t="s">
        <v>875</v>
      </c>
      <c r="O209" s="57">
        <v>45778</v>
      </c>
      <c r="P209" t="s">
        <v>877</v>
      </c>
      <c r="Q209" s="56">
        <v>900000</v>
      </c>
      <c r="R209" t="s">
        <v>838</v>
      </c>
      <c r="S209" t="s">
        <v>735</v>
      </c>
      <c r="T209" t="s">
        <v>736</v>
      </c>
      <c r="U209" t="s">
        <v>227</v>
      </c>
      <c r="V209" t="s">
        <v>23</v>
      </c>
      <c r="W209" t="s">
        <v>29</v>
      </c>
      <c r="X209" t="s">
        <v>9</v>
      </c>
      <c r="Y209" s="56">
        <f>IF(clean[[#This Row],[is_delivered]]="Yes",clean[[#This Row],[net_sales]],0 )</f>
        <v>900000</v>
      </c>
    </row>
    <row r="210" spans="1:25">
      <c r="A210" t="s">
        <v>1509</v>
      </c>
      <c r="B210" s="9">
        <v>45806</v>
      </c>
      <c r="C210" t="s">
        <v>674</v>
      </c>
      <c r="D210" t="s">
        <v>777</v>
      </c>
      <c r="E210">
        <v>1</v>
      </c>
      <c r="F210" s="56">
        <v>200000</v>
      </c>
      <c r="G210" s="56">
        <v>200000</v>
      </c>
      <c r="H210" t="s">
        <v>895</v>
      </c>
      <c r="I210" s="56">
        <v>30000</v>
      </c>
      <c r="J210" s="56">
        <v>15000</v>
      </c>
      <c r="K210" s="56">
        <v>185000</v>
      </c>
      <c r="L210" t="s">
        <v>880</v>
      </c>
      <c r="M210" t="s">
        <v>874</v>
      </c>
      <c r="N210" t="s">
        <v>875</v>
      </c>
      <c r="O210" s="57">
        <v>45778</v>
      </c>
      <c r="P210" t="s">
        <v>877</v>
      </c>
      <c r="Q210" s="56">
        <v>170000</v>
      </c>
      <c r="R210" t="s">
        <v>778</v>
      </c>
      <c r="S210" t="s">
        <v>735</v>
      </c>
      <c r="T210" t="s">
        <v>736</v>
      </c>
      <c r="U210" t="s">
        <v>675</v>
      </c>
      <c r="V210" t="s">
        <v>7</v>
      </c>
      <c r="W210" t="s">
        <v>39</v>
      </c>
      <c r="X210" t="s">
        <v>15</v>
      </c>
      <c r="Y210" s="56">
        <f>IF(clean[[#This Row],[is_delivered]]="Yes",clean[[#This Row],[net_sales]],0 )</f>
        <v>170000</v>
      </c>
    </row>
    <row r="211" spans="1:25">
      <c r="A211" t="s">
        <v>1677</v>
      </c>
      <c r="B211" s="9">
        <v>45806</v>
      </c>
      <c r="C211" t="s">
        <v>310</v>
      </c>
      <c r="D211" t="s">
        <v>801</v>
      </c>
      <c r="E211">
        <v>1</v>
      </c>
      <c r="F211" s="56">
        <v>100000</v>
      </c>
      <c r="G211" s="56">
        <v>100000</v>
      </c>
      <c r="H211" t="s">
        <v>886</v>
      </c>
      <c r="I211" s="56">
        <v>10000</v>
      </c>
      <c r="J211" s="56">
        <v>20000</v>
      </c>
      <c r="K211" s="56">
        <v>110000</v>
      </c>
      <c r="L211" t="s">
        <v>884</v>
      </c>
      <c r="M211" t="s">
        <v>881</v>
      </c>
      <c r="N211" t="s">
        <v>875</v>
      </c>
      <c r="O211" s="57">
        <v>45778</v>
      </c>
      <c r="P211" t="s">
        <v>877</v>
      </c>
      <c r="Q211" s="56">
        <v>90000</v>
      </c>
      <c r="R211" t="s">
        <v>802</v>
      </c>
      <c r="S211" t="s">
        <v>735</v>
      </c>
      <c r="T211" t="s">
        <v>736</v>
      </c>
      <c r="U211" t="s">
        <v>311</v>
      </c>
      <c r="V211" t="s">
        <v>7</v>
      </c>
      <c r="W211" t="s">
        <v>46</v>
      </c>
      <c r="X211" t="s">
        <v>15</v>
      </c>
      <c r="Y211" s="56">
        <f>IF(clean[[#This Row],[is_delivered]]="Yes",clean[[#This Row],[net_sales]],0 )</f>
        <v>90000</v>
      </c>
    </row>
    <row r="212" spans="1:25">
      <c r="A212" t="s">
        <v>1883</v>
      </c>
      <c r="B212" s="9">
        <v>45806</v>
      </c>
      <c r="C212" t="s">
        <v>574</v>
      </c>
      <c r="D212" t="s">
        <v>753</v>
      </c>
      <c r="E212">
        <v>1</v>
      </c>
      <c r="F212" s="56">
        <v>300000</v>
      </c>
      <c r="G212" s="56">
        <v>300000</v>
      </c>
      <c r="H212" t="s">
        <v>872</v>
      </c>
      <c r="I212" s="56">
        <v>0</v>
      </c>
      <c r="J212" s="56">
        <v>15000</v>
      </c>
      <c r="K212" s="56">
        <v>315000</v>
      </c>
      <c r="L212" t="s">
        <v>884</v>
      </c>
      <c r="M212" t="s">
        <v>901</v>
      </c>
      <c r="N212" t="s">
        <v>875</v>
      </c>
      <c r="O212" s="57">
        <v>45778</v>
      </c>
      <c r="P212" t="s">
        <v>877</v>
      </c>
      <c r="Q212" s="56">
        <v>300000</v>
      </c>
      <c r="R212" t="s">
        <v>754</v>
      </c>
      <c r="S212" t="s">
        <v>735</v>
      </c>
      <c r="T212" t="s">
        <v>736</v>
      </c>
      <c r="U212" t="s">
        <v>575</v>
      </c>
      <c r="V212" t="s">
        <v>7</v>
      </c>
      <c r="W212" t="s">
        <v>46</v>
      </c>
      <c r="X212" t="s">
        <v>24</v>
      </c>
      <c r="Y212" s="56">
        <f>IF(clean[[#This Row],[is_delivered]]="Yes",clean[[#This Row],[net_sales]],0 )</f>
        <v>300000</v>
      </c>
    </row>
    <row r="213" spans="1:25">
      <c r="A213" t="s">
        <v>1993</v>
      </c>
      <c r="B213" s="9">
        <v>45806</v>
      </c>
      <c r="C213" t="s">
        <v>97</v>
      </c>
      <c r="D213" t="s">
        <v>813</v>
      </c>
      <c r="E213">
        <v>4</v>
      </c>
      <c r="F213" s="56">
        <v>35000</v>
      </c>
      <c r="G213" s="56">
        <v>140000</v>
      </c>
      <c r="H213" t="s">
        <v>872</v>
      </c>
      <c r="I213" s="56">
        <v>0</v>
      </c>
      <c r="J213" s="56">
        <v>15000</v>
      </c>
      <c r="K213" s="56">
        <v>155000</v>
      </c>
      <c r="L213" t="s">
        <v>873</v>
      </c>
      <c r="M213" t="s">
        <v>903</v>
      </c>
      <c r="N213" t="s">
        <v>890</v>
      </c>
      <c r="O213" s="57">
        <v>45778</v>
      </c>
      <c r="P213" t="s">
        <v>892</v>
      </c>
      <c r="Q213" s="56">
        <v>140000</v>
      </c>
      <c r="R213" t="s">
        <v>814</v>
      </c>
      <c r="S213" t="s">
        <v>735</v>
      </c>
      <c r="T213" t="s">
        <v>736</v>
      </c>
      <c r="U213" t="s">
        <v>98</v>
      </c>
      <c r="V213" t="s">
        <v>7</v>
      </c>
      <c r="W213" t="s">
        <v>39</v>
      </c>
      <c r="X213" t="s">
        <v>9</v>
      </c>
      <c r="Y213" s="56">
        <f>IF(clean[[#This Row],[is_delivered]]="Yes",clean[[#This Row],[net_sales]],0 )</f>
        <v>0</v>
      </c>
    </row>
    <row r="214" spans="1:25">
      <c r="A214" t="s">
        <v>963</v>
      </c>
      <c r="B214" s="9">
        <v>45805</v>
      </c>
      <c r="C214" t="s">
        <v>340</v>
      </c>
      <c r="D214" t="s">
        <v>755</v>
      </c>
      <c r="E214">
        <v>1</v>
      </c>
      <c r="F214" s="56">
        <v>50000</v>
      </c>
      <c r="G214" s="56">
        <v>50000</v>
      </c>
      <c r="H214" t="s">
        <v>883</v>
      </c>
      <c r="I214" s="56">
        <v>5000</v>
      </c>
      <c r="J214" s="56">
        <v>10000</v>
      </c>
      <c r="K214" s="56">
        <v>55000</v>
      </c>
      <c r="L214" t="s">
        <v>884</v>
      </c>
      <c r="M214" t="s">
        <v>901</v>
      </c>
      <c r="N214" t="s">
        <v>875</v>
      </c>
      <c r="O214" s="57">
        <v>45778</v>
      </c>
      <c r="P214" t="s">
        <v>877</v>
      </c>
      <c r="Q214" s="56">
        <v>45000</v>
      </c>
      <c r="R214" t="s">
        <v>756</v>
      </c>
      <c r="S214" t="s">
        <v>739</v>
      </c>
      <c r="T214" t="s">
        <v>740</v>
      </c>
      <c r="U214" t="s">
        <v>341</v>
      </c>
      <c r="V214" t="s">
        <v>7</v>
      </c>
      <c r="W214" t="s">
        <v>46</v>
      </c>
      <c r="X214" t="s">
        <v>24</v>
      </c>
      <c r="Y214" s="56">
        <f>IF(clean[[#This Row],[is_delivered]]="Yes",clean[[#This Row],[net_sales]],0 )</f>
        <v>45000</v>
      </c>
    </row>
    <row r="215" spans="1:25">
      <c r="A215" t="s">
        <v>1222</v>
      </c>
      <c r="B215" s="9">
        <v>45805</v>
      </c>
      <c r="C215" t="s">
        <v>75</v>
      </c>
      <c r="D215" t="s">
        <v>783</v>
      </c>
      <c r="E215">
        <v>1</v>
      </c>
      <c r="F215" s="56">
        <v>500000</v>
      </c>
      <c r="G215" s="56">
        <v>500000</v>
      </c>
      <c r="H215" t="s">
        <v>872</v>
      </c>
      <c r="I215" s="56">
        <v>0</v>
      </c>
      <c r="J215" s="56">
        <v>30000</v>
      </c>
      <c r="K215" s="56">
        <v>530000</v>
      </c>
      <c r="L215" t="s">
        <v>880</v>
      </c>
      <c r="M215" t="s">
        <v>874</v>
      </c>
      <c r="N215" t="s">
        <v>911</v>
      </c>
      <c r="O215" s="57">
        <v>45778</v>
      </c>
      <c r="P215" t="s">
        <v>892</v>
      </c>
      <c r="Q215" s="56">
        <v>500000</v>
      </c>
      <c r="R215" t="s">
        <v>784</v>
      </c>
      <c r="S215" t="s">
        <v>747</v>
      </c>
      <c r="T215" t="s">
        <v>748</v>
      </c>
      <c r="U215" t="s">
        <v>76</v>
      </c>
      <c r="V215" t="s">
        <v>23</v>
      </c>
      <c r="W215" t="s">
        <v>8</v>
      </c>
      <c r="X215" t="s">
        <v>9</v>
      </c>
      <c r="Y215" s="56">
        <f>IF(clean[[#This Row],[is_delivered]]="Yes",clean[[#This Row],[net_sales]],0 )</f>
        <v>0</v>
      </c>
    </row>
    <row r="216" spans="1:25">
      <c r="A216" t="s">
        <v>1112</v>
      </c>
      <c r="B216" s="9">
        <v>45805</v>
      </c>
      <c r="C216" t="s">
        <v>198</v>
      </c>
      <c r="D216" t="s">
        <v>813</v>
      </c>
      <c r="E216">
        <v>2</v>
      </c>
      <c r="F216" s="56">
        <v>35000</v>
      </c>
      <c r="G216" s="56">
        <v>70000</v>
      </c>
      <c r="H216" t="s">
        <v>872</v>
      </c>
      <c r="I216" s="56">
        <v>0</v>
      </c>
      <c r="J216" s="56">
        <v>10000</v>
      </c>
      <c r="K216" s="56">
        <v>80000</v>
      </c>
      <c r="L216" t="s">
        <v>889</v>
      </c>
      <c r="M216" t="s">
        <v>903</v>
      </c>
      <c r="N216" t="s">
        <v>875</v>
      </c>
      <c r="O216" s="57">
        <v>45778</v>
      </c>
      <c r="P216" t="s">
        <v>877</v>
      </c>
      <c r="Q216" s="56">
        <v>70000</v>
      </c>
      <c r="R216" t="s">
        <v>814</v>
      </c>
      <c r="S216" t="s">
        <v>735</v>
      </c>
      <c r="T216" t="s">
        <v>736</v>
      </c>
      <c r="U216" t="s">
        <v>199</v>
      </c>
      <c r="V216" t="s">
        <v>23</v>
      </c>
      <c r="W216" t="s">
        <v>39</v>
      </c>
      <c r="X216" t="s">
        <v>15</v>
      </c>
      <c r="Y216" s="56">
        <f>IF(clean[[#This Row],[is_delivered]]="Yes",clean[[#This Row],[net_sales]],0 )</f>
        <v>70000</v>
      </c>
    </row>
    <row r="217" spans="1:25">
      <c r="A217" t="s">
        <v>1094</v>
      </c>
      <c r="B217" s="9">
        <v>45805</v>
      </c>
      <c r="C217" t="s">
        <v>266</v>
      </c>
      <c r="D217" t="s">
        <v>725</v>
      </c>
      <c r="E217">
        <v>4</v>
      </c>
      <c r="F217" s="56">
        <v>300000</v>
      </c>
      <c r="G217" s="56">
        <v>1200000</v>
      </c>
      <c r="H217" t="s">
        <v>883</v>
      </c>
      <c r="I217" s="56">
        <v>120000</v>
      </c>
      <c r="J217" s="56">
        <v>30000</v>
      </c>
      <c r="K217" s="56">
        <v>1110000</v>
      </c>
      <c r="L217" t="s">
        <v>873</v>
      </c>
      <c r="M217" t="s">
        <v>874</v>
      </c>
      <c r="N217" t="s">
        <v>875</v>
      </c>
      <c r="O217" s="57">
        <v>45778</v>
      </c>
      <c r="P217" t="s">
        <v>877</v>
      </c>
      <c r="Q217" s="56">
        <v>1080000</v>
      </c>
      <c r="R217" t="s">
        <v>726</v>
      </c>
      <c r="S217" t="s">
        <v>727</v>
      </c>
      <c r="T217" t="s">
        <v>728</v>
      </c>
      <c r="U217" t="s">
        <v>267</v>
      </c>
      <c r="V217" t="s">
        <v>7</v>
      </c>
      <c r="W217" t="s">
        <v>137</v>
      </c>
      <c r="X217" t="s">
        <v>24</v>
      </c>
      <c r="Y217" s="56">
        <f>IF(clean[[#This Row],[is_delivered]]="Yes",clean[[#This Row],[net_sales]],0 )</f>
        <v>1080000</v>
      </c>
    </row>
    <row r="218" spans="1:25">
      <c r="A218" t="s">
        <v>1072</v>
      </c>
      <c r="B218" s="9">
        <v>45805</v>
      </c>
      <c r="C218" t="s">
        <v>304</v>
      </c>
      <c r="D218" t="s">
        <v>831</v>
      </c>
      <c r="E218">
        <v>4</v>
      </c>
      <c r="F218" s="56">
        <v>300000</v>
      </c>
      <c r="G218" s="56">
        <v>1200000</v>
      </c>
      <c r="H218" t="s">
        <v>872</v>
      </c>
      <c r="I218" s="56">
        <v>0</v>
      </c>
      <c r="J218" s="56">
        <v>10000</v>
      </c>
      <c r="K218" s="56">
        <v>1210000</v>
      </c>
      <c r="L218" t="s">
        <v>880</v>
      </c>
      <c r="M218" t="s">
        <v>874</v>
      </c>
      <c r="N218" t="s">
        <v>875</v>
      </c>
      <c r="O218" s="57">
        <v>45778</v>
      </c>
      <c r="P218" t="s">
        <v>877</v>
      </c>
      <c r="Q218" s="56">
        <v>1200000</v>
      </c>
      <c r="R218" t="s">
        <v>832</v>
      </c>
      <c r="S218" t="s">
        <v>747</v>
      </c>
      <c r="T218" t="s">
        <v>748</v>
      </c>
      <c r="U218" t="s">
        <v>305</v>
      </c>
      <c r="V218" t="s">
        <v>7</v>
      </c>
      <c r="W218" t="s">
        <v>29</v>
      </c>
      <c r="X218" t="s">
        <v>9</v>
      </c>
      <c r="Y218" s="56">
        <f>IF(clean[[#This Row],[is_delivered]]="Yes",clean[[#This Row],[net_sales]],0 )</f>
        <v>1200000</v>
      </c>
    </row>
    <row r="219" spans="1:25">
      <c r="A219" t="s">
        <v>1585</v>
      </c>
      <c r="B219" s="9">
        <v>45805</v>
      </c>
      <c r="C219" t="s">
        <v>578</v>
      </c>
      <c r="D219" t="s">
        <v>789</v>
      </c>
      <c r="E219">
        <v>3</v>
      </c>
      <c r="F219" s="56">
        <v>200000</v>
      </c>
      <c r="G219" s="56">
        <v>600000</v>
      </c>
      <c r="H219" t="s">
        <v>872</v>
      </c>
      <c r="I219" s="56">
        <v>0</v>
      </c>
      <c r="J219" s="56">
        <v>30000</v>
      </c>
      <c r="K219" s="56">
        <v>630000</v>
      </c>
      <c r="L219" t="s">
        <v>889</v>
      </c>
      <c r="M219" t="s">
        <v>874</v>
      </c>
      <c r="N219" t="s">
        <v>875</v>
      </c>
      <c r="O219" s="57">
        <v>45778</v>
      </c>
      <c r="P219" t="s">
        <v>877</v>
      </c>
      <c r="Q219" s="56">
        <v>600000</v>
      </c>
      <c r="R219" t="s">
        <v>790</v>
      </c>
      <c r="S219" t="s">
        <v>735</v>
      </c>
      <c r="T219" t="s">
        <v>736</v>
      </c>
      <c r="U219" t="s">
        <v>579</v>
      </c>
      <c r="V219" t="s">
        <v>23</v>
      </c>
      <c r="W219" t="s">
        <v>56</v>
      </c>
      <c r="X219" t="s">
        <v>24</v>
      </c>
      <c r="Y219" s="56">
        <f>IF(clean[[#This Row],[is_delivered]]="Yes",clean[[#This Row],[net_sales]],0 )</f>
        <v>600000</v>
      </c>
    </row>
    <row r="220" spans="1:25">
      <c r="A220" t="s">
        <v>1604</v>
      </c>
      <c r="B220" s="9">
        <v>45805</v>
      </c>
      <c r="C220" t="s">
        <v>224</v>
      </c>
      <c r="D220" t="s">
        <v>783</v>
      </c>
      <c r="E220">
        <v>2</v>
      </c>
      <c r="F220" s="56">
        <v>500000</v>
      </c>
      <c r="G220" s="56">
        <v>1000000</v>
      </c>
      <c r="H220" t="s">
        <v>872</v>
      </c>
      <c r="I220" s="56">
        <v>0</v>
      </c>
      <c r="J220" s="56">
        <v>30000</v>
      </c>
      <c r="K220" s="56">
        <v>1030000</v>
      </c>
      <c r="L220" t="s">
        <v>884</v>
      </c>
      <c r="M220" t="s">
        <v>901</v>
      </c>
      <c r="N220" t="s">
        <v>875</v>
      </c>
      <c r="O220" s="57">
        <v>45778</v>
      </c>
      <c r="P220" t="s">
        <v>877</v>
      </c>
      <c r="Q220" s="56">
        <v>1000000</v>
      </c>
      <c r="R220" t="s">
        <v>784</v>
      </c>
      <c r="S220" t="s">
        <v>747</v>
      </c>
      <c r="T220" t="s">
        <v>748</v>
      </c>
      <c r="U220" t="s">
        <v>225</v>
      </c>
      <c r="V220" t="s">
        <v>23</v>
      </c>
      <c r="W220" t="s">
        <v>137</v>
      </c>
      <c r="X220" t="s">
        <v>9</v>
      </c>
      <c r="Y220" s="56">
        <f>IF(clean[[#This Row],[is_delivered]]="Yes",clean[[#This Row],[net_sales]],0 )</f>
        <v>1000000</v>
      </c>
    </row>
    <row r="221" spans="1:25">
      <c r="A221" t="s">
        <v>1687</v>
      </c>
      <c r="B221" s="9">
        <v>45805</v>
      </c>
      <c r="C221" t="s">
        <v>184</v>
      </c>
      <c r="D221" t="s">
        <v>831</v>
      </c>
      <c r="E221">
        <v>2</v>
      </c>
      <c r="F221" s="56">
        <v>300000</v>
      </c>
      <c r="G221" s="56">
        <v>600000</v>
      </c>
      <c r="H221" t="s">
        <v>895</v>
      </c>
      <c r="I221" s="56">
        <v>90000</v>
      </c>
      <c r="J221" s="56">
        <v>15000</v>
      </c>
      <c r="K221" s="56">
        <v>525000</v>
      </c>
      <c r="L221" t="s">
        <v>880</v>
      </c>
      <c r="M221" t="s">
        <v>881</v>
      </c>
      <c r="N221" t="s">
        <v>875</v>
      </c>
      <c r="O221" s="57">
        <v>45778</v>
      </c>
      <c r="P221" t="s">
        <v>877</v>
      </c>
      <c r="Q221" s="56">
        <v>510000</v>
      </c>
      <c r="R221" t="s">
        <v>832</v>
      </c>
      <c r="S221" t="s">
        <v>747</v>
      </c>
      <c r="T221" t="s">
        <v>748</v>
      </c>
      <c r="U221" t="s">
        <v>185</v>
      </c>
      <c r="V221" t="s">
        <v>23</v>
      </c>
      <c r="W221" t="s">
        <v>12</v>
      </c>
      <c r="X221" t="s">
        <v>15</v>
      </c>
      <c r="Y221" s="56">
        <f>IF(clean[[#This Row],[is_delivered]]="Yes",clean[[#This Row],[net_sales]],0 )</f>
        <v>510000</v>
      </c>
    </row>
    <row r="222" spans="1:25">
      <c r="A222" t="s">
        <v>1843</v>
      </c>
      <c r="B222" s="9">
        <v>45805</v>
      </c>
      <c r="C222" t="s">
        <v>280</v>
      </c>
      <c r="D222" t="s">
        <v>821</v>
      </c>
      <c r="E222">
        <v>1</v>
      </c>
      <c r="F222" s="56">
        <v>50000</v>
      </c>
      <c r="G222" s="56">
        <v>50000</v>
      </c>
      <c r="H222" t="s">
        <v>879</v>
      </c>
      <c r="I222" s="56">
        <v>10000</v>
      </c>
      <c r="J222" s="56">
        <v>10000</v>
      </c>
      <c r="K222" s="56">
        <v>50000</v>
      </c>
      <c r="L222" t="s">
        <v>884</v>
      </c>
      <c r="M222" t="s">
        <v>901</v>
      </c>
      <c r="N222" t="s">
        <v>875</v>
      </c>
      <c r="O222" s="57">
        <v>45778</v>
      </c>
      <c r="P222" t="s">
        <v>877</v>
      </c>
      <c r="Q222" s="56">
        <v>40000</v>
      </c>
      <c r="R222" t="s">
        <v>822</v>
      </c>
      <c r="S222" t="s">
        <v>727</v>
      </c>
      <c r="T222" t="s">
        <v>728</v>
      </c>
      <c r="U222" t="s">
        <v>281</v>
      </c>
      <c r="V222" t="s">
        <v>7</v>
      </c>
      <c r="W222" t="s">
        <v>137</v>
      </c>
      <c r="X222" t="s">
        <v>9</v>
      </c>
      <c r="Y222" s="56">
        <f>IF(clean[[#This Row],[is_delivered]]="Yes",clean[[#This Row],[net_sales]],0 )</f>
        <v>40000</v>
      </c>
    </row>
    <row r="223" spans="1:25">
      <c r="A223" t="s">
        <v>2014</v>
      </c>
      <c r="B223" s="9">
        <v>45805</v>
      </c>
      <c r="C223" t="s">
        <v>620</v>
      </c>
      <c r="D223" t="s">
        <v>815</v>
      </c>
      <c r="E223">
        <v>1</v>
      </c>
      <c r="F223" s="56">
        <v>75000</v>
      </c>
      <c r="G223" s="56">
        <v>75000</v>
      </c>
      <c r="H223" t="s">
        <v>895</v>
      </c>
      <c r="I223" s="56">
        <v>11250</v>
      </c>
      <c r="J223" s="56">
        <v>30000</v>
      </c>
      <c r="K223" s="56">
        <v>93750</v>
      </c>
      <c r="L223" t="s">
        <v>889</v>
      </c>
      <c r="M223" t="s">
        <v>901</v>
      </c>
      <c r="N223" t="s">
        <v>890</v>
      </c>
      <c r="O223" s="57">
        <v>45778</v>
      </c>
      <c r="P223" t="s">
        <v>892</v>
      </c>
      <c r="Q223" s="56">
        <v>63750</v>
      </c>
      <c r="R223" t="s">
        <v>816</v>
      </c>
      <c r="S223" t="s">
        <v>739</v>
      </c>
      <c r="T223" t="s">
        <v>740</v>
      </c>
      <c r="U223" t="s">
        <v>621</v>
      </c>
      <c r="V223" t="s">
        <v>23</v>
      </c>
      <c r="W223" t="s">
        <v>36</v>
      </c>
      <c r="X223" t="s">
        <v>24</v>
      </c>
      <c r="Y223" s="56">
        <f>IF(clean[[#This Row],[is_delivered]]="Yes",clean[[#This Row],[net_sales]],0 )</f>
        <v>0</v>
      </c>
    </row>
    <row r="224" spans="1:25">
      <c r="A224" t="s">
        <v>900</v>
      </c>
      <c r="B224" s="9">
        <v>45804</v>
      </c>
      <c r="C224" t="s">
        <v>89</v>
      </c>
      <c r="D224" t="s">
        <v>793</v>
      </c>
      <c r="E224">
        <v>2</v>
      </c>
      <c r="F224" s="56">
        <v>500000</v>
      </c>
      <c r="G224" s="56">
        <v>1000000</v>
      </c>
      <c r="H224" t="s">
        <v>872</v>
      </c>
      <c r="I224" s="56">
        <v>0</v>
      </c>
      <c r="J224" s="56">
        <v>15000</v>
      </c>
      <c r="K224" s="56">
        <v>1015000</v>
      </c>
      <c r="L224" t="s">
        <v>880</v>
      </c>
      <c r="M224" t="s">
        <v>901</v>
      </c>
      <c r="N224" t="s">
        <v>890</v>
      </c>
      <c r="O224" s="57">
        <v>45778</v>
      </c>
      <c r="P224" t="s">
        <v>892</v>
      </c>
      <c r="Q224" s="56">
        <v>1000000</v>
      </c>
      <c r="R224" t="s">
        <v>794</v>
      </c>
      <c r="S224" t="s">
        <v>743</v>
      </c>
      <c r="T224" t="s">
        <v>744</v>
      </c>
      <c r="U224" t="s">
        <v>90</v>
      </c>
      <c r="V224" t="s">
        <v>23</v>
      </c>
      <c r="W224" t="s">
        <v>46</v>
      </c>
      <c r="X224" t="s">
        <v>9</v>
      </c>
      <c r="Y224" s="56">
        <f>IF(clean[[#This Row],[is_delivered]]="Yes",clean[[#This Row],[net_sales]],0 )</f>
        <v>0</v>
      </c>
    </row>
    <row r="225" spans="1:25">
      <c r="A225" t="s">
        <v>1154</v>
      </c>
      <c r="B225" s="9">
        <v>45804</v>
      </c>
      <c r="C225" t="s">
        <v>123</v>
      </c>
      <c r="D225" t="s">
        <v>773</v>
      </c>
      <c r="E225">
        <v>1</v>
      </c>
      <c r="F225" s="56">
        <v>500000</v>
      </c>
      <c r="G225" s="56">
        <v>500000</v>
      </c>
      <c r="H225" t="s">
        <v>886</v>
      </c>
      <c r="I225" s="56">
        <v>50000</v>
      </c>
      <c r="J225" s="56">
        <v>15000</v>
      </c>
      <c r="K225" s="56">
        <v>465000</v>
      </c>
      <c r="L225" t="s">
        <v>889</v>
      </c>
      <c r="M225" t="s">
        <v>881</v>
      </c>
      <c r="N225" t="s">
        <v>890</v>
      </c>
      <c r="O225" s="57">
        <v>45778</v>
      </c>
      <c r="P225" t="s">
        <v>892</v>
      </c>
      <c r="Q225" s="56">
        <v>450000</v>
      </c>
      <c r="R225" t="s">
        <v>774</v>
      </c>
      <c r="S225" t="s">
        <v>727</v>
      </c>
      <c r="T225" t="s">
        <v>728</v>
      </c>
      <c r="U225" t="s">
        <v>124</v>
      </c>
      <c r="V225" t="s">
        <v>23</v>
      </c>
      <c r="W225" t="s">
        <v>46</v>
      </c>
      <c r="X225" t="s">
        <v>9</v>
      </c>
      <c r="Y225" s="56">
        <f>IF(clean[[#This Row],[is_delivered]]="Yes",clean[[#This Row],[net_sales]],0 )</f>
        <v>0</v>
      </c>
    </row>
    <row r="226" spans="1:25">
      <c r="A226" t="s">
        <v>1118</v>
      </c>
      <c r="B226" s="9">
        <v>45804</v>
      </c>
      <c r="C226" t="s">
        <v>496</v>
      </c>
      <c r="D226" t="s">
        <v>791</v>
      </c>
      <c r="E226">
        <v>2</v>
      </c>
      <c r="F226" s="56">
        <v>50000</v>
      </c>
      <c r="G226" s="56">
        <v>100000</v>
      </c>
      <c r="H226" t="s">
        <v>872</v>
      </c>
      <c r="I226" s="56">
        <v>0</v>
      </c>
      <c r="J226" s="56">
        <v>15000</v>
      </c>
      <c r="K226" s="56">
        <v>115000</v>
      </c>
      <c r="L226" t="s">
        <v>884</v>
      </c>
      <c r="M226" t="s">
        <v>881</v>
      </c>
      <c r="N226" t="s">
        <v>911</v>
      </c>
      <c r="O226" s="57">
        <v>45778</v>
      </c>
      <c r="P226" t="s">
        <v>892</v>
      </c>
      <c r="Q226" s="56">
        <v>100000</v>
      </c>
      <c r="R226" t="s">
        <v>792</v>
      </c>
      <c r="S226" t="s">
        <v>739</v>
      </c>
      <c r="T226" t="s">
        <v>740</v>
      </c>
      <c r="U226" t="s">
        <v>497</v>
      </c>
      <c r="V226" t="s">
        <v>7</v>
      </c>
      <c r="W226" t="s">
        <v>56</v>
      </c>
      <c r="X226" t="s">
        <v>24</v>
      </c>
      <c r="Y226" s="56">
        <f>IF(clean[[#This Row],[is_delivered]]="Yes",clean[[#This Row],[net_sales]],0 )</f>
        <v>0</v>
      </c>
    </row>
    <row r="227" spans="1:25">
      <c r="A227" t="s">
        <v>1216</v>
      </c>
      <c r="B227" s="9">
        <v>45804</v>
      </c>
      <c r="C227" t="s">
        <v>426</v>
      </c>
      <c r="D227" t="s">
        <v>767</v>
      </c>
      <c r="E227">
        <v>1</v>
      </c>
      <c r="F227" s="56">
        <v>150000</v>
      </c>
      <c r="G227" s="56">
        <v>150000</v>
      </c>
      <c r="H227" t="s">
        <v>872</v>
      </c>
      <c r="I227" s="56">
        <v>0</v>
      </c>
      <c r="J227" s="56">
        <v>15000</v>
      </c>
      <c r="K227" s="56">
        <v>165000</v>
      </c>
      <c r="L227" t="s">
        <v>880</v>
      </c>
      <c r="M227" t="s">
        <v>881</v>
      </c>
      <c r="N227" t="s">
        <v>905</v>
      </c>
      <c r="O227" s="57">
        <v>45778</v>
      </c>
      <c r="P227" t="s">
        <v>892</v>
      </c>
      <c r="Q227" s="56">
        <v>150000</v>
      </c>
      <c r="R227" t="s">
        <v>768</v>
      </c>
      <c r="S227" t="s">
        <v>739</v>
      </c>
      <c r="T227" t="s">
        <v>740</v>
      </c>
      <c r="U227" t="s">
        <v>427</v>
      </c>
      <c r="V227" t="s">
        <v>7</v>
      </c>
      <c r="W227" t="s">
        <v>20</v>
      </c>
      <c r="X227" t="s">
        <v>9</v>
      </c>
      <c r="Y227" s="56">
        <f>IF(clean[[#This Row],[is_delivered]]="Yes",clean[[#This Row],[net_sales]],0 )</f>
        <v>0</v>
      </c>
    </row>
    <row r="228" spans="1:25">
      <c r="A228" t="s">
        <v>1292</v>
      </c>
      <c r="B228" s="9">
        <v>45804</v>
      </c>
      <c r="C228" t="s">
        <v>34</v>
      </c>
      <c r="D228" t="s">
        <v>803</v>
      </c>
      <c r="E228">
        <v>1</v>
      </c>
      <c r="F228" s="56">
        <v>50000</v>
      </c>
      <c r="G228" s="56">
        <v>50000</v>
      </c>
      <c r="H228" t="s">
        <v>886</v>
      </c>
      <c r="I228" s="56">
        <v>5000</v>
      </c>
      <c r="J228" s="56">
        <v>15000</v>
      </c>
      <c r="K228" s="56">
        <v>60000</v>
      </c>
      <c r="L228" t="s">
        <v>889</v>
      </c>
      <c r="M228" t="s">
        <v>881</v>
      </c>
      <c r="N228" t="s">
        <v>875</v>
      </c>
      <c r="O228" s="57">
        <v>45778</v>
      </c>
      <c r="P228" t="s">
        <v>877</v>
      </c>
      <c r="Q228" s="56">
        <v>45000</v>
      </c>
      <c r="R228" t="s">
        <v>804</v>
      </c>
      <c r="S228" t="s">
        <v>739</v>
      </c>
      <c r="T228" t="s">
        <v>740</v>
      </c>
      <c r="U228" t="s">
        <v>35</v>
      </c>
      <c r="V228" t="s">
        <v>23</v>
      </c>
      <c r="W228" t="s">
        <v>36</v>
      </c>
      <c r="X228" t="s">
        <v>24</v>
      </c>
      <c r="Y228" s="56">
        <f>IF(clean[[#This Row],[is_delivered]]="Yes",clean[[#This Row],[net_sales]],0 )</f>
        <v>45000</v>
      </c>
    </row>
    <row r="229" spans="1:25">
      <c r="A229" t="s">
        <v>1363</v>
      </c>
      <c r="B229" s="9">
        <v>45804</v>
      </c>
      <c r="C229" t="s">
        <v>93</v>
      </c>
      <c r="D229" t="s">
        <v>745</v>
      </c>
      <c r="E229">
        <v>2</v>
      </c>
      <c r="F229" s="56">
        <v>500000</v>
      </c>
      <c r="G229" s="56">
        <v>1000000</v>
      </c>
      <c r="H229" t="s">
        <v>886</v>
      </c>
      <c r="I229" s="56">
        <v>100000</v>
      </c>
      <c r="J229" s="56">
        <v>15000</v>
      </c>
      <c r="K229" s="56">
        <v>915000</v>
      </c>
      <c r="L229" t="s">
        <v>880</v>
      </c>
      <c r="M229" t="s">
        <v>901</v>
      </c>
      <c r="N229" t="s">
        <v>875</v>
      </c>
      <c r="O229" s="57">
        <v>45778</v>
      </c>
      <c r="P229" t="s">
        <v>877</v>
      </c>
      <c r="Q229" s="56">
        <v>900000</v>
      </c>
      <c r="R229" t="s">
        <v>746</v>
      </c>
      <c r="S229" t="s">
        <v>747</v>
      </c>
      <c r="T229" t="s">
        <v>748</v>
      </c>
      <c r="U229" t="s">
        <v>94</v>
      </c>
      <c r="V229" t="s">
        <v>23</v>
      </c>
      <c r="W229" t="s">
        <v>36</v>
      </c>
      <c r="X229" t="s">
        <v>24</v>
      </c>
      <c r="Y229" s="56">
        <f>IF(clean[[#This Row],[is_delivered]]="Yes",clean[[#This Row],[net_sales]],0 )</f>
        <v>900000</v>
      </c>
    </row>
    <row r="230" spans="1:25">
      <c r="A230" t="s">
        <v>1438</v>
      </c>
      <c r="B230" s="9">
        <v>45804</v>
      </c>
      <c r="C230" t="s">
        <v>440</v>
      </c>
      <c r="D230" t="s">
        <v>785</v>
      </c>
      <c r="E230">
        <v>3</v>
      </c>
      <c r="F230" s="56">
        <v>100000</v>
      </c>
      <c r="G230" s="56">
        <v>300000</v>
      </c>
      <c r="H230" t="s">
        <v>872</v>
      </c>
      <c r="I230" s="56">
        <v>0</v>
      </c>
      <c r="J230" s="56">
        <v>25000</v>
      </c>
      <c r="K230" s="56">
        <v>325000</v>
      </c>
      <c r="L230" t="s">
        <v>884</v>
      </c>
      <c r="M230" t="s">
        <v>881</v>
      </c>
      <c r="N230" t="s">
        <v>911</v>
      </c>
      <c r="O230" s="57">
        <v>45778</v>
      </c>
      <c r="P230" t="s">
        <v>892</v>
      </c>
      <c r="Q230" s="56">
        <v>300000</v>
      </c>
      <c r="R230" t="s">
        <v>786</v>
      </c>
      <c r="S230" t="s">
        <v>727</v>
      </c>
      <c r="T230" t="s">
        <v>728</v>
      </c>
      <c r="U230" t="s">
        <v>441</v>
      </c>
      <c r="V230" t="s">
        <v>23</v>
      </c>
      <c r="W230" t="s">
        <v>137</v>
      </c>
      <c r="X230" t="s">
        <v>9</v>
      </c>
      <c r="Y230" s="56">
        <f>IF(clean[[#This Row],[is_delivered]]="Yes",clean[[#This Row],[net_sales]],0 )</f>
        <v>0</v>
      </c>
    </row>
    <row r="231" spans="1:25">
      <c r="A231" t="s">
        <v>1937</v>
      </c>
      <c r="B231" s="9">
        <v>45804</v>
      </c>
      <c r="C231" t="s">
        <v>326</v>
      </c>
      <c r="D231" t="s">
        <v>765</v>
      </c>
      <c r="E231">
        <v>4</v>
      </c>
      <c r="F231" s="56">
        <v>500000</v>
      </c>
      <c r="G231" s="56">
        <v>2000000</v>
      </c>
      <c r="H231" t="s">
        <v>879</v>
      </c>
      <c r="I231" s="56">
        <v>400000</v>
      </c>
      <c r="J231" s="56">
        <v>25000</v>
      </c>
      <c r="K231" s="56">
        <v>1625000</v>
      </c>
      <c r="L231" t="s">
        <v>880</v>
      </c>
      <c r="M231" t="s">
        <v>881</v>
      </c>
      <c r="N231" t="s">
        <v>875</v>
      </c>
      <c r="O231" s="57">
        <v>45778</v>
      </c>
      <c r="P231" t="s">
        <v>877</v>
      </c>
      <c r="Q231" s="56">
        <v>1600000</v>
      </c>
      <c r="R231" t="s">
        <v>766</v>
      </c>
      <c r="S231" t="s">
        <v>735</v>
      </c>
      <c r="T231" t="s">
        <v>736</v>
      </c>
      <c r="U231" t="s">
        <v>327</v>
      </c>
      <c r="V231" t="s">
        <v>7</v>
      </c>
      <c r="W231" t="s">
        <v>8</v>
      </c>
      <c r="X231" t="s">
        <v>9</v>
      </c>
      <c r="Y231" s="56">
        <f>IF(clean[[#This Row],[is_delivered]]="Yes",clean[[#This Row],[net_sales]],0 )</f>
        <v>1600000</v>
      </c>
    </row>
    <row r="232" spans="1:25">
      <c r="A232" t="s">
        <v>1127</v>
      </c>
      <c r="B232" s="9">
        <v>45803</v>
      </c>
      <c r="C232" t="s">
        <v>270</v>
      </c>
      <c r="D232" t="s">
        <v>757</v>
      </c>
      <c r="E232">
        <v>1</v>
      </c>
      <c r="F232" s="56">
        <v>75000</v>
      </c>
      <c r="G232" s="56">
        <v>75000</v>
      </c>
      <c r="H232" t="s">
        <v>872</v>
      </c>
      <c r="I232" s="56">
        <v>0</v>
      </c>
      <c r="J232" s="56">
        <v>25000</v>
      </c>
      <c r="K232" s="56">
        <v>100000</v>
      </c>
      <c r="L232" t="s">
        <v>880</v>
      </c>
      <c r="M232" t="s">
        <v>874</v>
      </c>
      <c r="N232" t="s">
        <v>875</v>
      </c>
      <c r="O232" s="57">
        <v>45778</v>
      </c>
      <c r="P232" t="s">
        <v>877</v>
      </c>
      <c r="Q232" s="56">
        <v>75000</v>
      </c>
      <c r="R232" t="s">
        <v>758</v>
      </c>
      <c r="S232" t="s">
        <v>743</v>
      </c>
      <c r="T232" t="s">
        <v>744</v>
      </c>
      <c r="U232" t="s">
        <v>271</v>
      </c>
      <c r="V232" t="s">
        <v>7</v>
      </c>
      <c r="W232" t="s">
        <v>39</v>
      </c>
      <c r="X232" t="s">
        <v>24</v>
      </c>
      <c r="Y232" s="56">
        <f>IF(clean[[#This Row],[is_delivered]]="Yes",clean[[#This Row],[net_sales]],0 )</f>
        <v>75000</v>
      </c>
    </row>
    <row r="233" spans="1:25">
      <c r="A233" t="s">
        <v>1006</v>
      </c>
      <c r="B233" s="9">
        <v>45803</v>
      </c>
      <c r="C233" t="s">
        <v>346</v>
      </c>
      <c r="D233" t="s">
        <v>755</v>
      </c>
      <c r="E233">
        <v>1</v>
      </c>
      <c r="F233" s="56">
        <v>50000</v>
      </c>
      <c r="G233" s="56">
        <v>50000</v>
      </c>
      <c r="H233" t="s">
        <v>895</v>
      </c>
      <c r="I233" s="56">
        <v>7500</v>
      </c>
      <c r="J233" s="56">
        <v>15000</v>
      </c>
      <c r="K233" s="56">
        <v>57500</v>
      </c>
      <c r="L233" t="s">
        <v>889</v>
      </c>
      <c r="M233" t="s">
        <v>901</v>
      </c>
      <c r="N233" t="s">
        <v>875</v>
      </c>
      <c r="O233" s="57">
        <v>45778</v>
      </c>
      <c r="P233" t="s">
        <v>877</v>
      </c>
      <c r="Q233" s="56">
        <v>42500</v>
      </c>
      <c r="R233" t="s">
        <v>756</v>
      </c>
      <c r="S233" t="s">
        <v>739</v>
      </c>
      <c r="T233" t="s">
        <v>740</v>
      </c>
      <c r="U233" t="s">
        <v>347</v>
      </c>
      <c r="V233" t="s">
        <v>23</v>
      </c>
      <c r="W233" t="s">
        <v>46</v>
      </c>
      <c r="X233" t="s">
        <v>9</v>
      </c>
      <c r="Y233" s="56">
        <f>IF(clean[[#This Row],[is_delivered]]="Yes",clean[[#This Row],[net_sales]],0 )</f>
        <v>42500</v>
      </c>
    </row>
    <row r="234" spans="1:25">
      <c r="A234" t="s">
        <v>1009</v>
      </c>
      <c r="B234" s="9">
        <v>45803</v>
      </c>
      <c r="C234" t="s">
        <v>664</v>
      </c>
      <c r="D234" t="s">
        <v>819</v>
      </c>
      <c r="E234">
        <v>3</v>
      </c>
      <c r="F234" s="56">
        <v>300000</v>
      </c>
      <c r="G234" s="56">
        <v>900000</v>
      </c>
      <c r="H234" t="s">
        <v>879</v>
      </c>
      <c r="I234" s="56">
        <v>180000</v>
      </c>
      <c r="J234" s="56">
        <v>25000</v>
      </c>
      <c r="K234" s="56">
        <v>745000</v>
      </c>
      <c r="L234" t="s">
        <v>873</v>
      </c>
      <c r="M234" t="s">
        <v>881</v>
      </c>
      <c r="N234" t="s">
        <v>875</v>
      </c>
      <c r="O234" s="57">
        <v>45778</v>
      </c>
      <c r="P234" t="s">
        <v>877</v>
      </c>
      <c r="Q234" s="56">
        <v>720000</v>
      </c>
      <c r="R234" t="s">
        <v>820</v>
      </c>
      <c r="S234" t="s">
        <v>747</v>
      </c>
      <c r="T234" t="s">
        <v>748</v>
      </c>
      <c r="U234" t="s">
        <v>665</v>
      </c>
      <c r="V234" t="s">
        <v>23</v>
      </c>
      <c r="W234" t="s">
        <v>8</v>
      </c>
      <c r="X234" t="s">
        <v>9</v>
      </c>
      <c r="Y234" s="56">
        <f>IF(clean[[#This Row],[is_delivered]]="Yes",clean[[#This Row],[net_sales]],0 )</f>
        <v>720000</v>
      </c>
    </row>
    <row r="235" spans="1:25">
      <c r="A235" t="s">
        <v>1338</v>
      </c>
      <c r="B235" s="9">
        <v>45803</v>
      </c>
      <c r="C235" t="s">
        <v>564</v>
      </c>
      <c r="D235" t="s">
        <v>849</v>
      </c>
      <c r="E235">
        <v>3</v>
      </c>
      <c r="F235" s="56">
        <v>500000</v>
      </c>
      <c r="G235" s="56">
        <v>1500000</v>
      </c>
      <c r="H235" t="s">
        <v>872</v>
      </c>
      <c r="I235" s="56">
        <v>0</v>
      </c>
      <c r="J235" s="56">
        <v>20000</v>
      </c>
      <c r="K235" s="56">
        <v>1520000</v>
      </c>
      <c r="L235" t="s">
        <v>889</v>
      </c>
      <c r="M235" t="s">
        <v>874</v>
      </c>
      <c r="N235" t="s">
        <v>905</v>
      </c>
      <c r="O235" s="57">
        <v>45778</v>
      </c>
      <c r="P235" t="s">
        <v>892</v>
      </c>
      <c r="Q235" s="56">
        <v>1500000</v>
      </c>
      <c r="R235" t="s">
        <v>850</v>
      </c>
      <c r="S235" t="s">
        <v>735</v>
      </c>
      <c r="T235" t="s">
        <v>736</v>
      </c>
      <c r="U235" t="s">
        <v>565</v>
      </c>
      <c r="V235" t="s">
        <v>23</v>
      </c>
      <c r="W235" t="s">
        <v>46</v>
      </c>
      <c r="X235" t="s">
        <v>15</v>
      </c>
      <c r="Y235" s="56">
        <f>IF(clean[[#This Row],[is_delivered]]="Yes",clean[[#This Row],[net_sales]],0 )</f>
        <v>0</v>
      </c>
    </row>
    <row r="236" spans="1:25">
      <c r="A236" t="s">
        <v>1421</v>
      </c>
      <c r="B236" s="9">
        <v>45803</v>
      </c>
      <c r="C236" t="s">
        <v>648</v>
      </c>
      <c r="D236" t="s">
        <v>855</v>
      </c>
      <c r="E236">
        <v>4</v>
      </c>
      <c r="F236" s="56">
        <v>150000</v>
      </c>
      <c r="G236" s="56">
        <v>600000</v>
      </c>
      <c r="H236" t="s">
        <v>895</v>
      </c>
      <c r="I236" s="56">
        <v>90000</v>
      </c>
      <c r="J236" s="56">
        <v>10000</v>
      </c>
      <c r="K236" s="56">
        <v>520000</v>
      </c>
      <c r="L236" t="s">
        <v>873</v>
      </c>
      <c r="M236" t="s">
        <v>881</v>
      </c>
      <c r="N236" t="s">
        <v>875</v>
      </c>
      <c r="O236" s="57">
        <v>45778</v>
      </c>
      <c r="P236" t="s">
        <v>877</v>
      </c>
      <c r="Q236" s="56">
        <v>510000</v>
      </c>
      <c r="R236" t="s">
        <v>856</v>
      </c>
      <c r="S236" t="s">
        <v>747</v>
      </c>
      <c r="T236" t="s">
        <v>748</v>
      </c>
      <c r="U236" t="s">
        <v>649</v>
      </c>
      <c r="V236" t="s">
        <v>7</v>
      </c>
      <c r="W236" t="s">
        <v>8</v>
      </c>
      <c r="X236" t="s">
        <v>24</v>
      </c>
      <c r="Y236" s="56">
        <f>IF(clean[[#This Row],[is_delivered]]="Yes",clean[[#This Row],[net_sales]],0 )</f>
        <v>510000</v>
      </c>
    </row>
    <row r="237" spans="1:25">
      <c r="A237" t="s">
        <v>1431</v>
      </c>
      <c r="B237" s="9">
        <v>45803</v>
      </c>
      <c r="C237" t="s">
        <v>704</v>
      </c>
      <c r="D237" t="s">
        <v>765</v>
      </c>
      <c r="E237">
        <v>1</v>
      </c>
      <c r="F237" s="56">
        <v>500000</v>
      </c>
      <c r="G237" s="56">
        <v>500000</v>
      </c>
      <c r="H237" t="s">
        <v>886</v>
      </c>
      <c r="I237" s="56">
        <v>50000</v>
      </c>
      <c r="J237" s="56">
        <v>15000</v>
      </c>
      <c r="K237" s="56">
        <v>465000</v>
      </c>
      <c r="L237" t="s">
        <v>889</v>
      </c>
      <c r="M237" t="s">
        <v>881</v>
      </c>
      <c r="N237" t="s">
        <v>875</v>
      </c>
      <c r="O237" s="57">
        <v>45778</v>
      </c>
      <c r="P237" t="s">
        <v>877</v>
      </c>
      <c r="Q237" s="56">
        <v>450000</v>
      </c>
      <c r="R237" t="s">
        <v>766</v>
      </c>
      <c r="S237" t="s">
        <v>735</v>
      </c>
      <c r="T237" t="s">
        <v>736</v>
      </c>
      <c r="U237" t="s">
        <v>705</v>
      </c>
      <c r="V237" t="s">
        <v>7</v>
      </c>
      <c r="W237" t="s">
        <v>12</v>
      </c>
      <c r="X237" t="s">
        <v>24</v>
      </c>
      <c r="Y237" s="56">
        <f>IF(clean[[#This Row],[is_delivered]]="Yes",clean[[#This Row],[net_sales]],0 )</f>
        <v>450000</v>
      </c>
    </row>
    <row r="238" spans="1:25">
      <c r="A238" t="s">
        <v>1560</v>
      </c>
      <c r="B238" s="9">
        <v>45803</v>
      </c>
      <c r="C238" t="s">
        <v>131</v>
      </c>
      <c r="D238" t="s">
        <v>773</v>
      </c>
      <c r="E238">
        <v>2</v>
      </c>
      <c r="F238" s="56">
        <v>500000</v>
      </c>
      <c r="G238" s="56">
        <v>1000000</v>
      </c>
      <c r="H238" t="s">
        <v>872</v>
      </c>
      <c r="I238" s="56">
        <v>0</v>
      </c>
      <c r="J238" s="56">
        <v>10000</v>
      </c>
      <c r="K238" s="56">
        <v>1010000</v>
      </c>
      <c r="L238" t="s">
        <v>880</v>
      </c>
      <c r="M238" t="s">
        <v>2106</v>
      </c>
      <c r="N238" t="s">
        <v>875</v>
      </c>
      <c r="O238" s="57">
        <v>45778</v>
      </c>
      <c r="P238" t="s">
        <v>877</v>
      </c>
      <c r="Q238" s="56">
        <v>1000000</v>
      </c>
      <c r="R238" t="s">
        <v>774</v>
      </c>
      <c r="S238" t="s">
        <v>727</v>
      </c>
      <c r="T238" t="s">
        <v>728</v>
      </c>
      <c r="U238" t="s">
        <v>132</v>
      </c>
      <c r="V238" t="s">
        <v>7</v>
      </c>
      <c r="W238" t="s">
        <v>20</v>
      </c>
      <c r="X238" t="s">
        <v>9</v>
      </c>
      <c r="Y238" s="56">
        <f>IF(clean[[#This Row],[is_delivered]]="Yes",clean[[#This Row],[net_sales]],0 )</f>
        <v>1000000</v>
      </c>
    </row>
    <row r="239" spans="1:25">
      <c r="A239" t="s">
        <v>1613</v>
      </c>
      <c r="B239" s="9">
        <v>45803</v>
      </c>
      <c r="C239" t="s">
        <v>61</v>
      </c>
      <c r="D239" t="s">
        <v>729</v>
      </c>
      <c r="E239">
        <v>2</v>
      </c>
      <c r="F239" s="56">
        <v>100000</v>
      </c>
      <c r="G239" s="56">
        <v>200000</v>
      </c>
      <c r="H239" t="s">
        <v>872</v>
      </c>
      <c r="I239" s="56">
        <v>0</v>
      </c>
      <c r="J239" s="56">
        <v>15000</v>
      </c>
      <c r="K239" s="56">
        <v>215000</v>
      </c>
      <c r="L239" t="s">
        <v>889</v>
      </c>
      <c r="M239" t="s">
        <v>881</v>
      </c>
      <c r="N239" t="s">
        <v>875</v>
      </c>
      <c r="O239" s="57">
        <v>45778</v>
      </c>
      <c r="P239" t="s">
        <v>877</v>
      </c>
      <c r="Q239" s="56">
        <v>200000</v>
      </c>
      <c r="R239" t="s">
        <v>730</v>
      </c>
      <c r="S239" t="s">
        <v>731</v>
      </c>
      <c r="T239" t="s">
        <v>732</v>
      </c>
      <c r="U239" t="s">
        <v>62</v>
      </c>
      <c r="V239" t="s">
        <v>23</v>
      </c>
      <c r="W239" t="s">
        <v>39</v>
      </c>
      <c r="X239" t="s">
        <v>24</v>
      </c>
      <c r="Y239" s="56">
        <f>IF(clean[[#This Row],[is_delivered]]="Yes",clean[[#This Row],[net_sales]],0 )</f>
        <v>200000</v>
      </c>
    </row>
    <row r="240" spans="1:25">
      <c r="A240" t="s">
        <v>1636</v>
      </c>
      <c r="B240" s="9">
        <v>45803</v>
      </c>
      <c r="C240" t="s">
        <v>162</v>
      </c>
      <c r="D240" t="s">
        <v>791</v>
      </c>
      <c r="E240">
        <v>1</v>
      </c>
      <c r="F240" s="56">
        <v>50000</v>
      </c>
      <c r="G240" s="56">
        <v>50000</v>
      </c>
      <c r="H240" t="s">
        <v>879</v>
      </c>
      <c r="I240" s="56">
        <v>10000</v>
      </c>
      <c r="J240" s="56">
        <v>15000</v>
      </c>
      <c r="K240" s="56">
        <v>55000</v>
      </c>
      <c r="L240" t="s">
        <v>889</v>
      </c>
      <c r="M240" t="s">
        <v>903</v>
      </c>
      <c r="N240" t="s">
        <v>875</v>
      </c>
      <c r="O240" s="57">
        <v>45778</v>
      </c>
      <c r="P240" t="s">
        <v>877</v>
      </c>
      <c r="Q240" s="56">
        <v>40000</v>
      </c>
      <c r="R240" t="s">
        <v>792</v>
      </c>
      <c r="S240" t="s">
        <v>739</v>
      </c>
      <c r="T240" t="s">
        <v>740</v>
      </c>
      <c r="U240" t="s">
        <v>163</v>
      </c>
      <c r="V240" t="s">
        <v>7</v>
      </c>
      <c r="W240" t="s">
        <v>39</v>
      </c>
      <c r="X240" t="s">
        <v>9</v>
      </c>
      <c r="Y240" s="56">
        <f>IF(clean[[#This Row],[is_delivered]]="Yes",clean[[#This Row],[net_sales]],0 )</f>
        <v>40000</v>
      </c>
    </row>
    <row r="241" spans="1:25">
      <c r="A241" t="s">
        <v>1802</v>
      </c>
      <c r="B241" s="9">
        <v>45803</v>
      </c>
      <c r="C241" t="s">
        <v>400</v>
      </c>
      <c r="D241" t="s">
        <v>837</v>
      </c>
      <c r="E241">
        <v>1</v>
      </c>
      <c r="F241" s="56">
        <v>300000</v>
      </c>
      <c r="G241" s="56">
        <v>300000</v>
      </c>
      <c r="H241" t="s">
        <v>872</v>
      </c>
      <c r="I241" s="56">
        <v>0</v>
      </c>
      <c r="J241" s="56">
        <v>25000</v>
      </c>
      <c r="K241" s="56">
        <v>325000</v>
      </c>
      <c r="L241" t="s">
        <v>884</v>
      </c>
      <c r="M241" t="s">
        <v>881</v>
      </c>
      <c r="N241" t="s">
        <v>890</v>
      </c>
      <c r="O241" s="57">
        <v>45778</v>
      </c>
      <c r="P241" t="s">
        <v>892</v>
      </c>
      <c r="Q241" s="56">
        <v>300000</v>
      </c>
      <c r="R241" t="s">
        <v>838</v>
      </c>
      <c r="S241" t="s">
        <v>735</v>
      </c>
      <c r="T241" t="s">
        <v>736</v>
      </c>
      <c r="U241" t="s">
        <v>401</v>
      </c>
      <c r="V241" t="s">
        <v>23</v>
      </c>
      <c r="W241" t="s">
        <v>20</v>
      </c>
      <c r="X241" t="s">
        <v>9</v>
      </c>
      <c r="Y241" s="56">
        <f>IF(clean[[#This Row],[is_delivered]]="Yes",clean[[#This Row],[net_sales]],0 )</f>
        <v>0</v>
      </c>
    </row>
    <row r="242" spans="1:25">
      <c r="A242" t="s">
        <v>1871</v>
      </c>
      <c r="B242" s="9">
        <v>45803</v>
      </c>
      <c r="C242" t="s">
        <v>210</v>
      </c>
      <c r="D242" t="s">
        <v>847</v>
      </c>
      <c r="E242">
        <v>2</v>
      </c>
      <c r="F242" s="56">
        <v>100000</v>
      </c>
      <c r="G242" s="56">
        <v>200000</v>
      </c>
      <c r="H242" t="s">
        <v>879</v>
      </c>
      <c r="I242" s="56">
        <v>40000</v>
      </c>
      <c r="J242" s="56">
        <v>25000</v>
      </c>
      <c r="K242" s="56">
        <v>185000</v>
      </c>
      <c r="L242" t="s">
        <v>880</v>
      </c>
      <c r="M242" t="s">
        <v>874</v>
      </c>
      <c r="N242" t="s">
        <v>875</v>
      </c>
      <c r="O242" s="57">
        <v>45778</v>
      </c>
      <c r="P242" t="s">
        <v>877</v>
      </c>
      <c r="Q242" s="56">
        <v>160000</v>
      </c>
      <c r="R242" t="s">
        <v>848</v>
      </c>
      <c r="S242" t="s">
        <v>731</v>
      </c>
      <c r="T242" t="s">
        <v>732</v>
      </c>
      <c r="U242" t="s">
        <v>211</v>
      </c>
      <c r="V242" t="s">
        <v>23</v>
      </c>
      <c r="W242" t="s">
        <v>56</v>
      </c>
      <c r="X242" t="s">
        <v>15</v>
      </c>
      <c r="Y242" s="56">
        <f>IF(clean[[#This Row],[is_delivered]]="Yes",clean[[#This Row],[net_sales]],0 )</f>
        <v>160000</v>
      </c>
    </row>
    <row r="243" spans="1:25">
      <c r="A243" t="s">
        <v>1917</v>
      </c>
      <c r="B243" s="9">
        <v>45803</v>
      </c>
      <c r="C243" t="s">
        <v>468</v>
      </c>
      <c r="D243" t="s">
        <v>785</v>
      </c>
      <c r="E243">
        <v>4</v>
      </c>
      <c r="F243" s="56">
        <v>100000</v>
      </c>
      <c r="G243" s="56">
        <v>400000</v>
      </c>
      <c r="H243" t="s">
        <v>895</v>
      </c>
      <c r="I243" s="56">
        <v>60000</v>
      </c>
      <c r="J243" s="56">
        <v>20000</v>
      </c>
      <c r="K243" s="56">
        <v>360000</v>
      </c>
      <c r="L243" t="s">
        <v>884</v>
      </c>
      <c r="M243" t="s">
        <v>901</v>
      </c>
      <c r="N243" t="s">
        <v>875</v>
      </c>
      <c r="O243" s="57">
        <v>45778</v>
      </c>
      <c r="P243" t="s">
        <v>877</v>
      </c>
      <c r="Q243" s="56">
        <v>340000</v>
      </c>
      <c r="R243" t="s">
        <v>786</v>
      </c>
      <c r="S243" t="s">
        <v>727</v>
      </c>
      <c r="T243" t="s">
        <v>728</v>
      </c>
      <c r="U243" t="s">
        <v>469</v>
      </c>
      <c r="V243" t="s">
        <v>23</v>
      </c>
      <c r="W243" t="s">
        <v>12</v>
      </c>
      <c r="X243" t="s">
        <v>24</v>
      </c>
      <c r="Y243" s="56">
        <f>IF(clean[[#This Row],[is_delivered]]="Yes",clean[[#This Row],[net_sales]],0 )</f>
        <v>340000</v>
      </c>
    </row>
    <row r="244" spans="1:25">
      <c r="A244" t="s">
        <v>1991</v>
      </c>
      <c r="B244" s="9">
        <v>45803</v>
      </c>
      <c r="C244" t="s">
        <v>664</v>
      </c>
      <c r="D244" t="s">
        <v>851</v>
      </c>
      <c r="E244">
        <v>2</v>
      </c>
      <c r="F244" s="56">
        <v>35000</v>
      </c>
      <c r="G244" s="56">
        <v>70000</v>
      </c>
      <c r="H244" t="s">
        <v>872</v>
      </c>
      <c r="I244" s="56">
        <v>0</v>
      </c>
      <c r="J244" s="56">
        <v>20000</v>
      </c>
      <c r="K244" s="56">
        <v>90000</v>
      </c>
      <c r="L244" t="s">
        <v>880</v>
      </c>
      <c r="M244" t="s">
        <v>881</v>
      </c>
      <c r="N244" t="s">
        <v>875</v>
      </c>
      <c r="O244" s="57">
        <v>45778</v>
      </c>
      <c r="P244" t="s">
        <v>877</v>
      </c>
      <c r="Q244" s="56">
        <v>70000</v>
      </c>
      <c r="R244" t="s">
        <v>852</v>
      </c>
      <c r="S244" t="s">
        <v>739</v>
      </c>
      <c r="T244" t="s">
        <v>740</v>
      </c>
      <c r="U244" t="s">
        <v>665</v>
      </c>
      <c r="V244" t="s">
        <v>23</v>
      </c>
      <c r="W244" t="s">
        <v>8</v>
      </c>
      <c r="X244" t="s">
        <v>9</v>
      </c>
      <c r="Y244" s="56">
        <f>IF(clean[[#This Row],[is_delivered]]="Yes",clean[[#This Row],[net_sales]],0 )</f>
        <v>70000</v>
      </c>
    </row>
    <row r="245" spans="1:25">
      <c r="A245" t="s">
        <v>2069</v>
      </c>
      <c r="B245" s="9">
        <v>45803</v>
      </c>
      <c r="C245" t="s">
        <v>18</v>
      </c>
      <c r="D245" t="s">
        <v>773</v>
      </c>
      <c r="E245">
        <v>1</v>
      </c>
      <c r="F245" s="56">
        <v>500000</v>
      </c>
      <c r="G245" s="56">
        <v>500000</v>
      </c>
      <c r="H245" t="s">
        <v>872</v>
      </c>
      <c r="I245" s="56">
        <v>0</v>
      </c>
      <c r="J245" s="56">
        <v>10000</v>
      </c>
      <c r="K245" s="56">
        <v>510000</v>
      </c>
      <c r="L245" t="s">
        <v>884</v>
      </c>
      <c r="M245" t="s">
        <v>901</v>
      </c>
      <c r="N245" t="s">
        <v>875</v>
      </c>
      <c r="O245" s="57">
        <v>45778</v>
      </c>
      <c r="P245" t="s">
        <v>877</v>
      </c>
      <c r="Q245" s="56">
        <v>500000</v>
      </c>
      <c r="R245" t="s">
        <v>774</v>
      </c>
      <c r="S245" t="s">
        <v>727</v>
      </c>
      <c r="T245" t="s">
        <v>728</v>
      </c>
      <c r="U245" t="s">
        <v>19</v>
      </c>
      <c r="V245" t="s">
        <v>7</v>
      </c>
      <c r="W245" t="s">
        <v>20</v>
      </c>
      <c r="X245" t="s">
        <v>9</v>
      </c>
      <c r="Y245" s="56">
        <f>IF(clean[[#This Row],[is_delivered]]="Yes",clean[[#This Row],[net_sales]],0 )</f>
        <v>500000</v>
      </c>
    </row>
    <row r="246" spans="1:25">
      <c r="A246" t="s">
        <v>1266</v>
      </c>
      <c r="B246" s="9">
        <v>45802</v>
      </c>
      <c r="C246" t="s">
        <v>448</v>
      </c>
      <c r="D246" t="s">
        <v>797</v>
      </c>
      <c r="E246">
        <v>1</v>
      </c>
      <c r="F246" s="56">
        <v>150000</v>
      </c>
      <c r="G246" s="56">
        <v>150000</v>
      </c>
      <c r="H246" t="s">
        <v>886</v>
      </c>
      <c r="I246" s="56">
        <v>15000</v>
      </c>
      <c r="J246" s="56">
        <v>15000</v>
      </c>
      <c r="K246" s="56">
        <v>150000</v>
      </c>
      <c r="L246" t="s">
        <v>873</v>
      </c>
      <c r="M246" t="s">
        <v>903</v>
      </c>
      <c r="N246" t="s">
        <v>875</v>
      </c>
      <c r="O246" s="57">
        <v>45778</v>
      </c>
      <c r="P246" t="s">
        <v>877</v>
      </c>
      <c r="Q246" s="56">
        <v>135000</v>
      </c>
      <c r="R246" t="s">
        <v>798</v>
      </c>
      <c r="S246" t="s">
        <v>727</v>
      </c>
      <c r="T246" t="s">
        <v>728</v>
      </c>
      <c r="U246" t="s">
        <v>449</v>
      </c>
      <c r="V246" t="s">
        <v>7</v>
      </c>
      <c r="W246" t="s">
        <v>12</v>
      </c>
      <c r="X246" t="s">
        <v>9</v>
      </c>
      <c r="Y246" s="56">
        <f>IF(clean[[#This Row],[is_delivered]]="Yes",clean[[#This Row],[net_sales]],0 )</f>
        <v>135000</v>
      </c>
    </row>
    <row r="247" spans="1:25">
      <c r="A247" t="s">
        <v>1310</v>
      </c>
      <c r="B247" s="9">
        <v>45802</v>
      </c>
      <c r="C247" t="s">
        <v>590</v>
      </c>
      <c r="D247" t="s">
        <v>813</v>
      </c>
      <c r="E247">
        <v>2</v>
      </c>
      <c r="F247" s="56">
        <v>35000</v>
      </c>
      <c r="G247" s="56">
        <v>70000</v>
      </c>
      <c r="H247" t="s">
        <v>886</v>
      </c>
      <c r="I247" s="56">
        <v>7000</v>
      </c>
      <c r="J247" s="56">
        <v>20000</v>
      </c>
      <c r="K247" s="56">
        <v>83000</v>
      </c>
      <c r="L247" t="s">
        <v>884</v>
      </c>
      <c r="M247" t="s">
        <v>903</v>
      </c>
      <c r="N247" t="s">
        <v>890</v>
      </c>
      <c r="O247" s="57">
        <v>45778</v>
      </c>
      <c r="P247" t="s">
        <v>892</v>
      </c>
      <c r="Q247" s="56">
        <v>63000</v>
      </c>
      <c r="R247" t="s">
        <v>814</v>
      </c>
      <c r="S247" t="s">
        <v>735</v>
      </c>
      <c r="T247" t="s">
        <v>736</v>
      </c>
      <c r="U247" t="s">
        <v>591</v>
      </c>
      <c r="V247" t="s">
        <v>7</v>
      </c>
      <c r="W247" t="s">
        <v>29</v>
      </c>
      <c r="X247" t="s">
        <v>24</v>
      </c>
      <c r="Y247" s="56">
        <f>IF(clean[[#This Row],[is_delivered]]="Yes",clean[[#This Row],[net_sales]],0 )</f>
        <v>0</v>
      </c>
    </row>
    <row r="248" spans="1:25">
      <c r="A248" t="s">
        <v>1491</v>
      </c>
      <c r="B248" s="9">
        <v>45802</v>
      </c>
      <c r="C248" t="s">
        <v>450</v>
      </c>
      <c r="D248" t="s">
        <v>809</v>
      </c>
      <c r="E248">
        <v>1</v>
      </c>
      <c r="F248" s="56">
        <v>100000</v>
      </c>
      <c r="G248" s="56">
        <v>100000</v>
      </c>
      <c r="H248" t="s">
        <v>883</v>
      </c>
      <c r="I248" s="56">
        <v>10000</v>
      </c>
      <c r="J248" s="56">
        <v>25000</v>
      </c>
      <c r="K248" s="56">
        <v>115000</v>
      </c>
      <c r="L248" t="s">
        <v>884</v>
      </c>
      <c r="M248" t="s">
        <v>903</v>
      </c>
      <c r="N248" t="s">
        <v>875</v>
      </c>
      <c r="O248" s="57">
        <v>45778</v>
      </c>
      <c r="P248" t="s">
        <v>877</v>
      </c>
      <c r="Q248" s="56">
        <v>90000</v>
      </c>
      <c r="R248" t="s">
        <v>810</v>
      </c>
      <c r="S248" t="s">
        <v>727</v>
      </c>
      <c r="T248" t="s">
        <v>728</v>
      </c>
      <c r="U248" t="s">
        <v>451</v>
      </c>
      <c r="V248" t="s">
        <v>23</v>
      </c>
      <c r="W248" t="s">
        <v>56</v>
      </c>
      <c r="X248" t="s">
        <v>9</v>
      </c>
      <c r="Y248" s="56">
        <f>IF(clean[[#This Row],[is_delivered]]="Yes",clean[[#This Row],[net_sales]],0 )</f>
        <v>90000</v>
      </c>
    </row>
    <row r="249" spans="1:25">
      <c r="A249" t="s">
        <v>1790</v>
      </c>
      <c r="B249" s="9">
        <v>45802</v>
      </c>
      <c r="C249" t="s">
        <v>322</v>
      </c>
      <c r="D249" t="s">
        <v>795</v>
      </c>
      <c r="E249">
        <v>3</v>
      </c>
      <c r="F249" s="56">
        <v>100000</v>
      </c>
      <c r="G249" s="56">
        <v>300000</v>
      </c>
      <c r="H249" t="s">
        <v>895</v>
      </c>
      <c r="I249" s="56">
        <v>45000</v>
      </c>
      <c r="J249" s="56">
        <v>10000</v>
      </c>
      <c r="K249" s="56">
        <v>265000</v>
      </c>
      <c r="L249" t="s">
        <v>880</v>
      </c>
      <c r="M249" t="s">
        <v>874</v>
      </c>
      <c r="N249" t="s">
        <v>875</v>
      </c>
      <c r="O249" s="57">
        <v>45778</v>
      </c>
      <c r="P249" t="s">
        <v>877</v>
      </c>
      <c r="Q249" s="56">
        <v>255000</v>
      </c>
      <c r="R249" t="s">
        <v>796</v>
      </c>
      <c r="S249" t="s">
        <v>747</v>
      </c>
      <c r="T249" t="s">
        <v>748</v>
      </c>
      <c r="U249" t="s">
        <v>323</v>
      </c>
      <c r="V249" t="s">
        <v>7</v>
      </c>
      <c r="W249" t="s">
        <v>8</v>
      </c>
      <c r="X249" t="s">
        <v>9</v>
      </c>
      <c r="Y249" s="56">
        <f>IF(clean[[#This Row],[is_delivered]]="Yes",clean[[#This Row],[net_sales]],0 )</f>
        <v>255000</v>
      </c>
    </row>
    <row r="250" spans="1:25">
      <c r="A250" t="s">
        <v>1121</v>
      </c>
      <c r="B250" s="9">
        <v>45801</v>
      </c>
      <c r="C250" t="s">
        <v>718</v>
      </c>
      <c r="D250" t="s">
        <v>815</v>
      </c>
      <c r="E250">
        <v>1</v>
      </c>
      <c r="F250" s="56">
        <v>75000</v>
      </c>
      <c r="G250" s="56">
        <v>75000</v>
      </c>
      <c r="H250" t="s">
        <v>872</v>
      </c>
      <c r="I250" s="56">
        <v>0</v>
      </c>
      <c r="J250" s="56">
        <v>30000</v>
      </c>
      <c r="K250" s="56">
        <v>105000</v>
      </c>
      <c r="L250" t="s">
        <v>884</v>
      </c>
      <c r="M250" t="s">
        <v>881</v>
      </c>
      <c r="N250" t="s">
        <v>875</v>
      </c>
      <c r="O250" s="57">
        <v>45778</v>
      </c>
      <c r="P250" t="s">
        <v>877</v>
      </c>
      <c r="Q250" s="56">
        <v>75000</v>
      </c>
      <c r="R250" t="s">
        <v>816</v>
      </c>
      <c r="S250" t="s">
        <v>739</v>
      </c>
      <c r="T250" t="s">
        <v>740</v>
      </c>
      <c r="U250" t="s">
        <v>719</v>
      </c>
      <c r="V250" t="s">
        <v>23</v>
      </c>
      <c r="W250" t="s">
        <v>56</v>
      </c>
      <c r="X250" t="s">
        <v>9</v>
      </c>
      <c r="Y250" s="56">
        <f>IF(clean[[#This Row],[is_delivered]]="Yes",clean[[#This Row],[net_sales]],0 )</f>
        <v>75000</v>
      </c>
    </row>
    <row r="251" spans="1:25">
      <c r="A251" t="s">
        <v>1342</v>
      </c>
      <c r="B251" s="9">
        <v>45801</v>
      </c>
      <c r="C251" t="s">
        <v>398</v>
      </c>
      <c r="D251" t="s">
        <v>737</v>
      </c>
      <c r="E251">
        <v>2</v>
      </c>
      <c r="F251" s="56">
        <v>300000</v>
      </c>
      <c r="G251" s="56">
        <v>600000</v>
      </c>
      <c r="H251" t="s">
        <v>886</v>
      </c>
      <c r="I251" s="56">
        <v>60000</v>
      </c>
      <c r="J251" s="56">
        <v>20000</v>
      </c>
      <c r="K251" s="56">
        <v>560000</v>
      </c>
      <c r="L251" t="s">
        <v>884</v>
      </c>
      <c r="M251" t="s">
        <v>903</v>
      </c>
      <c r="N251" t="s">
        <v>875</v>
      </c>
      <c r="O251" s="57">
        <v>45778</v>
      </c>
      <c r="P251" t="s">
        <v>877</v>
      </c>
      <c r="Q251" s="56">
        <v>540000</v>
      </c>
      <c r="R251" t="s">
        <v>738</v>
      </c>
      <c r="S251" t="s">
        <v>739</v>
      </c>
      <c r="T251" t="s">
        <v>740</v>
      </c>
      <c r="U251" t="s">
        <v>399</v>
      </c>
      <c r="V251" t="s">
        <v>7</v>
      </c>
      <c r="W251" t="s">
        <v>51</v>
      </c>
      <c r="X251" t="s">
        <v>15</v>
      </c>
      <c r="Y251" s="56">
        <f>IF(clean[[#This Row],[is_delivered]]="Yes",clean[[#This Row],[net_sales]],0 )</f>
        <v>540000</v>
      </c>
    </row>
    <row r="252" spans="1:25">
      <c r="A252" t="s">
        <v>1801</v>
      </c>
      <c r="B252" s="9">
        <v>45801</v>
      </c>
      <c r="C252" t="s">
        <v>30</v>
      </c>
      <c r="D252" t="s">
        <v>761</v>
      </c>
      <c r="E252">
        <v>2</v>
      </c>
      <c r="F252" s="56">
        <v>75000</v>
      </c>
      <c r="G252" s="56">
        <v>150000</v>
      </c>
      <c r="H252" t="s">
        <v>886</v>
      </c>
      <c r="I252" s="56">
        <v>15000</v>
      </c>
      <c r="J252" s="56">
        <v>10000</v>
      </c>
      <c r="K252" s="56">
        <v>145000</v>
      </c>
      <c r="L252" t="s">
        <v>880</v>
      </c>
      <c r="M252" t="s">
        <v>901</v>
      </c>
      <c r="N252" t="s">
        <v>875</v>
      </c>
      <c r="O252" s="57">
        <v>45778</v>
      </c>
      <c r="P252" t="s">
        <v>877</v>
      </c>
      <c r="Q252" s="56">
        <v>135000</v>
      </c>
      <c r="R252" t="s">
        <v>762</v>
      </c>
      <c r="S252" t="s">
        <v>727</v>
      </c>
      <c r="T252" t="s">
        <v>728</v>
      </c>
      <c r="U252" t="s">
        <v>31</v>
      </c>
      <c r="V252" t="s">
        <v>23</v>
      </c>
      <c r="W252" t="s">
        <v>8</v>
      </c>
      <c r="X252" t="s">
        <v>9</v>
      </c>
      <c r="Y252" s="56">
        <f>IF(clean[[#This Row],[is_delivered]]="Yes",clean[[#This Row],[net_sales]],0 )</f>
        <v>135000</v>
      </c>
    </row>
    <row r="253" spans="1:25">
      <c r="A253" t="s">
        <v>1915</v>
      </c>
      <c r="B253" s="9">
        <v>45801</v>
      </c>
      <c r="C253" t="s">
        <v>65</v>
      </c>
      <c r="D253" t="s">
        <v>741</v>
      </c>
      <c r="E253">
        <v>1</v>
      </c>
      <c r="F253" s="56">
        <v>75000</v>
      </c>
      <c r="G253" s="56">
        <v>75000</v>
      </c>
      <c r="H253" t="s">
        <v>872</v>
      </c>
      <c r="I253" s="56">
        <v>0</v>
      </c>
      <c r="J253" s="56">
        <v>25000</v>
      </c>
      <c r="K253" s="56">
        <v>100000</v>
      </c>
      <c r="L253" t="s">
        <v>884</v>
      </c>
      <c r="M253" t="s">
        <v>901</v>
      </c>
      <c r="N253" t="s">
        <v>875</v>
      </c>
      <c r="O253" s="57">
        <v>45778</v>
      </c>
      <c r="P253" t="s">
        <v>877</v>
      </c>
      <c r="Q253" s="56">
        <v>75000</v>
      </c>
      <c r="R253" t="s">
        <v>742</v>
      </c>
      <c r="S253" t="s">
        <v>743</v>
      </c>
      <c r="T253" t="s">
        <v>744</v>
      </c>
      <c r="U253" t="s">
        <v>66</v>
      </c>
      <c r="V253" t="s">
        <v>23</v>
      </c>
      <c r="W253" t="s">
        <v>29</v>
      </c>
      <c r="X253" t="s">
        <v>24</v>
      </c>
      <c r="Y253" s="56">
        <f>IF(clean[[#This Row],[is_delivered]]="Yes",clean[[#This Row],[net_sales]],0 )</f>
        <v>75000</v>
      </c>
    </row>
    <row r="254" spans="1:25">
      <c r="A254" t="s">
        <v>1928</v>
      </c>
      <c r="B254" s="9">
        <v>45801</v>
      </c>
      <c r="C254" t="s">
        <v>432</v>
      </c>
      <c r="D254" t="s">
        <v>821</v>
      </c>
      <c r="E254">
        <v>1</v>
      </c>
      <c r="F254" s="56">
        <v>50000</v>
      </c>
      <c r="G254" s="56">
        <v>50000</v>
      </c>
      <c r="H254" t="s">
        <v>883</v>
      </c>
      <c r="I254" s="56">
        <v>5000</v>
      </c>
      <c r="J254" s="56">
        <v>20000</v>
      </c>
      <c r="K254" s="56">
        <v>65000</v>
      </c>
      <c r="L254" t="s">
        <v>884</v>
      </c>
      <c r="M254" t="s">
        <v>874</v>
      </c>
      <c r="N254" t="s">
        <v>875</v>
      </c>
      <c r="O254" s="57">
        <v>45778</v>
      </c>
      <c r="P254" t="s">
        <v>877</v>
      </c>
      <c r="Q254" s="56">
        <v>45000</v>
      </c>
      <c r="R254" t="s">
        <v>822</v>
      </c>
      <c r="S254" t="s">
        <v>727</v>
      </c>
      <c r="T254" t="s">
        <v>728</v>
      </c>
      <c r="U254" t="s">
        <v>433</v>
      </c>
      <c r="V254" t="s">
        <v>23</v>
      </c>
      <c r="W254" t="s">
        <v>39</v>
      </c>
      <c r="X254" t="s">
        <v>9</v>
      </c>
      <c r="Y254" s="56">
        <f>IF(clean[[#This Row],[is_delivered]]="Yes",clean[[#This Row],[net_sales]],0 )</f>
        <v>45000</v>
      </c>
    </row>
    <row r="255" spans="1:25">
      <c r="A255" t="s">
        <v>2041</v>
      </c>
      <c r="B255" s="9">
        <v>45801</v>
      </c>
      <c r="C255" t="s">
        <v>550</v>
      </c>
      <c r="D255" t="s">
        <v>825</v>
      </c>
      <c r="E255">
        <v>1</v>
      </c>
      <c r="F255" s="56">
        <v>100000</v>
      </c>
      <c r="G255" s="56">
        <v>100000</v>
      </c>
      <c r="H255" t="s">
        <v>883</v>
      </c>
      <c r="I255" s="56">
        <v>10000</v>
      </c>
      <c r="J255" s="56">
        <v>20000</v>
      </c>
      <c r="K255" s="56">
        <v>110000</v>
      </c>
      <c r="L255" t="s">
        <v>884</v>
      </c>
      <c r="M255" t="s">
        <v>881</v>
      </c>
      <c r="N255" t="s">
        <v>875</v>
      </c>
      <c r="O255" s="57">
        <v>45778</v>
      </c>
      <c r="P255" t="s">
        <v>877</v>
      </c>
      <c r="Q255" s="56">
        <v>90000</v>
      </c>
      <c r="R255" t="s">
        <v>826</v>
      </c>
      <c r="S255" t="s">
        <v>735</v>
      </c>
      <c r="T255" t="s">
        <v>736</v>
      </c>
      <c r="U255" t="s">
        <v>551</v>
      </c>
      <c r="V255" t="s">
        <v>23</v>
      </c>
      <c r="W255" t="s">
        <v>36</v>
      </c>
      <c r="X255" t="s">
        <v>15</v>
      </c>
      <c r="Y255" s="56">
        <f>IF(clean[[#This Row],[is_delivered]]="Yes",clean[[#This Row],[net_sales]],0 )</f>
        <v>90000</v>
      </c>
    </row>
    <row r="256" spans="1:25">
      <c r="A256" t="s">
        <v>1063</v>
      </c>
      <c r="B256" s="9">
        <v>45800</v>
      </c>
      <c r="C256" t="s">
        <v>414</v>
      </c>
      <c r="D256" t="s">
        <v>829</v>
      </c>
      <c r="E256">
        <v>3</v>
      </c>
      <c r="F256" s="56">
        <v>500000</v>
      </c>
      <c r="G256" s="56">
        <v>1500000</v>
      </c>
      <c r="H256" t="s">
        <v>886</v>
      </c>
      <c r="I256" s="56">
        <v>150000</v>
      </c>
      <c r="J256" s="56">
        <v>10000</v>
      </c>
      <c r="K256" s="56">
        <v>1360000</v>
      </c>
      <c r="L256" t="s">
        <v>873</v>
      </c>
      <c r="M256" t="s">
        <v>903</v>
      </c>
      <c r="N256" t="s">
        <v>890</v>
      </c>
      <c r="O256" s="57">
        <v>45778</v>
      </c>
      <c r="P256" t="s">
        <v>892</v>
      </c>
      <c r="Q256" s="56">
        <v>1350000</v>
      </c>
      <c r="R256" t="s">
        <v>830</v>
      </c>
      <c r="S256" t="s">
        <v>743</v>
      </c>
      <c r="T256" t="s">
        <v>744</v>
      </c>
      <c r="U256" t="s">
        <v>415</v>
      </c>
      <c r="V256" t="s">
        <v>23</v>
      </c>
      <c r="W256" t="s">
        <v>39</v>
      </c>
      <c r="X256" t="s">
        <v>24</v>
      </c>
      <c r="Y256" s="56">
        <f>IF(clean[[#This Row],[is_delivered]]="Yes",clean[[#This Row],[net_sales]],0 )</f>
        <v>0</v>
      </c>
    </row>
    <row r="257" spans="1:25">
      <c r="A257" t="s">
        <v>994</v>
      </c>
      <c r="B257" s="9">
        <v>45800</v>
      </c>
      <c r="C257" t="s">
        <v>650</v>
      </c>
      <c r="D257" t="s">
        <v>793</v>
      </c>
      <c r="E257">
        <v>1</v>
      </c>
      <c r="F257" s="56">
        <v>500000</v>
      </c>
      <c r="G257" s="56">
        <v>500000</v>
      </c>
      <c r="H257" t="s">
        <v>872</v>
      </c>
      <c r="I257" s="56">
        <v>0</v>
      </c>
      <c r="J257" s="56">
        <v>15000</v>
      </c>
      <c r="K257" s="56">
        <v>515000</v>
      </c>
      <c r="L257" t="s">
        <v>884</v>
      </c>
      <c r="M257" t="s">
        <v>881</v>
      </c>
      <c r="N257" t="s">
        <v>875</v>
      </c>
      <c r="O257" s="57">
        <v>45778</v>
      </c>
      <c r="P257" t="s">
        <v>877</v>
      </c>
      <c r="Q257" s="56">
        <v>500000</v>
      </c>
      <c r="R257" t="s">
        <v>794</v>
      </c>
      <c r="S257" t="s">
        <v>743</v>
      </c>
      <c r="T257" t="s">
        <v>744</v>
      </c>
      <c r="U257" t="s">
        <v>651</v>
      </c>
      <c r="V257" t="s">
        <v>23</v>
      </c>
      <c r="W257" t="s">
        <v>20</v>
      </c>
      <c r="X257" t="s">
        <v>9</v>
      </c>
      <c r="Y257" s="56">
        <f>IF(clean[[#This Row],[is_delivered]]="Yes",clean[[#This Row],[net_sales]],0 )</f>
        <v>500000</v>
      </c>
    </row>
    <row r="258" spans="1:25">
      <c r="A258" t="s">
        <v>965</v>
      </c>
      <c r="B258" s="9">
        <v>45800</v>
      </c>
      <c r="C258" t="s">
        <v>230</v>
      </c>
      <c r="D258" t="s">
        <v>845</v>
      </c>
      <c r="E258">
        <v>2</v>
      </c>
      <c r="F258" s="56">
        <v>300000</v>
      </c>
      <c r="G258" s="56">
        <v>600000</v>
      </c>
      <c r="H258" t="s">
        <v>883</v>
      </c>
      <c r="I258" s="56">
        <v>60000</v>
      </c>
      <c r="J258" s="56">
        <v>10000</v>
      </c>
      <c r="K258" s="56">
        <v>550000</v>
      </c>
      <c r="L258" t="s">
        <v>873</v>
      </c>
      <c r="M258" t="s">
        <v>881</v>
      </c>
      <c r="N258" t="s">
        <v>875</v>
      </c>
      <c r="O258" s="57">
        <v>45778</v>
      </c>
      <c r="P258" t="s">
        <v>877</v>
      </c>
      <c r="Q258" s="56">
        <v>540000</v>
      </c>
      <c r="R258" t="s">
        <v>846</v>
      </c>
      <c r="S258" t="s">
        <v>727</v>
      </c>
      <c r="T258" t="s">
        <v>728</v>
      </c>
      <c r="U258" t="s">
        <v>231</v>
      </c>
      <c r="V258" t="s">
        <v>7</v>
      </c>
      <c r="W258" t="s">
        <v>36</v>
      </c>
      <c r="X258" t="s">
        <v>24</v>
      </c>
      <c r="Y258" s="56">
        <f>IF(clean[[#This Row],[is_delivered]]="Yes",clean[[#This Row],[net_sales]],0 )</f>
        <v>540000</v>
      </c>
    </row>
    <row r="259" spans="1:25">
      <c r="A259" t="s">
        <v>1041</v>
      </c>
      <c r="B259" s="9">
        <v>45800</v>
      </c>
      <c r="C259" t="s">
        <v>440</v>
      </c>
      <c r="D259" t="s">
        <v>749</v>
      </c>
      <c r="E259">
        <v>1</v>
      </c>
      <c r="F259" s="56">
        <v>150000</v>
      </c>
      <c r="G259" s="56">
        <v>150000</v>
      </c>
      <c r="H259" t="s">
        <v>886</v>
      </c>
      <c r="I259" s="56">
        <v>15000</v>
      </c>
      <c r="J259" s="56">
        <v>15000</v>
      </c>
      <c r="K259" s="56">
        <v>150000</v>
      </c>
      <c r="L259" t="s">
        <v>889</v>
      </c>
      <c r="M259" t="s">
        <v>901</v>
      </c>
      <c r="N259" t="s">
        <v>875</v>
      </c>
      <c r="O259" s="57">
        <v>45778</v>
      </c>
      <c r="P259" t="s">
        <v>877</v>
      </c>
      <c r="Q259" s="56">
        <v>135000</v>
      </c>
      <c r="R259" t="s">
        <v>750</v>
      </c>
      <c r="S259" t="s">
        <v>727</v>
      </c>
      <c r="T259" t="s">
        <v>728</v>
      </c>
      <c r="U259" t="s">
        <v>441</v>
      </c>
      <c r="V259" t="s">
        <v>23</v>
      </c>
      <c r="W259" t="s">
        <v>137</v>
      </c>
      <c r="X259" t="s">
        <v>9</v>
      </c>
      <c r="Y259" s="56">
        <f>IF(clean[[#This Row],[is_delivered]]="Yes",clean[[#This Row],[net_sales]],0 )</f>
        <v>135000</v>
      </c>
    </row>
    <row r="260" spans="1:25">
      <c r="A260" t="s">
        <v>1336</v>
      </c>
      <c r="B260" s="9">
        <v>45800</v>
      </c>
      <c r="C260" t="s">
        <v>638</v>
      </c>
      <c r="D260" t="s">
        <v>789</v>
      </c>
      <c r="E260">
        <v>2</v>
      </c>
      <c r="F260" s="56">
        <v>200000</v>
      </c>
      <c r="G260" s="56">
        <v>400000</v>
      </c>
      <c r="H260" t="s">
        <v>872</v>
      </c>
      <c r="I260" s="56">
        <v>0</v>
      </c>
      <c r="J260" s="56">
        <v>30000</v>
      </c>
      <c r="K260" s="56">
        <v>430000</v>
      </c>
      <c r="L260" t="s">
        <v>884</v>
      </c>
      <c r="M260" t="s">
        <v>881</v>
      </c>
      <c r="N260" t="s">
        <v>875</v>
      </c>
      <c r="O260" s="57">
        <v>45778</v>
      </c>
      <c r="P260" t="s">
        <v>877</v>
      </c>
      <c r="Q260" s="56">
        <v>400000</v>
      </c>
      <c r="R260" t="s">
        <v>790</v>
      </c>
      <c r="S260" t="s">
        <v>735</v>
      </c>
      <c r="T260" t="s">
        <v>736</v>
      </c>
      <c r="U260" t="s">
        <v>639</v>
      </c>
      <c r="V260" t="s">
        <v>7</v>
      </c>
      <c r="W260" t="s">
        <v>56</v>
      </c>
      <c r="X260" t="s">
        <v>15</v>
      </c>
      <c r="Y260" s="56">
        <f>IF(clean[[#This Row],[is_delivered]]="Yes",clean[[#This Row],[net_sales]],0 )</f>
        <v>400000</v>
      </c>
    </row>
    <row r="261" spans="1:25">
      <c r="A261" t="s">
        <v>1833</v>
      </c>
      <c r="B261" s="9">
        <v>45800</v>
      </c>
      <c r="C261" t="s">
        <v>10</v>
      </c>
      <c r="D261" t="s">
        <v>783</v>
      </c>
      <c r="E261">
        <v>3</v>
      </c>
      <c r="F261" s="56">
        <v>500000</v>
      </c>
      <c r="G261" s="56">
        <v>1500000</v>
      </c>
      <c r="H261" t="s">
        <v>895</v>
      </c>
      <c r="I261" s="56">
        <v>225000</v>
      </c>
      <c r="J261" s="56">
        <v>30000</v>
      </c>
      <c r="K261" s="56">
        <v>1305000</v>
      </c>
      <c r="L261" t="s">
        <v>889</v>
      </c>
      <c r="M261" t="s">
        <v>903</v>
      </c>
      <c r="N261" t="s">
        <v>911</v>
      </c>
      <c r="O261" s="57">
        <v>45778</v>
      </c>
      <c r="P261" t="s">
        <v>892</v>
      </c>
      <c r="Q261" s="56">
        <v>1275000</v>
      </c>
      <c r="R261" t="s">
        <v>784</v>
      </c>
      <c r="S261" t="s">
        <v>747</v>
      </c>
      <c r="T261" t="s">
        <v>748</v>
      </c>
      <c r="U261" t="s">
        <v>11</v>
      </c>
      <c r="V261" t="s">
        <v>7</v>
      </c>
      <c r="W261" t="s">
        <v>12</v>
      </c>
      <c r="X261" t="s">
        <v>9</v>
      </c>
      <c r="Y261" s="56">
        <f>IF(clean[[#This Row],[is_delivered]]="Yes",clean[[#This Row],[net_sales]],0 )</f>
        <v>0</v>
      </c>
    </row>
    <row r="262" spans="1:25">
      <c r="A262" t="s">
        <v>1900</v>
      </c>
      <c r="B262" s="9">
        <v>45800</v>
      </c>
      <c r="C262" t="s">
        <v>488</v>
      </c>
      <c r="D262" t="s">
        <v>837</v>
      </c>
      <c r="E262">
        <v>2</v>
      </c>
      <c r="F262" s="56">
        <v>300000</v>
      </c>
      <c r="G262" s="56">
        <v>600000</v>
      </c>
      <c r="H262" t="s">
        <v>895</v>
      </c>
      <c r="I262" s="56">
        <v>90000</v>
      </c>
      <c r="J262" s="56">
        <v>30000</v>
      </c>
      <c r="K262" s="56">
        <v>540000</v>
      </c>
      <c r="L262" t="s">
        <v>884</v>
      </c>
      <c r="M262" t="s">
        <v>874</v>
      </c>
      <c r="N262" t="s">
        <v>890</v>
      </c>
      <c r="O262" s="57">
        <v>45778</v>
      </c>
      <c r="P262" t="s">
        <v>892</v>
      </c>
      <c r="Q262" s="56">
        <v>510000</v>
      </c>
      <c r="R262" t="s">
        <v>838</v>
      </c>
      <c r="S262" t="s">
        <v>735</v>
      </c>
      <c r="T262" t="s">
        <v>736</v>
      </c>
      <c r="U262" t="s">
        <v>489</v>
      </c>
      <c r="V262" t="s">
        <v>23</v>
      </c>
      <c r="W262" t="s">
        <v>20</v>
      </c>
      <c r="X262" t="s">
        <v>15</v>
      </c>
      <c r="Y262" s="56">
        <f>IF(clean[[#This Row],[is_delivered]]="Yes",clean[[#This Row],[net_sales]],0 )</f>
        <v>0</v>
      </c>
    </row>
    <row r="263" spans="1:25">
      <c r="A263" t="s">
        <v>2025</v>
      </c>
      <c r="B263" s="9">
        <v>45800</v>
      </c>
      <c r="C263" t="s">
        <v>460</v>
      </c>
      <c r="D263" t="s">
        <v>823</v>
      </c>
      <c r="E263">
        <v>4</v>
      </c>
      <c r="F263" s="56">
        <v>500000</v>
      </c>
      <c r="G263" s="56">
        <v>2000000</v>
      </c>
      <c r="H263" t="s">
        <v>872</v>
      </c>
      <c r="I263" s="56">
        <v>0</v>
      </c>
      <c r="J263" s="56">
        <v>15000</v>
      </c>
      <c r="K263" s="56">
        <v>2015000</v>
      </c>
      <c r="L263" t="s">
        <v>884</v>
      </c>
      <c r="M263" t="s">
        <v>901</v>
      </c>
      <c r="N263" t="s">
        <v>921</v>
      </c>
      <c r="O263" s="57">
        <v>45778</v>
      </c>
      <c r="P263" t="s">
        <v>892</v>
      </c>
      <c r="Q263" s="56">
        <v>2000000</v>
      </c>
      <c r="R263" t="s">
        <v>824</v>
      </c>
      <c r="S263" t="s">
        <v>731</v>
      </c>
      <c r="T263" t="s">
        <v>732</v>
      </c>
      <c r="U263" t="s">
        <v>461</v>
      </c>
      <c r="V263" t="s">
        <v>23</v>
      </c>
      <c r="W263" t="s">
        <v>51</v>
      </c>
      <c r="X263" t="s">
        <v>9</v>
      </c>
      <c r="Y263" s="56">
        <f>IF(clean[[#This Row],[is_delivered]]="Yes",clean[[#This Row],[net_sales]],0 )</f>
        <v>0</v>
      </c>
    </row>
    <row r="264" spans="1:25">
      <c r="A264" t="s">
        <v>899</v>
      </c>
      <c r="B264" s="9">
        <v>45799</v>
      </c>
      <c r="C264" t="s">
        <v>464</v>
      </c>
      <c r="D264" t="s">
        <v>845</v>
      </c>
      <c r="E264">
        <v>1</v>
      </c>
      <c r="F264" s="56">
        <v>300000</v>
      </c>
      <c r="G264" s="56">
        <v>300000</v>
      </c>
      <c r="H264" t="s">
        <v>883</v>
      </c>
      <c r="I264" s="56">
        <v>30000</v>
      </c>
      <c r="J264" s="56">
        <v>30000</v>
      </c>
      <c r="K264" s="56">
        <v>300000</v>
      </c>
      <c r="L264" t="s">
        <v>889</v>
      </c>
      <c r="M264" t="s">
        <v>881</v>
      </c>
      <c r="N264" t="s">
        <v>875</v>
      </c>
      <c r="O264" s="57">
        <v>45778</v>
      </c>
      <c r="P264" t="s">
        <v>877</v>
      </c>
      <c r="Q264" s="56">
        <v>270000</v>
      </c>
      <c r="R264" t="s">
        <v>846</v>
      </c>
      <c r="S264" t="s">
        <v>727</v>
      </c>
      <c r="T264" t="s">
        <v>728</v>
      </c>
      <c r="U264" t="s">
        <v>465</v>
      </c>
      <c r="V264" t="s">
        <v>23</v>
      </c>
      <c r="W264" t="s">
        <v>12</v>
      </c>
      <c r="X264" t="s">
        <v>9</v>
      </c>
      <c r="Y264" s="56">
        <f>IF(clean[[#This Row],[is_delivered]]="Yes",clean[[#This Row],[net_sales]],0 )</f>
        <v>270000</v>
      </c>
    </row>
    <row r="265" spans="1:25">
      <c r="A265" t="s">
        <v>1502</v>
      </c>
      <c r="B265" s="9">
        <v>45799</v>
      </c>
      <c r="C265" t="s">
        <v>234</v>
      </c>
      <c r="D265" t="s">
        <v>795</v>
      </c>
      <c r="E265">
        <v>1</v>
      </c>
      <c r="F265" s="56">
        <v>100000</v>
      </c>
      <c r="G265" s="56">
        <v>100000</v>
      </c>
      <c r="H265" t="s">
        <v>886</v>
      </c>
      <c r="I265" s="56">
        <v>10000</v>
      </c>
      <c r="J265" s="56">
        <v>15000</v>
      </c>
      <c r="K265" s="56">
        <v>105000</v>
      </c>
      <c r="L265" t="s">
        <v>884</v>
      </c>
      <c r="M265" t="s">
        <v>901</v>
      </c>
      <c r="N265" t="s">
        <v>911</v>
      </c>
      <c r="O265" s="57">
        <v>45778</v>
      </c>
      <c r="P265" t="s">
        <v>892</v>
      </c>
      <c r="Q265" s="56">
        <v>90000</v>
      </c>
      <c r="R265" t="s">
        <v>796</v>
      </c>
      <c r="S265" t="s">
        <v>747</v>
      </c>
      <c r="T265" t="s">
        <v>748</v>
      </c>
      <c r="U265" t="s">
        <v>235</v>
      </c>
      <c r="V265" t="s">
        <v>7</v>
      </c>
      <c r="W265" t="s">
        <v>29</v>
      </c>
      <c r="X265" t="s">
        <v>9</v>
      </c>
      <c r="Y265" s="56">
        <f>IF(clean[[#This Row],[is_delivered]]="Yes",clean[[#This Row],[net_sales]],0 )</f>
        <v>0</v>
      </c>
    </row>
    <row r="266" spans="1:25">
      <c r="A266" t="s">
        <v>1660</v>
      </c>
      <c r="B266" s="9">
        <v>45799</v>
      </c>
      <c r="C266" t="s">
        <v>204</v>
      </c>
      <c r="D266" t="s">
        <v>775</v>
      </c>
      <c r="E266">
        <v>3</v>
      </c>
      <c r="F266" s="56">
        <v>75000</v>
      </c>
      <c r="G266" s="56">
        <v>225000</v>
      </c>
      <c r="H266" t="s">
        <v>883</v>
      </c>
      <c r="I266" s="56">
        <v>22500</v>
      </c>
      <c r="J266" s="56">
        <v>10000</v>
      </c>
      <c r="K266" s="56">
        <v>212500</v>
      </c>
      <c r="L266" t="s">
        <v>884</v>
      </c>
      <c r="M266" t="s">
        <v>901</v>
      </c>
      <c r="N266" t="s">
        <v>905</v>
      </c>
      <c r="O266" s="57">
        <v>45778</v>
      </c>
      <c r="P266" t="s">
        <v>892</v>
      </c>
      <c r="Q266" s="56">
        <v>202500</v>
      </c>
      <c r="R266" t="s">
        <v>776</v>
      </c>
      <c r="S266" t="s">
        <v>731</v>
      </c>
      <c r="T266" t="s">
        <v>732</v>
      </c>
      <c r="U266" t="s">
        <v>205</v>
      </c>
      <c r="V266" t="s">
        <v>7</v>
      </c>
      <c r="W266" t="s">
        <v>56</v>
      </c>
      <c r="X266" t="s">
        <v>9</v>
      </c>
      <c r="Y266" s="56">
        <f>IF(clean[[#This Row],[is_delivered]]="Yes",clean[[#This Row],[net_sales]],0 )</f>
        <v>0</v>
      </c>
    </row>
    <row r="267" spans="1:25">
      <c r="A267" t="s">
        <v>1679</v>
      </c>
      <c r="B267" s="9">
        <v>45799</v>
      </c>
      <c r="C267" t="s">
        <v>334</v>
      </c>
      <c r="D267" t="s">
        <v>769</v>
      </c>
      <c r="E267">
        <v>3</v>
      </c>
      <c r="F267" s="56">
        <v>100000</v>
      </c>
      <c r="G267" s="56">
        <v>300000</v>
      </c>
      <c r="H267" t="s">
        <v>872</v>
      </c>
      <c r="I267" s="56">
        <v>0</v>
      </c>
      <c r="J267" s="56">
        <v>30000</v>
      </c>
      <c r="K267" s="56">
        <v>330000</v>
      </c>
      <c r="L267" t="s">
        <v>889</v>
      </c>
      <c r="M267" t="s">
        <v>881</v>
      </c>
      <c r="N267" t="s">
        <v>875</v>
      </c>
      <c r="O267" s="57">
        <v>45778</v>
      </c>
      <c r="P267" t="s">
        <v>877</v>
      </c>
      <c r="Q267" s="56">
        <v>300000</v>
      </c>
      <c r="R267" t="s">
        <v>770</v>
      </c>
      <c r="S267" t="s">
        <v>743</v>
      </c>
      <c r="T267" t="s">
        <v>744</v>
      </c>
      <c r="U267" t="s">
        <v>335</v>
      </c>
      <c r="V267" t="s">
        <v>7</v>
      </c>
      <c r="W267" t="s">
        <v>46</v>
      </c>
      <c r="X267" t="s">
        <v>9</v>
      </c>
      <c r="Y267" s="56">
        <f>IF(clean[[#This Row],[is_delivered]]="Yes",clean[[#This Row],[net_sales]],0 )</f>
        <v>300000</v>
      </c>
    </row>
    <row r="268" spans="1:25">
      <c r="A268" t="s">
        <v>1891</v>
      </c>
      <c r="B268" s="9">
        <v>45799</v>
      </c>
      <c r="C268" t="s">
        <v>664</v>
      </c>
      <c r="D268" t="s">
        <v>781</v>
      </c>
      <c r="E268">
        <v>4</v>
      </c>
      <c r="F268" s="56">
        <v>50000</v>
      </c>
      <c r="G268" s="56">
        <v>200000</v>
      </c>
      <c r="H268" t="s">
        <v>886</v>
      </c>
      <c r="I268" s="56">
        <v>20000</v>
      </c>
      <c r="J268" s="56">
        <v>15000</v>
      </c>
      <c r="K268" s="56">
        <v>195000</v>
      </c>
      <c r="L268" t="s">
        <v>873</v>
      </c>
      <c r="M268" t="s">
        <v>881</v>
      </c>
      <c r="N268" t="s">
        <v>875</v>
      </c>
      <c r="O268" s="57">
        <v>45778</v>
      </c>
      <c r="P268" t="s">
        <v>877</v>
      </c>
      <c r="Q268" s="56">
        <v>180000</v>
      </c>
      <c r="R268" t="s">
        <v>782</v>
      </c>
      <c r="S268" t="s">
        <v>743</v>
      </c>
      <c r="T268" t="s">
        <v>744</v>
      </c>
      <c r="U268" t="s">
        <v>665</v>
      </c>
      <c r="V268" t="s">
        <v>23</v>
      </c>
      <c r="W268" t="s">
        <v>8</v>
      </c>
      <c r="X268" t="s">
        <v>9</v>
      </c>
      <c r="Y268" s="56">
        <f>IF(clean[[#This Row],[is_delivered]]="Yes",clean[[#This Row],[net_sales]],0 )</f>
        <v>180000</v>
      </c>
    </row>
    <row r="269" spans="1:25">
      <c r="A269" t="s">
        <v>1999</v>
      </c>
      <c r="B269" s="9">
        <v>45799</v>
      </c>
      <c r="C269" t="s">
        <v>160</v>
      </c>
      <c r="D269" t="s">
        <v>779</v>
      </c>
      <c r="E269">
        <v>1</v>
      </c>
      <c r="F269" s="56">
        <v>150000</v>
      </c>
      <c r="G269" s="56">
        <v>150000</v>
      </c>
      <c r="H269" t="s">
        <v>886</v>
      </c>
      <c r="I269" s="56">
        <v>15000</v>
      </c>
      <c r="J269" s="56">
        <v>15000</v>
      </c>
      <c r="K269" s="56">
        <v>150000</v>
      </c>
      <c r="L269" t="s">
        <v>884</v>
      </c>
      <c r="M269" t="s">
        <v>903</v>
      </c>
      <c r="N269" t="s">
        <v>875</v>
      </c>
      <c r="O269" s="57">
        <v>45778</v>
      </c>
      <c r="P269" t="s">
        <v>877</v>
      </c>
      <c r="Q269" s="56">
        <v>135000</v>
      </c>
      <c r="R269" t="s">
        <v>780</v>
      </c>
      <c r="S269" t="s">
        <v>739</v>
      </c>
      <c r="T269" t="s">
        <v>740</v>
      </c>
      <c r="U269" t="s">
        <v>161</v>
      </c>
      <c r="V269" t="s">
        <v>23</v>
      </c>
      <c r="W269" t="s">
        <v>137</v>
      </c>
      <c r="X269" t="s">
        <v>9</v>
      </c>
      <c r="Y269" s="56">
        <f>IF(clean[[#This Row],[is_delivered]]="Yes",clean[[#This Row],[net_sales]],0 )</f>
        <v>135000</v>
      </c>
    </row>
    <row r="270" spans="1:25">
      <c r="A270" t="s">
        <v>2007</v>
      </c>
      <c r="B270" s="9">
        <v>45799</v>
      </c>
      <c r="C270" t="s">
        <v>522</v>
      </c>
      <c r="D270" t="s">
        <v>799</v>
      </c>
      <c r="E270">
        <v>1</v>
      </c>
      <c r="F270" s="56">
        <v>35000</v>
      </c>
      <c r="G270" s="56">
        <v>35000</v>
      </c>
      <c r="H270" t="s">
        <v>872</v>
      </c>
      <c r="I270" s="56">
        <v>0</v>
      </c>
      <c r="J270" s="56">
        <v>20000</v>
      </c>
      <c r="K270" s="56">
        <v>55000</v>
      </c>
      <c r="L270" t="s">
        <v>889</v>
      </c>
      <c r="M270" t="s">
        <v>874</v>
      </c>
      <c r="N270" t="s">
        <v>875</v>
      </c>
      <c r="O270" s="57">
        <v>45778</v>
      </c>
      <c r="P270" t="s">
        <v>877</v>
      </c>
      <c r="Q270" s="56">
        <v>35000</v>
      </c>
      <c r="R270" t="s">
        <v>800</v>
      </c>
      <c r="S270" t="s">
        <v>731</v>
      </c>
      <c r="T270" t="s">
        <v>732</v>
      </c>
      <c r="U270" t="s">
        <v>523</v>
      </c>
      <c r="V270" t="s">
        <v>7</v>
      </c>
      <c r="W270" t="s">
        <v>8</v>
      </c>
      <c r="X270" t="s">
        <v>24</v>
      </c>
      <c r="Y270" s="56">
        <f>IF(clean[[#This Row],[is_delivered]]="Yes",clean[[#This Row],[net_sales]],0 )</f>
        <v>35000</v>
      </c>
    </row>
    <row r="271" spans="1:25">
      <c r="A271" t="s">
        <v>969</v>
      </c>
      <c r="B271" s="9">
        <v>45798</v>
      </c>
      <c r="C271" t="s">
        <v>67</v>
      </c>
      <c r="D271" t="s">
        <v>825</v>
      </c>
      <c r="E271">
        <v>1</v>
      </c>
      <c r="F271" s="56">
        <v>100000</v>
      </c>
      <c r="G271" s="56">
        <v>100000</v>
      </c>
      <c r="H271" t="s">
        <v>895</v>
      </c>
      <c r="I271" s="56">
        <v>15000</v>
      </c>
      <c r="J271" s="56">
        <v>30000</v>
      </c>
      <c r="K271" s="56">
        <v>115000</v>
      </c>
      <c r="L271" t="s">
        <v>880</v>
      </c>
      <c r="M271" t="s">
        <v>874</v>
      </c>
      <c r="N271" t="s">
        <v>875</v>
      </c>
      <c r="O271" s="57">
        <v>45778</v>
      </c>
      <c r="P271" t="s">
        <v>877</v>
      </c>
      <c r="Q271" s="56">
        <v>85000</v>
      </c>
      <c r="R271" t="s">
        <v>826</v>
      </c>
      <c r="S271" t="s">
        <v>735</v>
      </c>
      <c r="T271" t="s">
        <v>736</v>
      </c>
      <c r="U271" t="s">
        <v>68</v>
      </c>
      <c r="V271" t="s">
        <v>7</v>
      </c>
      <c r="W271" t="s">
        <v>56</v>
      </c>
      <c r="X271" t="s">
        <v>24</v>
      </c>
      <c r="Y271" s="56">
        <f>IF(clean[[#This Row],[is_delivered]]="Yes",clean[[#This Row],[net_sales]],0 )</f>
        <v>85000</v>
      </c>
    </row>
    <row r="272" spans="1:25">
      <c r="A272" t="s">
        <v>1036</v>
      </c>
      <c r="B272" s="9">
        <v>45798</v>
      </c>
      <c r="C272" t="s">
        <v>244</v>
      </c>
      <c r="D272" t="s">
        <v>817</v>
      </c>
      <c r="E272">
        <v>1</v>
      </c>
      <c r="F272" s="56">
        <v>75000</v>
      </c>
      <c r="G272" s="56">
        <v>75000</v>
      </c>
      <c r="H272" t="s">
        <v>872</v>
      </c>
      <c r="I272" s="56">
        <v>0</v>
      </c>
      <c r="J272" s="56">
        <v>30000</v>
      </c>
      <c r="K272" s="56">
        <v>105000</v>
      </c>
      <c r="L272" t="s">
        <v>880</v>
      </c>
      <c r="M272" t="s">
        <v>903</v>
      </c>
      <c r="N272" t="s">
        <v>875</v>
      </c>
      <c r="O272" s="57">
        <v>45778</v>
      </c>
      <c r="P272" t="s">
        <v>877</v>
      </c>
      <c r="Q272" s="56">
        <v>75000</v>
      </c>
      <c r="R272" t="s">
        <v>818</v>
      </c>
      <c r="S272" t="s">
        <v>743</v>
      </c>
      <c r="T272" t="s">
        <v>744</v>
      </c>
      <c r="U272" t="s">
        <v>245</v>
      </c>
      <c r="V272" t="s">
        <v>7</v>
      </c>
      <c r="W272" t="s">
        <v>46</v>
      </c>
      <c r="X272" t="s">
        <v>9</v>
      </c>
      <c r="Y272" s="56">
        <f>IF(clean[[#This Row],[is_delivered]]="Yes",clean[[#This Row],[net_sales]],0 )</f>
        <v>75000</v>
      </c>
    </row>
    <row r="273" spans="1:25">
      <c r="A273" t="s">
        <v>1148</v>
      </c>
      <c r="B273" s="9">
        <v>45798</v>
      </c>
      <c r="C273" t="s">
        <v>482</v>
      </c>
      <c r="D273" t="s">
        <v>751</v>
      </c>
      <c r="E273">
        <v>2</v>
      </c>
      <c r="F273" s="56">
        <v>150000</v>
      </c>
      <c r="G273" s="56">
        <v>300000</v>
      </c>
      <c r="H273" t="s">
        <v>883</v>
      </c>
      <c r="I273" s="56">
        <v>30000</v>
      </c>
      <c r="J273" s="56">
        <v>15000</v>
      </c>
      <c r="K273" s="56">
        <v>285000</v>
      </c>
      <c r="L273" t="s">
        <v>880</v>
      </c>
      <c r="M273" t="s">
        <v>901</v>
      </c>
      <c r="N273" t="s">
        <v>905</v>
      </c>
      <c r="O273" s="57">
        <v>45778</v>
      </c>
      <c r="P273" t="s">
        <v>892</v>
      </c>
      <c r="Q273" s="56">
        <v>270000</v>
      </c>
      <c r="R273" t="s">
        <v>752</v>
      </c>
      <c r="S273" t="s">
        <v>731</v>
      </c>
      <c r="T273" t="s">
        <v>732</v>
      </c>
      <c r="U273" t="s">
        <v>483</v>
      </c>
      <c r="V273" t="s">
        <v>7</v>
      </c>
      <c r="W273" t="s">
        <v>39</v>
      </c>
      <c r="X273" t="s">
        <v>15</v>
      </c>
      <c r="Y273" s="56">
        <f>IF(clean[[#This Row],[is_delivered]]="Yes",clean[[#This Row],[net_sales]],0 )</f>
        <v>0</v>
      </c>
    </row>
    <row r="274" spans="1:25">
      <c r="A274" t="s">
        <v>1205</v>
      </c>
      <c r="B274" s="9">
        <v>45798</v>
      </c>
      <c r="C274" t="s">
        <v>704</v>
      </c>
      <c r="D274" t="s">
        <v>851</v>
      </c>
      <c r="E274">
        <v>1</v>
      </c>
      <c r="F274" s="56">
        <v>35000</v>
      </c>
      <c r="G274" s="56">
        <v>35000</v>
      </c>
      <c r="H274" t="s">
        <v>883</v>
      </c>
      <c r="I274" s="56">
        <v>3500</v>
      </c>
      <c r="J274" s="56">
        <v>10000</v>
      </c>
      <c r="K274" s="56">
        <v>41500</v>
      </c>
      <c r="L274" t="s">
        <v>880</v>
      </c>
      <c r="M274" t="s">
        <v>874</v>
      </c>
      <c r="N274" t="s">
        <v>911</v>
      </c>
      <c r="O274" s="57">
        <v>45778</v>
      </c>
      <c r="P274" t="s">
        <v>892</v>
      </c>
      <c r="Q274" s="56">
        <v>31500</v>
      </c>
      <c r="R274" t="s">
        <v>852</v>
      </c>
      <c r="S274" t="s">
        <v>739</v>
      </c>
      <c r="T274" t="s">
        <v>740</v>
      </c>
      <c r="U274" t="s">
        <v>705</v>
      </c>
      <c r="V274" t="s">
        <v>7</v>
      </c>
      <c r="W274" t="s">
        <v>12</v>
      </c>
      <c r="X274" t="s">
        <v>24</v>
      </c>
      <c r="Y274" s="56">
        <f>IF(clean[[#This Row],[is_delivered]]="Yes",clean[[#This Row],[net_sales]],0 )</f>
        <v>0</v>
      </c>
    </row>
    <row r="275" spans="1:25">
      <c r="A275" t="s">
        <v>1341</v>
      </c>
      <c r="B275" s="9">
        <v>45798</v>
      </c>
      <c r="C275" t="s">
        <v>646</v>
      </c>
      <c r="D275" t="s">
        <v>763</v>
      </c>
      <c r="E275">
        <v>2</v>
      </c>
      <c r="F275" s="56">
        <v>75000</v>
      </c>
      <c r="G275" s="56">
        <v>150000</v>
      </c>
      <c r="H275" t="s">
        <v>886</v>
      </c>
      <c r="I275" s="56">
        <v>15000</v>
      </c>
      <c r="J275" s="56">
        <v>25000</v>
      </c>
      <c r="K275" s="56">
        <v>160000</v>
      </c>
      <c r="L275" t="s">
        <v>884</v>
      </c>
      <c r="M275" t="s">
        <v>874</v>
      </c>
      <c r="N275" t="s">
        <v>875</v>
      </c>
      <c r="O275" s="57">
        <v>45778</v>
      </c>
      <c r="P275" t="s">
        <v>877</v>
      </c>
      <c r="Q275" s="56">
        <v>135000</v>
      </c>
      <c r="R275" t="s">
        <v>764</v>
      </c>
      <c r="S275" t="s">
        <v>731</v>
      </c>
      <c r="T275" t="s">
        <v>732</v>
      </c>
      <c r="U275" t="s">
        <v>647</v>
      </c>
      <c r="V275" t="s">
        <v>23</v>
      </c>
      <c r="W275" t="s">
        <v>56</v>
      </c>
      <c r="X275" t="s">
        <v>15</v>
      </c>
      <c r="Y275" s="56">
        <f>IF(clean[[#This Row],[is_delivered]]="Yes",clean[[#This Row],[net_sales]],0 )</f>
        <v>135000</v>
      </c>
    </row>
    <row r="276" spans="1:25">
      <c r="A276" t="s">
        <v>1362</v>
      </c>
      <c r="B276" s="9">
        <v>45798</v>
      </c>
      <c r="C276" t="s">
        <v>654</v>
      </c>
      <c r="D276" t="s">
        <v>843</v>
      </c>
      <c r="E276">
        <v>2</v>
      </c>
      <c r="F276" s="56">
        <v>100000</v>
      </c>
      <c r="G276" s="56">
        <v>200000</v>
      </c>
      <c r="H276" t="s">
        <v>872</v>
      </c>
      <c r="I276" s="56">
        <v>0</v>
      </c>
      <c r="J276" s="56">
        <v>20000</v>
      </c>
      <c r="K276" s="56">
        <v>220000</v>
      </c>
      <c r="L276" t="s">
        <v>884</v>
      </c>
      <c r="M276" t="s">
        <v>881</v>
      </c>
      <c r="N276" t="s">
        <v>875</v>
      </c>
      <c r="O276" s="57">
        <v>45778</v>
      </c>
      <c r="P276" t="s">
        <v>877</v>
      </c>
      <c r="Q276" s="56">
        <v>200000</v>
      </c>
      <c r="R276" t="s">
        <v>844</v>
      </c>
      <c r="S276" t="s">
        <v>747</v>
      </c>
      <c r="T276" t="s">
        <v>748</v>
      </c>
      <c r="U276" t="s">
        <v>655</v>
      </c>
      <c r="V276" t="s">
        <v>7</v>
      </c>
      <c r="W276" t="s">
        <v>36</v>
      </c>
      <c r="X276" t="s">
        <v>24</v>
      </c>
      <c r="Y276" s="56">
        <f>IF(clean[[#This Row],[is_delivered]]="Yes",clean[[#This Row],[net_sales]],0 )</f>
        <v>200000</v>
      </c>
    </row>
    <row r="277" spans="1:25">
      <c r="A277" t="s">
        <v>1627</v>
      </c>
      <c r="B277" s="9">
        <v>45798</v>
      </c>
      <c r="C277" t="s">
        <v>13</v>
      </c>
      <c r="D277" t="s">
        <v>787</v>
      </c>
      <c r="E277">
        <v>1</v>
      </c>
      <c r="F277" s="56">
        <v>200000</v>
      </c>
      <c r="G277" s="56">
        <v>200000</v>
      </c>
      <c r="H277" t="s">
        <v>872</v>
      </c>
      <c r="I277" s="56">
        <v>0</v>
      </c>
      <c r="J277" s="56">
        <v>10000</v>
      </c>
      <c r="K277" s="56">
        <v>210000</v>
      </c>
      <c r="L277" t="s">
        <v>884</v>
      </c>
      <c r="M277" t="s">
        <v>881</v>
      </c>
      <c r="N277" t="s">
        <v>905</v>
      </c>
      <c r="O277" s="57">
        <v>45778</v>
      </c>
      <c r="P277" t="s">
        <v>892</v>
      </c>
      <c r="Q277" s="56">
        <v>200000</v>
      </c>
      <c r="R277" t="s">
        <v>788</v>
      </c>
      <c r="S277" t="s">
        <v>731</v>
      </c>
      <c r="T277" t="s">
        <v>732</v>
      </c>
      <c r="U277" t="s">
        <v>14</v>
      </c>
      <c r="V277" t="s">
        <v>7</v>
      </c>
      <c r="W277" t="s">
        <v>8</v>
      </c>
      <c r="X277" t="s">
        <v>15</v>
      </c>
      <c r="Y277" s="56">
        <f>IF(clean[[#This Row],[is_delivered]]="Yes",clean[[#This Row],[net_sales]],0 )</f>
        <v>0</v>
      </c>
    </row>
    <row r="278" spans="1:25">
      <c r="A278" t="s">
        <v>1638</v>
      </c>
      <c r="B278" s="9">
        <v>45798</v>
      </c>
      <c r="C278" t="s">
        <v>444</v>
      </c>
      <c r="D278" t="s">
        <v>817</v>
      </c>
      <c r="E278">
        <v>1</v>
      </c>
      <c r="F278" s="56">
        <v>75000</v>
      </c>
      <c r="G278" s="56">
        <v>75000</v>
      </c>
      <c r="H278" t="s">
        <v>886</v>
      </c>
      <c r="I278" s="56">
        <v>7500</v>
      </c>
      <c r="J278" s="56">
        <v>10000</v>
      </c>
      <c r="K278" s="56">
        <v>77500</v>
      </c>
      <c r="L278" t="s">
        <v>889</v>
      </c>
      <c r="M278" t="s">
        <v>881</v>
      </c>
      <c r="N278" t="s">
        <v>890</v>
      </c>
      <c r="O278" s="57">
        <v>45778</v>
      </c>
      <c r="P278" t="s">
        <v>892</v>
      </c>
      <c r="Q278" s="56">
        <v>67500</v>
      </c>
      <c r="R278" t="s">
        <v>818</v>
      </c>
      <c r="S278" t="s">
        <v>743</v>
      </c>
      <c r="T278" t="s">
        <v>744</v>
      </c>
      <c r="U278" t="s">
        <v>445</v>
      </c>
      <c r="V278" t="s">
        <v>23</v>
      </c>
      <c r="W278" t="s">
        <v>20</v>
      </c>
      <c r="X278" t="s">
        <v>9</v>
      </c>
      <c r="Y278" s="56">
        <f>IF(clean[[#This Row],[is_delivered]]="Yes",clean[[#This Row],[net_sales]],0 )</f>
        <v>0</v>
      </c>
    </row>
    <row r="279" spans="1:25">
      <c r="A279" t="s">
        <v>1725</v>
      </c>
      <c r="B279" s="9">
        <v>45798</v>
      </c>
      <c r="C279" t="s">
        <v>63</v>
      </c>
      <c r="D279" t="s">
        <v>773</v>
      </c>
      <c r="E279">
        <v>1</v>
      </c>
      <c r="F279" s="56">
        <v>500000</v>
      </c>
      <c r="G279" s="56">
        <v>500000</v>
      </c>
      <c r="H279" t="s">
        <v>883</v>
      </c>
      <c r="I279" s="56">
        <v>50000</v>
      </c>
      <c r="J279" s="56">
        <v>20000</v>
      </c>
      <c r="K279" s="56">
        <v>470000</v>
      </c>
      <c r="L279" t="s">
        <v>889</v>
      </c>
      <c r="M279" t="s">
        <v>901</v>
      </c>
      <c r="N279" t="s">
        <v>911</v>
      </c>
      <c r="O279" s="57">
        <v>45778</v>
      </c>
      <c r="P279" t="s">
        <v>892</v>
      </c>
      <c r="Q279" s="56">
        <v>450000</v>
      </c>
      <c r="R279" t="s">
        <v>774</v>
      </c>
      <c r="S279" t="s">
        <v>727</v>
      </c>
      <c r="T279" t="s">
        <v>728</v>
      </c>
      <c r="U279" t="s">
        <v>64</v>
      </c>
      <c r="V279" t="s">
        <v>7</v>
      </c>
      <c r="W279" t="s">
        <v>8</v>
      </c>
      <c r="X279" t="s">
        <v>15</v>
      </c>
      <c r="Y279" s="56">
        <f>IF(clean[[#This Row],[is_delivered]]="Yes",clean[[#This Row],[net_sales]],0 )</f>
        <v>0</v>
      </c>
    </row>
    <row r="280" spans="1:25">
      <c r="A280" t="s">
        <v>1876</v>
      </c>
      <c r="B280" s="9">
        <v>45798</v>
      </c>
      <c r="C280" t="s">
        <v>416</v>
      </c>
      <c r="D280" t="s">
        <v>831</v>
      </c>
      <c r="E280">
        <v>4</v>
      </c>
      <c r="F280" s="56">
        <v>300000</v>
      </c>
      <c r="G280" s="56">
        <v>1200000</v>
      </c>
      <c r="H280" t="s">
        <v>886</v>
      </c>
      <c r="I280" s="56">
        <v>120000</v>
      </c>
      <c r="J280" s="56">
        <v>30000</v>
      </c>
      <c r="K280" s="56">
        <v>1110000</v>
      </c>
      <c r="L280" t="s">
        <v>880</v>
      </c>
      <c r="M280" t="s">
        <v>903</v>
      </c>
      <c r="N280" t="s">
        <v>875</v>
      </c>
      <c r="O280" s="57">
        <v>45778</v>
      </c>
      <c r="P280" t="s">
        <v>877</v>
      </c>
      <c r="Q280" s="56">
        <v>1080000</v>
      </c>
      <c r="R280" t="s">
        <v>832</v>
      </c>
      <c r="S280" t="s">
        <v>747</v>
      </c>
      <c r="T280" t="s">
        <v>748</v>
      </c>
      <c r="U280" t="s">
        <v>417</v>
      </c>
      <c r="V280" t="s">
        <v>23</v>
      </c>
      <c r="W280" t="s">
        <v>39</v>
      </c>
      <c r="X280" t="s">
        <v>15</v>
      </c>
      <c r="Y280" s="56">
        <f>IF(clean[[#This Row],[is_delivered]]="Yes",clean[[#This Row],[net_sales]],0 )</f>
        <v>1080000</v>
      </c>
    </row>
    <row r="281" spans="1:25">
      <c r="A281" t="s">
        <v>1946</v>
      </c>
      <c r="B281" s="9">
        <v>45798</v>
      </c>
      <c r="C281" t="s">
        <v>474</v>
      </c>
      <c r="D281" t="s">
        <v>805</v>
      </c>
      <c r="E281">
        <v>2</v>
      </c>
      <c r="F281" s="56">
        <v>200000</v>
      </c>
      <c r="G281" s="56">
        <v>400000</v>
      </c>
      <c r="H281" t="s">
        <v>883</v>
      </c>
      <c r="I281" s="56">
        <v>40000</v>
      </c>
      <c r="J281" s="56">
        <v>15000</v>
      </c>
      <c r="K281" s="56">
        <v>375000</v>
      </c>
      <c r="L281" t="s">
        <v>873</v>
      </c>
      <c r="M281" t="s">
        <v>903</v>
      </c>
      <c r="N281" t="s">
        <v>875</v>
      </c>
      <c r="O281" s="57">
        <v>45778</v>
      </c>
      <c r="P281" t="s">
        <v>877</v>
      </c>
      <c r="Q281" s="56">
        <v>360000</v>
      </c>
      <c r="R281" t="s">
        <v>806</v>
      </c>
      <c r="S281" t="s">
        <v>743</v>
      </c>
      <c r="T281" t="s">
        <v>744</v>
      </c>
      <c r="U281" t="s">
        <v>475</v>
      </c>
      <c r="V281" t="s">
        <v>7</v>
      </c>
      <c r="W281" t="s">
        <v>46</v>
      </c>
      <c r="X281" t="s">
        <v>9</v>
      </c>
      <c r="Y281" s="56">
        <f>IF(clean[[#This Row],[is_delivered]]="Yes",clean[[#This Row],[net_sales]],0 )</f>
        <v>360000</v>
      </c>
    </row>
    <row r="282" spans="1:25">
      <c r="A282" t="s">
        <v>1510</v>
      </c>
      <c r="B282" s="9">
        <v>45797</v>
      </c>
      <c r="C282" t="s">
        <v>606</v>
      </c>
      <c r="D282" t="s">
        <v>823</v>
      </c>
      <c r="E282">
        <v>4</v>
      </c>
      <c r="F282" s="56">
        <v>500000</v>
      </c>
      <c r="G282" s="56">
        <v>2000000</v>
      </c>
      <c r="H282" t="s">
        <v>872</v>
      </c>
      <c r="I282" s="56">
        <v>0</v>
      </c>
      <c r="J282" s="56">
        <v>20000</v>
      </c>
      <c r="K282" s="56">
        <v>2020000</v>
      </c>
      <c r="L282" t="s">
        <v>889</v>
      </c>
      <c r="M282" t="s">
        <v>903</v>
      </c>
      <c r="N282" t="s">
        <v>875</v>
      </c>
      <c r="O282" s="57">
        <v>45778</v>
      </c>
      <c r="P282" t="s">
        <v>877</v>
      </c>
      <c r="Q282" s="56">
        <v>2000000</v>
      </c>
      <c r="R282" t="s">
        <v>824</v>
      </c>
      <c r="S282" t="s">
        <v>731</v>
      </c>
      <c r="T282" t="s">
        <v>732</v>
      </c>
      <c r="U282" t="s">
        <v>607</v>
      </c>
      <c r="V282" t="s">
        <v>23</v>
      </c>
      <c r="W282" t="s">
        <v>46</v>
      </c>
      <c r="X282" t="s">
        <v>24</v>
      </c>
      <c r="Y282" s="56">
        <f>IF(clean[[#This Row],[is_delivered]]="Yes",clean[[#This Row],[net_sales]],0 )</f>
        <v>2000000</v>
      </c>
    </row>
    <row r="283" spans="1:25">
      <c r="A283" t="s">
        <v>1678</v>
      </c>
      <c r="B283" s="9">
        <v>45797</v>
      </c>
      <c r="C283" t="s">
        <v>218</v>
      </c>
      <c r="D283" t="s">
        <v>759</v>
      </c>
      <c r="E283">
        <v>2</v>
      </c>
      <c r="F283" s="56">
        <v>300000</v>
      </c>
      <c r="G283" s="56">
        <v>600000</v>
      </c>
      <c r="H283" t="s">
        <v>872</v>
      </c>
      <c r="I283" s="56">
        <v>0</v>
      </c>
      <c r="J283" s="56">
        <v>25000</v>
      </c>
      <c r="K283" s="56">
        <v>625000</v>
      </c>
      <c r="L283" t="s">
        <v>873</v>
      </c>
      <c r="M283" t="s">
        <v>901</v>
      </c>
      <c r="N283" t="s">
        <v>875</v>
      </c>
      <c r="O283" s="57">
        <v>45778</v>
      </c>
      <c r="P283" t="s">
        <v>877</v>
      </c>
      <c r="Q283" s="56">
        <v>600000</v>
      </c>
      <c r="R283" t="s">
        <v>760</v>
      </c>
      <c r="S283" t="s">
        <v>747</v>
      </c>
      <c r="T283" t="s">
        <v>748</v>
      </c>
      <c r="U283" t="s">
        <v>219</v>
      </c>
      <c r="V283" t="s">
        <v>23</v>
      </c>
      <c r="W283" t="s">
        <v>137</v>
      </c>
      <c r="X283" t="s">
        <v>9</v>
      </c>
      <c r="Y283" s="56">
        <f>IF(clean[[#This Row],[is_delivered]]="Yes",clean[[#This Row],[net_sales]],0 )</f>
        <v>600000</v>
      </c>
    </row>
    <row r="284" spans="1:25">
      <c r="A284" t="s">
        <v>2082</v>
      </c>
      <c r="B284" s="9">
        <v>45797</v>
      </c>
      <c r="C284" t="s">
        <v>300</v>
      </c>
      <c r="D284" t="s">
        <v>807</v>
      </c>
      <c r="E284">
        <v>4</v>
      </c>
      <c r="F284" s="56">
        <v>150000</v>
      </c>
      <c r="G284" s="56">
        <v>600000</v>
      </c>
      <c r="H284" t="s">
        <v>872</v>
      </c>
      <c r="I284" s="56">
        <v>0</v>
      </c>
      <c r="J284" s="56">
        <v>25000</v>
      </c>
      <c r="K284" s="56">
        <v>625000</v>
      </c>
      <c r="L284" t="s">
        <v>873</v>
      </c>
      <c r="M284" t="s">
        <v>874</v>
      </c>
      <c r="N284" t="s">
        <v>875</v>
      </c>
      <c r="O284" s="57">
        <v>45778</v>
      </c>
      <c r="P284" t="s">
        <v>877</v>
      </c>
      <c r="Q284" s="56">
        <v>600000</v>
      </c>
      <c r="R284" t="s">
        <v>808</v>
      </c>
      <c r="S284" t="s">
        <v>747</v>
      </c>
      <c r="T284" t="s">
        <v>748</v>
      </c>
      <c r="U284" t="s">
        <v>301</v>
      </c>
      <c r="V284" t="s">
        <v>7</v>
      </c>
      <c r="W284" t="s">
        <v>39</v>
      </c>
      <c r="X284" t="s">
        <v>9</v>
      </c>
      <c r="Y284" s="56">
        <f>IF(clean[[#This Row],[is_delivered]]="Yes",clean[[#This Row],[net_sales]],0 )</f>
        <v>600000</v>
      </c>
    </row>
    <row r="285" spans="1:25">
      <c r="A285" t="s">
        <v>1208</v>
      </c>
      <c r="B285" s="9">
        <v>45796</v>
      </c>
      <c r="C285" t="s">
        <v>32</v>
      </c>
      <c r="D285" t="s">
        <v>779</v>
      </c>
      <c r="E285">
        <v>1</v>
      </c>
      <c r="F285" s="56">
        <v>150000</v>
      </c>
      <c r="G285" s="56">
        <v>150000</v>
      </c>
      <c r="H285" t="s">
        <v>895</v>
      </c>
      <c r="I285" s="56">
        <v>22500</v>
      </c>
      <c r="J285" s="56">
        <v>30000</v>
      </c>
      <c r="K285" s="56">
        <v>157500</v>
      </c>
      <c r="L285" t="s">
        <v>880</v>
      </c>
      <c r="M285" t="s">
        <v>881</v>
      </c>
      <c r="N285" t="s">
        <v>875</v>
      </c>
      <c r="O285" s="57">
        <v>45778</v>
      </c>
      <c r="P285" t="s">
        <v>877</v>
      </c>
      <c r="Q285" s="56">
        <v>127500</v>
      </c>
      <c r="R285" t="s">
        <v>780</v>
      </c>
      <c r="S285" t="s">
        <v>739</v>
      </c>
      <c r="T285" t="s">
        <v>740</v>
      </c>
      <c r="U285" t="s">
        <v>33</v>
      </c>
      <c r="V285" t="s">
        <v>23</v>
      </c>
      <c r="W285" t="s">
        <v>12</v>
      </c>
      <c r="X285" t="s">
        <v>9</v>
      </c>
      <c r="Y285" s="56">
        <f>IF(clean[[#This Row],[is_delivered]]="Yes",clean[[#This Row],[net_sales]],0 )</f>
        <v>127500</v>
      </c>
    </row>
    <row r="286" spans="1:25">
      <c r="A286" t="s">
        <v>951</v>
      </c>
      <c r="B286" s="9">
        <v>45796</v>
      </c>
      <c r="C286" t="s">
        <v>83</v>
      </c>
      <c r="D286" t="s">
        <v>745</v>
      </c>
      <c r="E286">
        <v>4</v>
      </c>
      <c r="F286" s="56">
        <v>500000</v>
      </c>
      <c r="G286" s="56">
        <v>2000000</v>
      </c>
      <c r="H286" t="s">
        <v>872</v>
      </c>
      <c r="I286" s="56">
        <v>0</v>
      </c>
      <c r="J286" s="56">
        <v>15000</v>
      </c>
      <c r="K286" s="56">
        <v>2015000</v>
      </c>
      <c r="L286" t="s">
        <v>873</v>
      </c>
      <c r="M286" t="s">
        <v>903</v>
      </c>
      <c r="N286" t="s">
        <v>875</v>
      </c>
      <c r="O286" s="57">
        <v>45778</v>
      </c>
      <c r="P286" t="s">
        <v>877</v>
      </c>
      <c r="Q286" s="56">
        <v>2000000</v>
      </c>
      <c r="R286" t="s">
        <v>746</v>
      </c>
      <c r="S286" t="s">
        <v>747</v>
      </c>
      <c r="T286" t="s">
        <v>748</v>
      </c>
      <c r="U286" t="s">
        <v>84</v>
      </c>
      <c r="V286" t="s">
        <v>23</v>
      </c>
      <c r="W286" t="s">
        <v>46</v>
      </c>
      <c r="X286" t="s">
        <v>15</v>
      </c>
      <c r="Y286" s="56">
        <f>IF(clean[[#This Row],[is_delivered]]="Yes",clean[[#This Row],[net_sales]],0 )</f>
        <v>2000000</v>
      </c>
    </row>
    <row r="287" spans="1:25">
      <c r="A287" t="s">
        <v>940</v>
      </c>
      <c r="B287" s="9">
        <v>45796</v>
      </c>
      <c r="C287" t="s">
        <v>470</v>
      </c>
      <c r="D287" t="s">
        <v>783</v>
      </c>
      <c r="E287">
        <v>2</v>
      </c>
      <c r="F287" s="56">
        <v>500000</v>
      </c>
      <c r="G287" s="56">
        <v>1000000</v>
      </c>
      <c r="H287" t="s">
        <v>872</v>
      </c>
      <c r="I287" s="56">
        <v>0</v>
      </c>
      <c r="J287" s="56">
        <v>15000</v>
      </c>
      <c r="K287" s="56">
        <v>1015000</v>
      </c>
      <c r="L287" t="s">
        <v>884</v>
      </c>
      <c r="M287" t="s">
        <v>901</v>
      </c>
      <c r="N287" t="s">
        <v>875</v>
      </c>
      <c r="O287" s="57">
        <v>45778</v>
      </c>
      <c r="P287" t="s">
        <v>877</v>
      </c>
      <c r="Q287" s="56">
        <v>1000000</v>
      </c>
      <c r="R287" t="s">
        <v>784</v>
      </c>
      <c r="S287" t="s">
        <v>747</v>
      </c>
      <c r="T287" t="s">
        <v>748</v>
      </c>
      <c r="U287" t="s">
        <v>471</v>
      </c>
      <c r="V287" t="s">
        <v>7</v>
      </c>
      <c r="W287" t="s">
        <v>36</v>
      </c>
      <c r="X287" t="s">
        <v>24</v>
      </c>
      <c r="Y287" s="56">
        <f>IF(clean[[#This Row],[is_delivered]]="Yes",clean[[#This Row],[net_sales]],0 )</f>
        <v>1000000</v>
      </c>
    </row>
    <row r="288" spans="1:25">
      <c r="A288" t="s">
        <v>1186</v>
      </c>
      <c r="B288" s="9">
        <v>45796</v>
      </c>
      <c r="C288" t="s">
        <v>196</v>
      </c>
      <c r="D288" t="s">
        <v>771</v>
      </c>
      <c r="E288">
        <v>1</v>
      </c>
      <c r="F288" s="56">
        <v>500000</v>
      </c>
      <c r="G288" s="56">
        <v>500000</v>
      </c>
      <c r="H288" t="s">
        <v>879</v>
      </c>
      <c r="I288" s="56">
        <v>100000</v>
      </c>
      <c r="J288" s="56">
        <v>25000</v>
      </c>
      <c r="K288" s="56">
        <v>425000</v>
      </c>
      <c r="L288" t="s">
        <v>889</v>
      </c>
      <c r="M288" t="s">
        <v>903</v>
      </c>
      <c r="N288" t="s">
        <v>875</v>
      </c>
      <c r="O288" s="57">
        <v>45778</v>
      </c>
      <c r="P288" t="s">
        <v>877</v>
      </c>
      <c r="Q288" s="56">
        <v>400000</v>
      </c>
      <c r="R288" t="s">
        <v>772</v>
      </c>
      <c r="S288" t="s">
        <v>747</v>
      </c>
      <c r="T288" t="s">
        <v>748</v>
      </c>
      <c r="U288" t="s">
        <v>197</v>
      </c>
      <c r="V288" t="s">
        <v>7</v>
      </c>
      <c r="W288" t="s">
        <v>36</v>
      </c>
      <c r="X288" t="s">
        <v>15</v>
      </c>
      <c r="Y288" s="56">
        <f>IF(clean[[#This Row],[is_delivered]]="Yes",clean[[#This Row],[net_sales]],0 )</f>
        <v>400000</v>
      </c>
    </row>
    <row r="289" spans="1:25">
      <c r="A289" t="s">
        <v>1034</v>
      </c>
      <c r="B289" s="9">
        <v>45796</v>
      </c>
      <c r="C289" t="s">
        <v>400</v>
      </c>
      <c r="D289" t="s">
        <v>777</v>
      </c>
      <c r="E289">
        <v>2</v>
      </c>
      <c r="F289" s="56">
        <v>200000</v>
      </c>
      <c r="G289" s="56">
        <v>400000</v>
      </c>
      <c r="H289" t="s">
        <v>872</v>
      </c>
      <c r="I289" s="56">
        <v>0</v>
      </c>
      <c r="J289" s="56">
        <v>25000</v>
      </c>
      <c r="K289" s="56">
        <v>425000</v>
      </c>
      <c r="L289" t="s">
        <v>889</v>
      </c>
      <c r="M289" t="s">
        <v>903</v>
      </c>
      <c r="N289" t="s">
        <v>875</v>
      </c>
      <c r="O289" s="57">
        <v>45778</v>
      </c>
      <c r="P289" t="s">
        <v>877</v>
      </c>
      <c r="Q289" s="56">
        <v>400000</v>
      </c>
      <c r="R289" t="s">
        <v>778</v>
      </c>
      <c r="S289" t="s">
        <v>735</v>
      </c>
      <c r="T289" t="s">
        <v>736</v>
      </c>
      <c r="U289" t="s">
        <v>401</v>
      </c>
      <c r="V289" t="s">
        <v>23</v>
      </c>
      <c r="W289" t="s">
        <v>20</v>
      </c>
      <c r="X289" t="s">
        <v>9</v>
      </c>
      <c r="Y289" s="56">
        <f>IF(clean[[#This Row],[is_delivered]]="Yes",clean[[#This Row],[net_sales]],0 )</f>
        <v>400000</v>
      </c>
    </row>
    <row r="290" spans="1:25">
      <c r="A290" t="s">
        <v>1087</v>
      </c>
      <c r="B290" s="9">
        <v>45796</v>
      </c>
      <c r="C290" t="s">
        <v>622</v>
      </c>
      <c r="D290" t="s">
        <v>845</v>
      </c>
      <c r="E290">
        <v>1</v>
      </c>
      <c r="F290" s="56">
        <v>300000</v>
      </c>
      <c r="G290" s="56">
        <v>300000</v>
      </c>
      <c r="H290" t="s">
        <v>895</v>
      </c>
      <c r="I290" s="56">
        <v>45000</v>
      </c>
      <c r="J290" s="56">
        <v>15000</v>
      </c>
      <c r="K290" s="56">
        <v>270000</v>
      </c>
      <c r="L290" t="s">
        <v>880</v>
      </c>
      <c r="M290" t="s">
        <v>901</v>
      </c>
      <c r="N290" t="s">
        <v>875</v>
      </c>
      <c r="O290" s="57">
        <v>45778</v>
      </c>
      <c r="P290" t="s">
        <v>877</v>
      </c>
      <c r="Q290" s="56">
        <v>255000</v>
      </c>
      <c r="R290" t="s">
        <v>846</v>
      </c>
      <c r="S290" t="s">
        <v>727</v>
      </c>
      <c r="T290" t="s">
        <v>728</v>
      </c>
      <c r="U290" t="s">
        <v>623</v>
      </c>
      <c r="V290" t="s">
        <v>7</v>
      </c>
      <c r="W290" t="s">
        <v>39</v>
      </c>
      <c r="X290" t="s">
        <v>9</v>
      </c>
      <c r="Y290" s="56">
        <f>IF(clean[[#This Row],[is_delivered]]="Yes",clean[[#This Row],[net_sales]],0 )</f>
        <v>255000</v>
      </c>
    </row>
    <row r="291" spans="1:25">
      <c r="A291" t="s">
        <v>1136</v>
      </c>
      <c r="B291" s="9">
        <v>45796</v>
      </c>
      <c r="C291" t="s">
        <v>564</v>
      </c>
      <c r="D291" t="s">
        <v>805</v>
      </c>
      <c r="E291">
        <v>2</v>
      </c>
      <c r="F291" s="56">
        <v>200000</v>
      </c>
      <c r="G291" s="56">
        <v>400000</v>
      </c>
      <c r="H291" t="s">
        <v>886</v>
      </c>
      <c r="I291" s="56">
        <v>40000</v>
      </c>
      <c r="J291" s="56">
        <v>30000</v>
      </c>
      <c r="K291" s="56">
        <v>390000</v>
      </c>
      <c r="L291" t="s">
        <v>884</v>
      </c>
      <c r="M291" t="s">
        <v>874</v>
      </c>
      <c r="N291" t="s">
        <v>875</v>
      </c>
      <c r="O291" s="57">
        <v>45778</v>
      </c>
      <c r="P291" t="s">
        <v>877</v>
      </c>
      <c r="Q291" s="56">
        <v>360000</v>
      </c>
      <c r="R291" t="s">
        <v>806</v>
      </c>
      <c r="S291" t="s">
        <v>743</v>
      </c>
      <c r="T291" t="s">
        <v>744</v>
      </c>
      <c r="U291" t="s">
        <v>565</v>
      </c>
      <c r="V291" t="s">
        <v>23</v>
      </c>
      <c r="W291" t="s">
        <v>46</v>
      </c>
      <c r="X291" t="s">
        <v>15</v>
      </c>
      <c r="Y291" s="56">
        <f>IF(clean[[#This Row],[is_delivered]]="Yes",clean[[#This Row],[net_sales]],0 )</f>
        <v>360000</v>
      </c>
    </row>
    <row r="292" spans="1:25">
      <c r="A292" t="s">
        <v>1259</v>
      </c>
      <c r="B292" s="9">
        <v>45796</v>
      </c>
      <c r="C292" t="s">
        <v>380</v>
      </c>
      <c r="D292" t="s">
        <v>827</v>
      </c>
      <c r="E292">
        <v>3</v>
      </c>
      <c r="F292" s="56">
        <v>100000</v>
      </c>
      <c r="G292" s="56">
        <v>300000</v>
      </c>
      <c r="H292" t="s">
        <v>872</v>
      </c>
      <c r="I292" s="56">
        <v>0</v>
      </c>
      <c r="J292" s="56">
        <v>25000</v>
      </c>
      <c r="K292" s="56">
        <v>325000</v>
      </c>
      <c r="L292" t="s">
        <v>889</v>
      </c>
      <c r="M292" t="s">
        <v>874</v>
      </c>
      <c r="N292" t="s">
        <v>875</v>
      </c>
      <c r="O292" s="57">
        <v>45778</v>
      </c>
      <c r="P292" t="s">
        <v>877</v>
      </c>
      <c r="Q292" s="56">
        <v>300000</v>
      </c>
      <c r="R292" t="s">
        <v>828</v>
      </c>
      <c r="S292" t="s">
        <v>739</v>
      </c>
      <c r="T292" t="s">
        <v>740</v>
      </c>
      <c r="U292" t="s">
        <v>381</v>
      </c>
      <c r="V292" t="s">
        <v>23</v>
      </c>
      <c r="W292" t="s">
        <v>39</v>
      </c>
      <c r="X292" t="s">
        <v>9</v>
      </c>
      <c r="Y292" s="56">
        <f>IF(clean[[#This Row],[is_delivered]]="Yes",clean[[#This Row],[net_sales]],0 )</f>
        <v>300000</v>
      </c>
    </row>
    <row r="293" spans="1:25">
      <c r="A293" t="s">
        <v>1643</v>
      </c>
      <c r="B293" s="9">
        <v>45796</v>
      </c>
      <c r="C293" t="s">
        <v>646</v>
      </c>
      <c r="D293" t="s">
        <v>827</v>
      </c>
      <c r="E293">
        <v>2</v>
      </c>
      <c r="F293" s="56">
        <v>100000</v>
      </c>
      <c r="G293" s="56">
        <v>200000</v>
      </c>
      <c r="H293" t="s">
        <v>872</v>
      </c>
      <c r="I293" s="56">
        <v>0</v>
      </c>
      <c r="J293" s="56">
        <v>10000</v>
      </c>
      <c r="K293" s="56">
        <v>210000</v>
      </c>
      <c r="L293" t="s">
        <v>884</v>
      </c>
      <c r="M293" t="s">
        <v>874</v>
      </c>
      <c r="N293" t="s">
        <v>875</v>
      </c>
      <c r="O293" s="57">
        <v>45778</v>
      </c>
      <c r="P293" t="s">
        <v>877</v>
      </c>
      <c r="Q293" s="56">
        <v>200000</v>
      </c>
      <c r="R293" t="s">
        <v>828</v>
      </c>
      <c r="S293" t="s">
        <v>739</v>
      </c>
      <c r="T293" t="s">
        <v>740</v>
      </c>
      <c r="U293" t="s">
        <v>647</v>
      </c>
      <c r="V293" t="s">
        <v>23</v>
      </c>
      <c r="W293" t="s">
        <v>56</v>
      </c>
      <c r="X293" t="s">
        <v>15</v>
      </c>
      <c r="Y293" s="56">
        <f>IF(clean[[#This Row],[is_delivered]]="Yes",clean[[#This Row],[net_sales]],0 )</f>
        <v>200000</v>
      </c>
    </row>
    <row r="294" spans="1:25">
      <c r="A294" t="s">
        <v>1682</v>
      </c>
      <c r="B294" s="9">
        <v>45796</v>
      </c>
      <c r="C294" t="s">
        <v>486</v>
      </c>
      <c r="D294" t="s">
        <v>805</v>
      </c>
      <c r="E294">
        <v>2</v>
      </c>
      <c r="F294" s="56">
        <v>200000</v>
      </c>
      <c r="G294" s="56">
        <v>400000</v>
      </c>
      <c r="H294" t="s">
        <v>872</v>
      </c>
      <c r="I294" s="56">
        <v>0</v>
      </c>
      <c r="J294" s="56">
        <v>25000</v>
      </c>
      <c r="K294" s="56">
        <v>425000</v>
      </c>
      <c r="L294" t="s">
        <v>884</v>
      </c>
      <c r="M294" t="s">
        <v>903</v>
      </c>
      <c r="N294" t="s">
        <v>911</v>
      </c>
      <c r="O294" s="57">
        <v>45778</v>
      </c>
      <c r="P294" t="s">
        <v>892</v>
      </c>
      <c r="Q294" s="56">
        <v>400000</v>
      </c>
      <c r="R294" t="s">
        <v>806</v>
      </c>
      <c r="S294" t="s">
        <v>743</v>
      </c>
      <c r="T294" t="s">
        <v>744</v>
      </c>
      <c r="U294" t="s">
        <v>487</v>
      </c>
      <c r="V294" t="s">
        <v>23</v>
      </c>
      <c r="W294" t="s">
        <v>36</v>
      </c>
      <c r="X294" t="s">
        <v>24</v>
      </c>
      <c r="Y294" s="56">
        <f>IF(clean[[#This Row],[is_delivered]]="Yes",clean[[#This Row],[net_sales]],0 )</f>
        <v>0</v>
      </c>
    </row>
    <row r="295" spans="1:25">
      <c r="A295" t="s">
        <v>1700</v>
      </c>
      <c r="B295" s="9">
        <v>45796</v>
      </c>
      <c r="C295" t="s">
        <v>37</v>
      </c>
      <c r="D295" t="s">
        <v>755</v>
      </c>
      <c r="E295">
        <v>1</v>
      </c>
      <c r="F295" s="56">
        <v>50000</v>
      </c>
      <c r="G295" s="56">
        <v>50000</v>
      </c>
      <c r="H295" t="s">
        <v>886</v>
      </c>
      <c r="I295" s="56">
        <v>5000</v>
      </c>
      <c r="J295" s="56">
        <v>30000</v>
      </c>
      <c r="K295" s="56">
        <v>75000</v>
      </c>
      <c r="L295" t="s">
        <v>880</v>
      </c>
      <c r="M295" t="s">
        <v>903</v>
      </c>
      <c r="N295" t="s">
        <v>875</v>
      </c>
      <c r="O295" s="57">
        <v>45778</v>
      </c>
      <c r="P295" t="s">
        <v>877</v>
      </c>
      <c r="Q295" s="56">
        <v>45000</v>
      </c>
      <c r="R295" t="s">
        <v>756</v>
      </c>
      <c r="S295" t="s">
        <v>739</v>
      </c>
      <c r="T295" t="s">
        <v>740</v>
      </c>
      <c r="U295" t="s">
        <v>38</v>
      </c>
      <c r="V295" t="s">
        <v>23</v>
      </c>
      <c r="W295" t="s">
        <v>39</v>
      </c>
      <c r="X295" t="s">
        <v>9</v>
      </c>
      <c r="Y295" s="56">
        <f>IF(clean[[#This Row],[is_delivered]]="Yes",clean[[#This Row],[net_sales]],0 )</f>
        <v>45000</v>
      </c>
    </row>
    <row r="296" spans="1:25">
      <c r="A296" t="s">
        <v>2052</v>
      </c>
      <c r="B296" s="9">
        <v>45796</v>
      </c>
      <c r="C296" t="s">
        <v>40</v>
      </c>
      <c r="D296" t="s">
        <v>789</v>
      </c>
      <c r="E296">
        <v>1</v>
      </c>
      <c r="F296" s="56">
        <v>200000</v>
      </c>
      <c r="G296" s="56">
        <v>200000</v>
      </c>
      <c r="H296" t="s">
        <v>872</v>
      </c>
      <c r="I296" s="56">
        <v>0</v>
      </c>
      <c r="J296" s="56">
        <v>25000</v>
      </c>
      <c r="K296" s="56">
        <v>225000</v>
      </c>
      <c r="L296" t="s">
        <v>884</v>
      </c>
      <c r="M296" t="s">
        <v>874</v>
      </c>
      <c r="N296" t="s">
        <v>875</v>
      </c>
      <c r="O296" s="57">
        <v>45778</v>
      </c>
      <c r="P296" t="s">
        <v>877</v>
      </c>
      <c r="Q296" s="56">
        <v>200000</v>
      </c>
      <c r="R296" t="s">
        <v>790</v>
      </c>
      <c r="S296" t="s">
        <v>735</v>
      </c>
      <c r="T296" t="s">
        <v>736</v>
      </c>
      <c r="U296" t="s">
        <v>41</v>
      </c>
      <c r="V296" t="s">
        <v>7</v>
      </c>
      <c r="W296" t="s">
        <v>36</v>
      </c>
      <c r="X296" t="s">
        <v>15</v>
      </c>
      <c r="Y296" s="56">
        <f>IF(clean[[#This Row],[is_delivered]]="Yes",clean[[#This Row],[net_sales]],0 )</f>
        <v>200000</v>
      </c>
    </row>
    <row r="297" spans="1:25">
      <c r="A297" t="s">
        <v>1008</v>
      </c>
      <c r="B297" s="9">
        <v>45795</v>
      </c>
      <c r="C297" t="s">
        <v>174</v>
      </c>
      <c r="D297" t="s">
        <v>761</v>
      </c>
      <c r="E297">
        <v>2</v>
      </c>
      <c r="F297" s="56">
        <v>75000</v>
      </c>
      <c r="G297" s="56">
        <v>150000</v>
      </c>
      <c r="H297" t="s">
        <v>872</v>
      </c>
      <c r="I297" s="56">
        <v>0</v>
      </c>
      <c r="J297" s="56">
        <v>30000</v>
      </c>
      <c r="K297" s="56">
        <v>180000</v>
      </c>
      <c r="L297" t="s">
        <v>889</v>
      </c>
      <c r="M297" t="s">
        <v>874</v>
      </c>
      <c r="N297" t="s">
        <v>875</v>
      </c>
      <c r="O297" s="57">
        <v>45778</v>
      </c>
      <c r="P297" t="s">
        <v>877</v>
      </c>
      <c r="Q297" s="56">
        <v>150000</v>
      </c>
      <c r="R297" t="s">
        <v>762</v>
      </c>
      <c r="S297" t="s">
        <v>727</v>
      </c>
      <c r="T297" t="s">
        <v>728</v>
      </c>
      <c r="U297" t="s">
        <v>175</v>
      </c>
      <c r="V297" t="s">
        <v>7</v>
      </c>
      <c r="W297" t="s">
        <v>137</v>
      </c>
      <c r="X297" t="s">
        <v>9</v>
      </c>
      <c r="Y297" s="56">
        <f>IF(clean[[#This Row],[is_delivered]]="Yes",clean[[#This Row],[net_sales]],0 )</f>
        <v>150000</v>
      </c>
    </row>
    <row r="298" spans="1:25">
      <c r="A298" t="s">
        <v>1329</v>
      </c>
      <c r="B298" s="9">
        <v>45795</v>
      </c>
      <c r="C298" t="s">
        <v>708</v>
      </c>
      <c r="D298" t="s">
        <v>839</v>
      </c>
      <c r="E298">
        <v>1</v>
      </c>
      <c r="F298" s="56">
        <v>200000</v>
      </c>
      <c r="G298" s="56">
        <v>200000</v>
      </c>
      <c r="H298" t="s">
        <v>872</v>
      </c>
      <c r="I298" s="56">
        <v>0</v>
      </c>
      <c r="J298" s="56">
        <v>30000</v>
      </c>
      <c r="K298" s="56">
        <v>230000</v>
      </c>
      <c r="L298" t="s">
        <v>884</v>
      </c>
      <c r="M298" t="s">
        <v>874</v>
      </c>
      <c r="N298" t="s">
        <v>875</v>
      </c>
      <c r="O298" s="57">
        <v>45778</v>
      </c>
      <c r="P298" t="s">
        <v>877</v>
      </c>
      <c r="Q298" s="56">
        <v>200000</v>
      </c>
      <c r="R298" t="s">
        <v>840</v>
      </c>
      <c r="S298" t="s">
        <v>739</v>
      </c>
      <c r="T298" t="s">
        <v>740</v>
      </c>
      <c r="U298" t="s">
        <v>709</v>
      </c>
      <c r="V298" t="s">
        <v>23</v>
      </c>
      <c r="W298" t="s">
        <v>39</v>
      </c>
      <c r="X298" t="s">
        <v>9</v>
      </c>
      <c r="Y298" s="56">
        <f>IF(clean[[#This Row],[is_delivered]]="Yes",clean[[#This Row],[net_sales]],0 )</f>
        <v>200000</v>
      </c>
    </row>
    <row r="299" spans="1:25">
      <c r="A299" t="s">
        <v>1377</v>
      </c>
      <c r="B299" s="9">
        <v>45795</v>
      </c>
      <c r="C299" t="s">
        <v>238</v>
      </c>
      <c r="D299" t="s">
        <v>763</v>
      </c>
      <c r="E299">
        <v>2</v>
      </c>
      <c r="F299" s="56">
        <v>75000</v>
      </c>
      <c r="G299" s="56">
        <v>150000</v>
      </c>
      <c r="H299" t="s">
        <v>883</v>
      </c>
      <c r="I299" s="56">
        <v>15000</v>
      </c>
      <c r="J299" s="56">
        <v>25000</v>
      </c>
      <c r="K299" s="56">
        <v>160000</v>
      </c>
      <c r="L299" t="s">
        <v>884</v>
      </c>
      <c r="M299" t="s">
        <v>874</v>
      </c>
      <c r="N299" t="s">
        <v>875</v>
      </c>
      <c r="O299" s="57">
        <v>45778</v>
      </c>
      <c r="P299" t="s">
        <v>877</v>
      </c>
      <c r="Q299" s="56">
        <v>135000</v>
      </c>
      <c r="R299" t="s">
        <v>764</v>
      </c>
      <c r="S299" t="s">
        <v>731</v>
      </c>
      <c r="T299" t="s">
        <v>732</v>
      </c>
      <c r="U299" t="s">
        <v>239</v>
      </c>
      <c r="V299" t="s">
        <v>23</v>
      </c>
      <c r="W299" t="s">
        <v>46</v>
      </c>
      <c r="X299" t="s">
        <v>9</v>
      </c>
      <c r="Y299" s="56">
        <f>IF(clean[[#This Row],[is_delivered]]="Yes",clean[[#This Row],[net_sales]],0 )</f>
        <v>135000</v>
      </c>
    </row>
    <row r="300" spans="1:25">
      <c r="A300" t="s">
        <v>1598</v>
      </c>
      <c r="B300" s="9">
        <v>45795</v>
      </c>
      <c r="C300" t="s">
        <v>588</v>
      </c>
      <c r="D300" t="s">
        <v>843</v>
      </c>
      <c r="E300">
        <v>2</v>
      </c>
      <c r="F300" s="56">
        <v>100000</v>
      </c>
      <c r="G300" s="56">
        <v>200000</v>
      </c>
      <c r="H300" t="s">
        <v>879</v>
      </c>
      <c r="I300" s="56">
        <v>40000</v>
      </c>
      <c r="J300" s="56">
        <v>10000</v>
      </c>
      <c r="K300" s="56">
        <v>170000</v>
      </c>
      <c r="L300" t="s">
        <v>889</v>
      </c>
      <c r="M300" t="s">
        <v>903</v>
      </c>
      <c r="N300" t="s">
        <v>875</v>
      </c>
      <c r="O300" s="57">
        <v>45778</v>
      </c>
      <c r="P300" t="s">
        <v>877</v>
      </c>
      <c r="Q300" s="56">
        <v>160000</v>
      </c>
      <c r="R300" t="s">
        <v>844</v>
      </c>
      <c r="S300" t="s">
        <v>747</v>
      </c>
      <c r="T300" t="s">
        <v>748</v>
      </c>
      <c r="U300" t="s">
        <v>589</v>
      </c>
      <c r="V300" t="s">
        <v>7</v>
      </c>
      <c r="W300" t="s">
        <v>39</v>
      </c>
      <c r="X300" t="s">
        <v>9</v>
      </c>
      <c r="Y300" s="56">
        <f>IF(clean[[#This Row],[is_delivered]]="Yes",clean[[#This Row],[net_sales]],0 )</f>
        <v>160000</v>
      </c>
    </row>
    <row r="301" spans="1:25">
      <c r="A301" t="s">
        <v>1760</v>
      </c>
      <c r="B301" s="9">
        <v>45795</v>
      </c>
      <c r="C301" t="s">
        <v>660</v>
      </c>
      <c r="D301" t="s">
        <v>819</v>
      </c>
      <c r="E301">
        <v>2</v>
      </c>
      <c r="F301" s="56">
        <v>300000</v>
      </c>
      <c r="G301" s="56">
        <v>600000</v>
      </c>
      <c r="H301" t="s">
        <v>872</v>
      </c>
      <c r="I301" s="56">
        <v>0</v>
      </c>
      <c r="J301" s="56">
        <v>10000</v>
      </c>
      <c r="K301" s="56">
        <v>610000</v>
      </c>
      <c r="L301" t="s">
        <v>873</v>
      </c>
      <c r="M301" t="s">
        <v>881</v>
      </c>
      <c r="N301" t="s">
        <v>875</v>
      </c>
      <c r="O301" s="57">
        <v>45778</v>
      </c>
      <c r="P301" t="s">
        <v>877</v>
      </c>
      <c r="Q301" s="56">
        <v>600000</v>
      </c>
      <c r="R301" t="s">
        <v>820</v>
      </c>
      <c r="S301" t="s">
        <v>747</v>
      </c>
      <c r="T301" t="s">
        <v>748</v>
      </c>
      <c r="U301" t="s">
        <v>661</v>
      </c>
      <c r="V301" t="s">
        <v>23</v>
      </c>
      <c r="W301" t="s">
        <v>56</v>
      </c>
      <c r="X301" t="s">
        <v>15</v>
      </c>
      <c r="Y301" s="56">
        <f>IF(clean[[#This Row],[is_delivered]]="Yes",clean[[#This Row],[net_sales]],0 )</f>
        <v>600000</v>
      </c>
    </row>
    <row r="302" spans="1:25">
      <c r="A302" t="s">
        <v>1004</v>
      </c>
      <c r="B302" s="9">
        <v>45794</v>
      </c>
      <c r="C302" t="s">
        <v>69</v>
      </c>
      <c r="D302" t="s">
        <v>753</v>
      </c>
      <c r="E302">
        <v>4</v>
      </c>
      <c r="F302" s="56">
        <v>300000</v>
      </c>
      <c r="G302" s="56">
        <v>1200000</v>
      </c>
      <c r="H302" t="s">
        <v>879</v>
      </c>
      <c r="I302" s="56">
        <v>240000</v>
      </c>
      <c r="J302" s="56">
        <v>10000</v>
      </c>
      <c r="K302" s="56">
        <v>970000</v>
      </c>
      <c r="L302" t="s">
        <v>884</v>
      </c>
      <c r="M302" t="s">
        <v>901</v>
      </c>
      <c r="N302" t="s">
        <v>875</v>
      </c>
      <c r="O302" s="57">
        <v>45778</v>
      </c>
      <c r="P302" t="s">
        <v>877</v>
      </c>
      <c r="Q302" s="56">
        <v>960000</v>
      </c>
      <c r="R302" t="s">
        <v>754</v>
      </c>
      <c r="S302" t="s">
        <v>735</v>
      </c>
      <c r="T302" t="s">
        <v>736</v>
      </c>
      <c r="U302" t="s">
        <v>70</v>
      </c>
      <c r="V302" t="s">
        <v>7</v>
      </c>
      <c r="W302" t="s">
        <v>29</v>
      </c>
      <c r="X302" t="s">
        <v>9</v>
      </c>
      <c r="Y302" s="56">
        <f>IF(clean[[#This Row],[is_delivered]]="Yes",clean[[#This Row],[net_sales]],0 )</f>
        <v>960000</v>
      </c>
    </row>
    <row r="303" spans="1:25">
      <c r="A303" t="s">
        <v>1105</v>
      </c>
      <c r="B303" s="9">
        <v>45794</v>
      </c>
      <c r="C303" t="s">
        <v>666</v>
      </c>
      <c r="D303" t="s">
        <v>805</v>
      </c>
      <c r="E303">
        <v>1</v>
      </c>
      <c r="F303" s="56">
        <v>200000</v>
      </c>
      <c r="G303" s="56">
        <v>200000</v>
      </c>
      <c r="H303" t="s">
        <v>886</v>
      </c>
      <c r="I303" s="56">
        <v>20000</v>
      </c>
      <c r="J303" s="56">
        <v>25000</v>
      </c>
      <c r="K303" s="56">
        <v>205000</v>
      </c>
      <c r="L303" t="s">
        <v>880</v>
      </c>
      <c r="M303" t="s">
        <v>874</v>
      </c>
      <c r="N303" t="s">
        <v>875</v>
      </c>
      <c r="O303" s="57">
        <v>45778</v>
      </c>
      <c r="P303" t="s">
        <v>877</v>
      </c>
      <c r="Q303" s="56">
        <v>180000</v>
      </c>
      <c r="R303" t="s">
        <v>806</v>
      </c>
      <c r="S303" t="s">
        <v>743</v>
      </c>
      <c r="T303" t="s">
        <v>744</v>
      </c>
      <c r="U303" t="s">
        <v>667</v>
      </c>
      <c r="V303" t="s">
        <v>7</v>
      </c>
      <c r="W303" t="s">
        <v>12</v>
      </c>
      <c r="X303" t="s">
        <v>9</v>
      </c>
      <c r="Y303" s="56">
        <f>IF(clean[[#This Row],[is_delivered]]="Yes",clean[[#This Row],[net_sales]],0 )</f>
        <v>180000</v>
      </c>
    </row>
    <row r="304" spans="1:25">
      <c r="A304" t="s">
        <v>1433</v>
      </c>
      <c r="B304" s="9">
        <v>45794</v>
      </c>
      <c r="C304" t="s">
        <v>508</v>
      </c>
      <c r="D304" t="s">
        <v>825</v>
      </c>
      <c r="E304">
        <v>1</v>
      </c>
      <c r="F304" s="56">
        <v>100000</v>
      </c>
      <c r="G304" s="56">
        <v>100000</v>
      </c>
      <c r="H304" t="s">
        <v>872</v>
      </c>
      <c r="I304" s="56">
        <v>0</v>
      </c>
      <c r="J304" s="56">
        <v>10000</v>
      </c>
      <c r="K304" s="56">
        <v>110000</v>
      </c>
      <c r="L304" t="s">
        <v>873</v>
      </c>
      <c r="M304" t="s">
        <v>874</v>
      </c>
      <c r="N304" t="s">
        <v>890</v>
      </c>
      <c r="O304" s="57">
        <v>45778</v>
      </c>
      <c r="P304" t="s">
        <v>892</v>
      </c>
      <c r="Q304" s="56">
        <v>100000</v>
      </c>
      <c r="R304" t="s">
        <v>826</v>
      </c>
      <c r="S304" t="s">
        <v>735</v>
      </c>
      <c r="T304" t="s">
        <v>736</v>
      </c>
      <c r="U304" t="s">
        <v>509</v>
      </c>
      <c r="V304" t="s">
        <v>23</v>
      </c>
      <c r="W304" t="s">
        <v>8</v>
      </c>
      <c r="X304" t="s">
        <v>9</v>
      </c>
      <c r="Y304" s="56">
        <f>IF(clean[[#This Row],[is_delivered]]="Yes",clean[[#This Row],[net_sales]],0 )</f>
        <v>0</v>
      </c>
    </row>
    <row r="305" spans="1:25">
      <c r="A305" t="s">
        <v>1565</v>
      </c>
      <c r="B305" s="9">
        <v>45794</v>
      </c>
      <c r="C305" t="s">
        <v>420</v>
      </c>
      <c r="D305" t="s">
        <v>827</v>
      </c>
      <c r="E305">
        <v>4</v>
      </c>
      <c r="F305" s="56">
        <v>100000</v>
      </c>
      <c r="G305" s="56">
        <v>400000</v>
      </c>
      <c r="H305" t="s">
        <v>872</v>
      </c>
      <c r="I305" s="56">
        <v>0</v>
      </c>
      <c r="J305" s="56">
        <v>25000</v>
      </c>
      <c r="K305" s="56">
        <v>425000</v>
      </c>
      <c r="L305" t="s">
        <v>884</v>
      </c>
      <c r="M305" t="s">
        <v>903</v>
      </c>
      <c r="N305" t="s">
        <v>875</v>
      </c>
      <c r="O305" s="57">
        <v>45778</v>
      </c>
      <c r="P305" t="s">
        <v>877</v>
      </c>
      <c r="Q305" s="56">
        <v>400000</v>
      </c>
      <c r="R305" t="s">
        <v>828</v>
      </c>
      <c r="S305" t="s">
        <v>739</v>
      </c>
      <c r="T305" t="s">
        <v>740</v>
      </c>
      <c r="U305" t="s">
        <v>421</v>
      </c>
      <c r="V305" t="s">
        <v>7</v>
      </c>
      <c r="W305" t="s">
        <v>137</v>
      </c>
      <c r="X305" t="s">
        <v>24</v>
      </c>
      <c r="Y305" s="56">
        <f>IF(clean[[#This Row],[is_delivered]]="Yes",clean[[#This Row],[net_sales]],0 )</f>
        <v>400000</v>
      </c>
    </row>
    <row r="306" spans="1:25">
      <c r="A306" t="s">
        <v>1657</v>
      </c>
      <c r="B306" s="9">
        <v>45794</v>
      </c>
      <c r="C306" t="s">
        <v>374</v>
      </c>
      <c r="D306" t="s">
        <v>761</v>
      </c>
      <c r="E306">
        <v>2</v>
      </c>
      <c r="F306" s="56">
        <v>75000</v>
      </c>
      <c r="G306" s="56">
        <v>150000</v>
      </c>
      <c r="H306" t="s">
        <v>872</v>
      </c>
      <c r="I306" s="56">
        <v>0</v>
      </c>
      <c r="J306" s="56">
        <v>30000</v>
      </c>
      <c r="K306" s="56">
        <v>180000</v>
      </c>
      <c r="L306" t="s">
        <v>873</v>
      </c>
      <c r="M306" t="s">
        <v>874</v>
      </c>
      <c r="N306" t="s">
        <v>875</v>
      </c>
      <c r="O306" s="57">
        <v>45778</v>
      </c>
      <c r="P306" t="s">
        <v>877</v>
      </c>
      <c r="Q306" s="56">
        <v>150000</v>
      </c>
      <c r="R306" t="s">
        <v>762</v>
      </c>
      <c r="S306" t="s">
        <v>727</v>
      </c>
      <c r="T306" t="s">
        <v>728</v>
      </c>
      <c r="U306" t="s">
        <v>375</v>
      </c>
      <c r="V306" t="s">
        <v>23</v>
      </c>
      <c r="W306" t="s">
        <v>137</v>
      </c>
      <c r="X306" t="s">
        <v>9</v>
      </c>
      <c r="Y306" s="56">
        <f>IF(clean[[#This Row],[is_delivered]]="Yes",clean[[#This Row],[net_sales]],0 )</f>
        <v>150000</v>
      </c>
    </row>
    <row r="307" spans="1:25">
      <c r="A307" t="s">
        <v>1665</v>
      </c>
      <c r="B307" s="9">
        <v>45794</v>
      </c>
      <c r="C307" t="s">
        <v>202</v>
      </c>
      <c r="D307" t="s">
        <v>841</v>
      </c>
      <c r="E307">
        <v>2</v>
      </c>
      <c r="F307" s="56">
        <v>75000</v>
      </c>
      <c r="G307" s="56">
        <v>150000</v>
      </c>
      <c r="H307" t="s">
        <v>872</v>
      </c>
      <c r="I307" s="56">
        <v>0</v>
      </c>
      <c r="J307" s="56">
        <v>10000</v>
      </c>
      <c r="K307" s="56">
        <v>160000</v>
      </c>
      <c r="L307" t="s">
        <v>884</v>
      </c>
      <c r="M307" t="s">
        <v>881</v>
      </c>
      <c r="N307" t="s">
        <v>875</v>
      </c>
      <c r="O307" s="57">
        <v>45778</v>
      </c>
      <c r="P307" t="s">
        <v>877</v>
      </c>
      <c r="Q307" s="56">
        <v>150000</v>
      </c>
      <c r="R307" t="s">
        <v>842</v>
      </c>
      <c r="S307" t="s">
        <v>743</v>
      </c>
      <c r="T307" t="s">
        <v>744</v>
      </c>
      <c r="U307" t="s">
        <v>203</v>
      </c>
      <c r="V307" t="s">
        <v>7</v>
      </c>
      <c r="W307" t="s">
        <v>8</v>
      </c>
      <c r="X307" t="s">
        <v>15</v>
      </c>
      <c r="Y307" s="56">
        <f>IF(clean[[#This Row],[is_delivered]]="Yes",clean[[#This Row],[net_sales]],0 )</f>
        <v>150000</v>
      </c>
    </row>
    <row r="308" spans="1:25">
      <c r="A308" t="s">
        <v>1674</v>
      </c>
      <c r="B308" s="9">
        <v>45794</v>
      </c>
      <c r="C308" t="s">
        <v>400</v>
      </c>
      <c r="D308" t="s">
        <v>823</v>
      </c>
      <c r="E308">
        <v>2</v>
      </c>
      <c r="F308" s="56">
        <v>500000</v>
      </c>
      <c r="G308" s="56">
        <v>1000000</v>
      </c>
      <c r="H308" t="s">
        <v>872</v>
      </c>
      <c r="I308" s="56">
        <v>0</v>
      </c>
      <c r="J308" s="56">
        <v>10000</v>
      </c>
      <c r="K308" s="56">
        <v>1010000</v>
      </c>
      <c r="L308" t="s">
        <v>873</v>
      </c>
      <c r="M308" t="s">
        <v>874</v>
      </c>
      <c r="N308" t="s">
        <v>875</v>
      </c>
      <c r="O308" s="57">
        <v>45778</v>
      </c>
      <c r="P308" t="s">
        <v>877</v>
      </c>
      <c r="Q308" s="56">
        <v>1000000</v>
      </c>
      <c r="R308" t="s">
        <v>824</v>
      </c>
      <c r="S308" t="s">
        <v>731</v>
      </c>
      <c r="T308" t="s">
        <v>732</v>
      </c>
      <c r="U308" t="s">
        <v>401</v>
      </c>
      <c r="V308" t="s">
        <v>23</v>
      </c>
      <c r="W308" t="s">
        <v>20</v>
      </c>
      <c r="X308" t="s">
        <v>9</v>
      </c>
      <c r="Y308" s="56">
        <f>IF(clean[[#This Row],[is_delivered]]="Yes",clean[[#This Row],[net_sales]],0 )</f>
        <v>1000000</v>
      </c>
    </row>
    <row r="309" spans="1:25">
      <c r="A309" t="s">
        <v>1852</v>
      </c>
      <c r="B309" s="9">
        <v>45794</v>
      </c>
      <c r="C309" t="s">
        <v>396</v>
      </c>
      <c r="D309" t="s">
        <v>767</v>
      </c>
      <c r="E309">
        <v>1</v>
      </c>
      <c r="F309" s="56">
        <v>150000</v>
      </c>
      <c r="G309" s="56">
        <v>150000</v>
      </c>
      <c r="H309" t="s">
        <v>872</v>
      </c>
      <c r="I309" s="56">
        <v>0</v>
      </c>
      <c r="J309" s="56">
        <v>30000</v>
      </c>
      <c r="K309" s="56">
        <v>180000</v>
      </c>
      <c r="L309" t="s">
        <v>873</v>
      </c>
      <c r="M309" t="s">
        <v>881</v>
      </c>
      <c r="N309" t="s">
        <v>875</v>
      </c>
      <c r="O309" s="57">
        <v>45778</v>
      </c>
      <c r="P309" t="s">
        <v>877</v>
      </c>
      <c r="Q309" s="56">
        <v>150000</v>
      </c>
      <c r="R309" t="s">
        <v>768</v>
      </c>
      <c r="S309" t="s">
        <v>739</v>
      </c>
      <c r="T309" t="s">
        <v>740</v>
      </c>
      <c r="U309" t="s">
        <v>397</v>
      </c>
      <c r="V309" t="s">
        <v>7</v>
      </c>
      <c r="W309" t="s">
        <v>36</v>
      </c>
      <c r="X309" t="s">
        <v>9</v>
      </c>
      <c r="Y309" s="56">
        <f>IF(clean[[#This Row],[is_delivered]]="Yes",clean[[#This Row],[net_sales]],0 )</f>
        <v>150000</v>
      </c>
    </row>
    <row r="310" spans="1:25">
      <c r="A310" t="s">
        <v>1875</v>
      </c>
      <c r="B310" s="9">
        <v>45794</v>
      </c>
      <c r="C310" t="s">
        <v>230</v>
      </c>
      <c r="D310" t="s">
        <v>837</v>
      </c>
      <c r="E310">
        <v>1</v>
      </c>
      <c r="F310" s="56">
        <v>300000</v>
      </c>
      <c r="G310" s="56">
        <v>300000</v>
      </c>
      <c r="H310" t="s">
        <v>872</v>
      </c>
      <c r="I310" s="56">
        <v>0</v>
      </c>
      <c r="J310" s="56">
        <v>10000</v>
      </c>
      <c r="K310" s="56">
        <v>310000</v>
      </c>
      <c r="L310" t="s">
        <v>873</v>
      </c>
      <c r="M310" t="s">
        <v>901</v>
      </c>
      <c r="N310" t="s">
        <v>875</v>
      </c>
      <c r="O310" s="57">
        <v>45778</v>
      </c>
      <c r="P310" t="s">
        <v>877</v>
      </c>
      <c r="Q310" s="56">
        <v>300000</v>
      </c>
      <c r="R310" t="s">
        <v>838</v>
      </c>
      <c r="S310" t="s">
        <v>735</v>
      </c>
      <c r="T310" t="s">
        <v>736</v>
      </c>
      <c r="U310" t="s">
        <v>231</v>
      </c>
      <c r="V310" t="s">
        <v>7</v>
      </c>
      <c r="W310" t="s">
        <v>36</v>
      </c>
      <c r="X310" t="s">
        <v>24</v>
      </c>
      <c r="Y310" s="56">
        <f>IF(clean[[#This Row],[is_delivered]]="Yes",clean[[#This Row],[net_sales]],0 )</f>
        <v>300000</v>
      </c>
    </row>
    <row r="311" spans="1:25">
      <c r="A311" t="s">
        <v>1016</v>
      </c>
      <c r="B311" s="9">
        <v>45793</v>
      </c>
      <c r="C311" t="s">
        <v>13</v>
      </c>
      <c r="D311" t="s">
        <v>767</v>
      </c>
      <c r="E311">
        <v>3</v>
      </c>
      <c r="F311" s="56">
        <v>150000</v>
      </c>
      <c r="G311" s="56">
        <v>450000</v>
      </c>
      <c r="H311" t="s">
        <v>872</v>
      </c>
      <c r="I311" s="56">
        <v>0</v>
      </c>
      <c r="J311" s="56">
        <v>25000</v>
      </c>
      <c r="K311" s="56">
        <v>475000</v>
      </c>
      <c r="L311" t="s">
        <v>884</v>
      </c>
      <c r="M311" t="s">
        <v>874</v>
      </c>
      <c r="N311" t="s">
        <v>875</v>
      </c>
      <c r="O311" s="57">
        <v>45778</v>
      </c>
      <c r="P311" t="s">
        <v>877</v>
      </c>
      <c r="Q311" s="56">
        <v>450000</v>
      </c>
      <c r="R311" t="s">
        <v>768</v>
      </c>
      <c r="S311" t="s">
        <v>739</v>
      </c>
      <c r="T311" t="s">
        <v>740</v>
      </c>
      <c r="U311" t="s">
        <v>14</v>
      </c>
      <c r="V311" t="s">
        <v>7</v>
      </c>
      <c r="W311" t="s">
        <v>8</v>
      </c>
      <c r="X311" t="s">
        <v>15</v>
      </c>
      <c r="Y311" s="56">
        <f>IF(clean[[#This Row],[is_delivered]]="Yes",clean[[#This Row],[net_sales]],0 )</f>
        <v>450000</v>
      </c>
    </row>
    <row r="312" spans="1:25">
      <c r="A312" t="s">
        <v>1314</v>
      </c>
      <c r="B312" s="9">
        <v>45793</v>
      </c>
      <c r="C312" t="s">
        <v>162</v>
      </c>
      <c r="D312" t="s">
        <v>789</v>
      </c>
      <c r="E312">
        <v>3</v>
      </c>
      <c r="F312" s="56">
        <v>200000</v>
      </c>
      <c r="G312" s="56">
        <v>600000</v>
      </c>
      <c r="H312" t="s">
        <v>872</v>
      </c>
      <c r="I312" s="56">
        <v>0</v>
      </c>
      <c r="J312" s="56">
        <v>20000</v>
      </c>
      <c r="K312" s="56">
        <v>620000</v>
      </c>
      <c r="L312" t="s">
        <v>873</v>
      </c>
      <c r="M312" t="s">
        <v>903</v>
      </c>
      <c r="N312" t="s">
        <v>890</v>
      </c>
      <c r="O312" s="57">
        <v>45778</v>
      </c>
      <c r="P312" t="s">
        <v>892</v>
      </c>
      <c r="Q312" s="56">
        <v>600000</v>
      </c>
      <c r="R312" t="s">
        <v>790</v>
      </c>
      <c r="S312" t="s">
        <v>735</v>
      </c>
      <c r="T312" t="s">
        <v>736</v>
      </c>
      <c r="U312" t="s">
        <v>163</v>
      </c>
      <c r="V312" t="s">
        <v>7</v>
      </c>
      <c r="W312" t="s">
        <v>39</v>
      </c>
      <c r="X312" t="s">
        <v>9</v>
      </c>
      <c r="Y312" s="56">
        <f>IF(clean[[#This Row],[is_delivered]]="Yes",clean[[#This Row],[net_sales]],0 )</f>
        <v>0</v>
      </c>
    </row>
    <row r="313" spans="1:25">
      <c r="A313" t="s">
        <v>1894</v>
      </c>
      <c r="B313" s="9">
        <v>45793</v>
      </c>
      <c r="C313" t="s">
        <v>135</v>
      </c>
      <c r="D313" t="s">
        <v>725</v>
      </c>
      <c r="E313">
        <v>1</v>
      </c>
      <c r="F313" s="56">
        <v>300000</v>
      </c>
      <c r="G313" s="56">
        <v>300000</v>
      </c>
      <c r="H313" t="s">
        <v>886</v>
      </c>
      <c r="I313" s="56">
        <v>30000</v>
      </c>
      <c r="J313" s="56">
        <v>20000</v>
      </c>
      <c r="K313" s="56">
        <v>290000</v>
      </c>
      <c r="L313" t="s">
        <v>889</v>
      </c>
      <c r="M313" t="s">
        <v>881</v>
      </c>
      <c r="N313" t="s">
        <v>875</v>
      </c>
      <c r="O313" s="57">
        <v>45778</v>
      </c>
      <c r="P313" t="s">
        <v>877</v>
      </c>
      <c r="Q313" s="56">
        <v>270000</v>
      </c>
      <c r="R313" t="s">
        <v>726</v>
      </c>
      <c r="S313" t="s">
        <v>727</v>
      </c>
      <c r="T313" t="s">
        <v>728</v>
      </c>
      <c r="U313" t="s">
        <v>136</v>
      </c>
      <c r="V313" t="s">
        <v>23</v>
      </c>
      <c r="W313" t="s">
        <v>137</v>
      </c>
      <c r="X313" t="s">
        <v>24</v>
      </c>
      <c r="Y313" s="56">
        <f>IF(clean[[#This Row],[is_delivered]]="Yes",clean[[#This Row],[net_sales]],0 )</f>
        <v>270000</v>
      </c>
    </row>
    <row r="314" spans="1:25">
      <c r="A314" t="s">
        <v>894</v>
      </c>
      <c r="B314" s="9">
        <v>45792</v>
      </c>
      <c r="C314" t="s">
        <v>716</v>
      </c>
      <c r="D314" t="s">
        <v>751</v>
      </c>
      <c r="E314">
        <v>1</v>
      </c>
      <c r="F314" s="56">
        <v>150000</v>
      </c>
      <c r="G314" s="56">
        <v>150000</v>
      </c>
      <c r="H314" t="s">
        <v>895</v>
      </c>
      <c r="I314" s="56">
        <v>22500</v>
      </c>
      <c r="J314" s="56">
        <v>30000</v>
      </c>
      <c r="K314" s="56">
        <v>157500</v>
      </c>
      <c r="L314" t="s">
        <v>884</v>
      </c>
      <c r="M314" t="s">
        <v>881</v>
      </c>
      <c r="N314" t="s">
        <v>875</v>
      </c>
      <c r="O314" s="57">
        <v>45778</v>
      </c>
      <c r="P314" t="s">
        <v>877</v>
      </c>
      <c r="Q314" s="56">
        <v>127500</v>
      </c>
      <c r="R314" t="s">
        <v>752</v>
      </c>
      <c r="S314" t="s">
        <v>731</v>
      </c>
      <c r="T314" t="s">
        <v>732</v>
      </c>
      <c r="U314" t="s">
        <v>717</v>
      </c>
      <c r="V314" t="s">
        <v>23</v>
      </c>
      <c r="W314" t="s">
        <v>8</v>
      </c>
      <c r="X314" t="s">
        <v>9</v>
      </c>
      <c r="Y314" s="56">
        <f>IF(clean[[#This Row],[is_delivered]]="Yes",clean[[#This Row],[net_sales]],0 )</f>
        <v>127500</v>
      </c>
    </row>
    <row r="315" spans="1:25">
      <c r="A315" t="s">
        <v>924</v>
      </c>
      <c r="B315" s="9">
        <v>45792</v>
      </c>
      <c r="C315" t="s">
        <v>558</v>
      </c>
      <c r="D315" t="s">
        <v>765</v>
      </c>
      <c r="E315">
        <v>2</v>
      </c>
      <c r="F315" s="56">
        <v>500000</v>
      </c>
      <c r="G315" s="56">
        <v>1000000</v>
      </c>
      <c r="H315" t="s">
        <v>879</v>
      </c>
      <c r="I315" s="56">
        <v>200000</v>
      </c>
      <c r="J315" s="56">
        <v>30000</v>
      </c>
      <c r="K315" s="56">
        <v>830000</v>
      </c>
      <c r="L315" t="s">
        <v>889</v>
      </c>
      <c r="M315" t="s">
        <v>874</v>
      </c>
      <c r="N315" t="s">
        <v>890</v>
      </c>
      <c r="O315" s="57">
        <v>45778</v>
      </c>
      <c r="P315" t="s">
        <v>892</v>
      </c>
      <c r="Q315" s="56">
        <v>800000</v>
      </c>
      <c r="R315" t="s">
        <v>766</v>
      </c>
      <c r="S315" t="s">
        <v>735</v>
      </c>
      <c r="T315" t="s">
        <v>736</v>
      </c>
      <c r="U315" t="s">
        <v>559</v>
      </c>
      <c r="V315" t="s">
        <v>23</v>
      </c>
      <c r="W315" t="s">
        <v>56</v>
      </c>
      <c r="X315" t="s">
        <v>24</v>
      </c>
      <c r="Y315" s="56">
        <f>IF(clean[[#This Row],[is_delivered]]="Yes",clean[[#This Row],[net_sales]],0 )</f>
        <v>0</v>
      </c>
    </row>
    <row r="316" spans="1:25">
      <c r="A316" t="s">
        <v>972</v>
      </c>
      <c r="B316" s="9">
        <v>45792</v>
      </c>
      <c r="C316" t="s">
        <v>682</v>
      </c>
      <c r="D316" t="s">
        <v>833</v>
      </c>
      <c r="E316">
        <v>3</v>
      </c>
      <c r="F316" s="56">
        <v>200000</v>
      </c>
      <c r="G316" s="56">
        <v>600000</v>
      </c>
      <c r="H316" t="s">
        <v>872</v>
      </c>
      <c r="I316" s="56">
        <v>0</v>
      </c>
      <c r="J316" s="56">
        <v>25000</v>
      </c>
      <c r="K316" s="56">
        <v>625000</v>
      </c>
      <c r="L316" t="s">
        <v>884</v>
      </c>
      <c r="M316" t="s">
        <v>874</v>
      </c>
      <c r="N316" t="s">
        <v>921</v>
      </c>
      <c r="O316" s="57">
        <v>45778</v>
      </c>
      <c r="P316" t="s">
        <v>892</v>
      </c>
      <c r="Q316" s="56">
        <v>600000</v>
      </c>
      <c r="R316" t="s">
        <v>834</v>
      </c>
      <c r="S316" t="s">
        <v>727</v>
      </c>
      <c r="T316" t="s">
        <v>728</v>
      </c>
      <c r="U316" t="s">
        <v>683</v>
      </c>
      <c r="V316" t="s">
        <v>7</v>
      </c>
      <c r="W316" t="s">
        <v>137</v>
      </c>
      <c r="X316" t="s">
        <v>9</v>
      </c>
      <c r="Y316" s="56">
        <f>IF(clean[[#This Row],[is_delivered]]="Yes",clean[[#This Row],[net_sales]],0 )</f>
        <v>0</v>
      </c>
    </row>
    <row r="317" spans="1:25">
      <c r="A317" t="s">
        <v>1069</v>
      </c>
      <c r="B317" s="9">
        <v>45792</v>
      </c>
      <c r="C317" t="s">
        <v>344</v>
      </c>
      <c r="D317" t="s">
        <v>845</v>
      </c>
      <c r="E317">
        <v>2</v>
      </c>
      <c r="F317" s="56">
        <v>300000</v>
      </c>
      <c r="G317" s="56">
        <v>600000</v>
      </c>
      <c r="H317" t="s">
        <v>895</v>
      </c>
      <c r="I317" s="56">
        <v>90000</v>
      </c>
      <c r="J317" s="56">
        <v>15000</v>
      </c>
      <c r="K317" s="56">
        <v>525000</v>
      </c>
      <c r="L317" t="s">
        <v>880</v>
      </c>
      <c r="M317" t="s">
        <v>874</v>
      </c>
      <c r="N317" t="s">
        <v>890</v>
      </c>
      <c r="O317" s="57">
        <v>45778</v>
      </c>
      <c r="P317" t="s">
        <v>892</v>
      </c>
      <c r="Q317" s="56">
        <v>510000</v>
      </c>
      <c r="R317" t="s">
        <v>846</v>
      </c>
      <c r="S317" t="s">
        <v>727</v>
      </c>
      <c r="T317" t="s">
        <v>728</v>
      </c>
      <c r="U317" t="s">
        <v>345</v>
      </c>
      <c r="V317" t="s">
        <v>23</v>
      </c>
      <c r="W317" t="s">
        <v>137</v>
      </c>
      <c r="X317" t="s">
        <v>24</v>
      </c>
      <c r="Y317" s="56">
        <f>IF(clean[[#This Row],[is_delivered]]="Yes",clean[[#This Row],[net_sales]],0 )</f>
        <v>0</v>
      </c>
    </row>
    <row r="318" spans="1:25">
      <c r="A318" t="s">
        <v>1887</v>
      </c>
      <c r="B318" s="9">
        <v>45792</v>
      </c>
      <c r="C318" t="s">
        <v>686</v>
      </c>
      <c r="D318" t="s">
        <v>821</v>
      </c>
      <c r="E318">
        <v>2</v>
      </c>
      <c r="F318" s="56">
        <v>50000</v>
      </c>
      <c r="G318" s="56">
        <v>100000</v>
      </c>
      <c r="H318" t="s">
        <v>886</v>
      </c>
      <c r="I318" s="56">
        <v>10000</v>
      </c>
      <c r="J318" s="56">
        <v>25000</v>
      </c>
      <c r="K318" s="56">
        <v>115000</v>
      </c>
      <c r="L318" t="s">
        <v>880</v>
      </c>
      <c r="M318" t="s">
        <v>903</v>
      </c>
      <c r="N318" t="s">
        <v>875</v>
      </c>
      <c r="O318" s="57">
        <v>45778</v>
      </c>
      <c r="P318" t="s">
        <v>877</v>
      </c>
      <c r="Q318" s="56">
        <v>90000</v>
      </c>
      <c r="R318" t="s">
        <v>822</v>
      </c>
      <c r="S318" t="s">
        <v>727</v>
      </c>
      <c r="T318" t="s">
        <v>728</v>
      </c>
      <c r="U318" t="s">
        <v>687</v>
      </c>
      <c r="V318" t="s">
        <v>23</v>
      </c>
      <c r="W318" t="s">
        <v>29</v>
      </c>
      <c r="X318" t="s">
        <v>9</v>
      </c>
      <c r="Y318" s="56">
        <f>IF(clean[[#This Row],[is_delivered]]="Yes",clean[[#This Row],[net_sales]],0 )</f>
        <v>90000</v>
      </c>
    </row>
    <row r="319" spans="1:25">
      <c r="A319" t="s">
        <v>1923</v>
      </c>
      <c r="B319" s="9">
        <v>45792</v>
      </c>
      <c r="C319" t="s">
        <v>560</v>
      </c>
      <c r="D319" t="s">
        <v>855</v>
      </c>
      <c r="E319">
        <v>1</v>
      </c>
      <c r="F319" s="56">
        <v>150000</v>
      </c>
      <c r="G319" s="56">
        <v>150000</v>
      </c>
      <c r="H319" t="s">
        <v>872</v>
      </c>
      <c r="I319" s="56">
        <v>0</v>
      </c>
      <c r="J319" s="56">
        <v>10000</v>
      </c>
      <c r="K319" s="56">
        <v>160000</v>
      </c>
      <c r="L319" t="s">
        <v>884</v>
      </c>
      <c r="M319" t="s">
        <v>874</v>
      </c>
      <c r="N319" t="s">
        <v>875</v>
      </c>
      <c r="O319" s="57">
        <v>45778</v>
      </c>
      <c r="P319" t="s">
        <v>877</v>
      </c>
      <c r="Q319" s="56">
        <v>150000</v>
      </c>
      <c r="R319" t="s">
        <v>856</v>
      </c>
      <c r="S319" t="s">
        <v>747</v>
      </c>
      <c r="T319" t="s">
        <v>748</v>
      </c>
      <c r="U319" t="s">
        <v>561</v>
      </c>
      <c r="V319" t="s">
        <v>7</v>
      </c>
      <c r="W319" t="s">
        <v>12</v>
      </c>
      <c r="X319" t="s">
        <v>24</v>
      </c>
      <c r="Y319" s="56">
        <f>IF(clean[[#This Row],[is_delivered]]="Yes",clean[[#This Row],[net_sales]],0 )</f>
        <v>150000</v>
      </c>
    </row>
    <row r="320" spans="1:25">
      <c r="A320" t="s">
        <v>2011</v>
      </c>
      <c r="B320" s="9">
        <v>45792</v>
      </c>
      <c r="C320" t="s">
        <v>432</v>
      </c>
      <c r="D320" t="s">
        <v>783</v>
      </c>
      <c r="E320">
        <v>1</v>
      </c>
      <c r="F320" s="56">
        <v>500000</v>
      </c>
      <c r="G320" s="56">
        <v>500000</v>
      </c>
      <c r="H320" t="s">
        <v>879</v>
      </c>
      <c r="I320" s="56">
        <v>100000</v>
      </c>
      <c r="J320" s="56">
        <v>10000</v>
      </c>
      <c r="K320" s="56">
        <v>410000</v>
      </c>
      <c r="L320" t="s">
        <v>884</v>
      </c>
      <c r="M320" t="s">
        <v>901</v>
      </c>
      <c r="N320" t="s">
        <v>890</v>
      </c>
      <c r="O320" s="57">
        <v>45778</v>
      </c>
      <c r="P320" t="s">
        <v>892</v>
      </c>
      <c r="Q320" s="56">
        <v>400000</v>
      </c>
      <c r="R320" t="s">
        <v>784</v>
      </c>
      <c r="S320" t="s">
        <v>747</v>
      </c>
      <c r="T320" t="s">
        <v>748</v>
      </c>
      <c r="U320" t="s">
        <v>433</v>
      </c>
      <c r="V320" t="s">
        <v>23</v>
      </c>
      <c r="W320" t="s">
        <v>39</v>
      </c>
      <c r="X320" t="s">
        <v>9</v>
      </c>
      <c r="Y320" s="56">
        <f>IF(clean[[#This Row],[is_delivered]]="Yes",clean[[#This Row],[net_sales]],0 )</f>
        <v>0</v>
      </c>
    </row>
    <row r="321" spans="1:25">
      <c r="A321" t="s">
        <v>1238</v>
      </c>
      <c r="B321" s="9">
        <v>45791</v>
      </c>
      <c r="C321" t="s">
        <v>232</v>
      </c>
      <c r="D321" t="s">
        <v>785</v>
      </c>
      <c r="E321">
        <v>4</v>
      </c>
      <c r="F321" s="56">
        <v>100000</v>
      </c>
      <c r="G321" s="56">
        <v>400000</v>
      </c>
      <c r="H321" t="s">
        <v>883</v>
      </c>
      <c r="I321" s="56">
        <v>40000</v>
      </c>
      <c r="J321" s="56">
        <v>15000</v>
      </c>
      <c r="K321" s="56">
        <v>375000</v>
      </c>
      <c r="L321" t="s">
        <v>884</v>
      </c>
      <c r="M321" t="s">
        <v>903</v>
      </c>
      <c r="N321" t="s">
        <v>875</v>
      </c>
      <c r="O321" s="57">
        <v>45778</v>
      </c>
      <c r="P321" t="s">
        <v>877</v>
      </c>
      <c r="Q321" s="56">
        <v>360000</v>
      </c>
      <c r="R321" t="s">
        <v>786</v>
      </c>
      <c r="S321" t="s">
        <v>727</v>
      </c>
      <c r="T321" t="s">
        <v>728</v>
      </c>
      <c r="U321" t="s">
        <v>233</v>
      </c>
      <c r="V321" t="s">
        <v>23</v>
      </c>
      <c r="W321" t="s">
        <v>137</v>
      </c>
      <c r="X321" t="s">
        <v>9</v>
      </c>
      <c r="Y321" s="56">
        <f>IF(clean[[#This Row],[is_delivered]]="Yes",clean[[#This Row],[net_sales]],0 )</f>
        <v>360000</v>
      </c>
    </row>
    <row r="322" spans="1:25">
      <c r="A322" t="s">
        <v>1227</v>
      </c>
      <c r="B322" s="9">
        <v>45791</v>
      </c>
      <c r="C322" t="s">
        <v>432</v>
      </c>
      <c r="D322" t="s">
        <v>789</v>
      </c>
      <c r="E322">
        <v>1</v>
      </c>
      <c r="F322" s="56">
        <v>200000</v>
      </c>
      <c r="G322" s="56">
        <v>200000</v>
      </c>
      <c r="H322" t="s">
        <v>872</v>
      </c>
      <c r="I322" s="56">
        <v>0</v>
      </c>
      <c r="J322" s="56">
        <v>25000</v>
      </c>
      <c r="K322" s="56">
        <v>225000</v>
      </c>
      <c r="L322" t="s">
        <v>873</v>
      </c>
      <c r="M322" t="s">
        <v>903</v>
      </c>
      <c r="N322" t="s">
        <v>875</v>
      </c>
      <c r="O322" s="57">
        <v>45778</v>
      </c>
      <c r="P322" t="s">
        <v>877</v>
      </c>
      <c r="Q322" s="56">
        <v>200000</v>
      </c>
      <c r="R322" t="s">
        <v>790</v>
      </c>
      <c r="S322" t="s">
        <v>735</v>
      </c>
      <c r="T322" t="s">
        <v>736</v>
      </c>
      <c r="U322" t="s">
        <v>433</v>
      </c>
      <c r="V322" t="s">
        <v>23</v>
      </c>
      <c r="W322" t="s">
        <v>39</v>
      </c>
      <c r="X322" t="s">
        <v>9</v>
      </c>
      <c r="Y322" s="56">
        <f>IF(clean[[#This Row],[is_delivered]]="Yes",clean[[#This Row],[net_sales]],0 )</f>
        <v>200000</v>
      </c>
    </row>
    <row r="323" spans="1:25">
      <c r="A323" t="s">
        <v>1407</v>
      </c>
      <c r="B323" s="9">
        <v>45791</v>
      </c>
      <c r="C323" t="s">
        <v>158</v>
      </c>
      <c r="D323" t="s">
        <v>823</v>
      </c>
      <c r="E323">
        <v>3</v>
      </c>
      <c r="F323" s="56">
        <v>500000</v>
      </c>
      <c r="G323" s="56">
        <v>1500000</v>
      </c>
      <c r="H323" t="s">
        <v>879</v>
      </c>
      <c r="I323" s="56">
        <v>300000</v>
      </c>
      <c r="J323" s="56">
        <v>10000</v>
      </c>
      <c r="K323" s="56">
        <v>1210000</v>
      </c>
      <c r="L323" t="s">
        <v>884</v>
      </c>
      <c r="M323" t="s">
        <v>903</v>
      </c>
      <c r="N323" t="s">
        <v>875</v>
      </c>
      <c r="O323" s="57">
        <v>45778</v>
      </c>
      <c r="P323" t="s">
        <v>877</v>
      </c>
      <c r="Q323" s="56">
        <v>1200000</v>
      </c>
      <c r="R323" t="s">
        <v>824</v>
      </c>
      <c r="S323" t="s">
        <v>731</v>
      </c>
      <c r="T323" t="s">
        <v>732</v>
      </c>
      <c r="U323" t="s">
        <v>159</v>
      </c>
      <c r="V323" t="s">
        <v>23</v>
      </c>
      <c r="W323" t="s">
        <v>20</v>
      </c>
      <c r="X323" t="s">
        <v>9</v>
      </c>
      <c r="Y323" s="56">
        <f>IF(clean[[#This Row],[is_delivered]]="Yes",clean[[#This Row],[net_sales]],0 )</f>
        <v>1200000</v>
      </c>
    </row>
    <row r="324" spans="1:25">
      <c r="A324" t="s">
        <v>1741</v>
      </c>
      <c r="B324" s="9">
        <v>45791</v>
      </c>
      <c r="C324" t="s">
        <v>61</v>
      </c>
      <c r="D324" t="s">
        <v>817</v>
      </c>
      <c r="E324">
        <v>1</v>
      </c>
      <c r="F324" s="56">
        <v>75000</v>
      </c>
      <c r="G324" s="56">
        <v>75000</v>
      </c>
      <c r="H324" t="s">
        <v>872</v>
      </c>
      <c r="I324" s="56">
        <v>0</v>
      </c>
      <c r="J324" s="56">
        <v>30000</v>
      </c>
      <c r="K324" s="56">
        <v>105000</v>
      </c>
      <c r="L324" t="s">
        <v>884</v>
      </c>
      <c r="M324" t="s">
        <v>881</v>
      </c>
      <c r="N324" t="s">
        <v>875</v>
      </c>
      <c r="O324" s="57">
        <v>45778</v>
      </c>
      <c r="P324" t="s">
        <v>877</v>
      </c>
      <c r="Q324" s="56">
        <v>75000</v>
      </c>
      <c r="R324" t="s">
        <v>818</v>
      </c>
      <c r="S324" t="s">
        <v>743</v>
      </c>
      <c r="T324" t="s">
        <v>744</v>
      </c>
      <c r="U324" t="s">
        <v>62</v>
      </c>
      <c r="V324" t="s">
        <v>23</v>
      </c>
      <c r="W324" t="s">
        <v>39</v>
      </c>
      <c r="X324" t="s">
        <v>24</v>
      </c>
      <c r="Y324" s="56">
        <f>IF(clean[[#This Row],[is_delivered]]="Yes",clean[[#This Row],[net_sales]],0 )</f>
        <v>75000</v>
      </c>
    </row>
    <row r="325" spans="1:25">
      <c r="A325" t="s">
        <v>1756</v>
      </c>
      <c r="B325" s="9">
        <v>45791</v>
      </c>
      <c r="C325" t="s">
        <v>440</v>
      </c>
      <c r="D325" t="s">
        <v>831</v>
      </c>
      <c r="E325">
        <v>3</v>
      </c>
      <c r="F325" s="56">
        <v>300000</v>
      </c>
      <c r="G325" s="56">
        <v>900000</v>
      </c>
      <c r="H325" t="s">
        <v>895</v>
      </c>
      <c r="I325" s="56">
        <v>135000</v>
      </c>
      <c r="J325" s="56">
        <v>30000</v>
      </c>
      <c r="K325" s="56">
        <v>795000</v>
      </c>
      <c r="L325" t="s">
        <v>884</v>
      </c>
      <c r="M325" t="s">
        <v>874</v>
      </c>
      <c r="N325" t="s">
        <v>875</v>
      </c>
      <c r="O325" s="57">
        <v>45778</v>
      </c>
      <c r="P325" t="s">
        <v>877</v>
      </c>
      <c r="Q325" s="56">
        <v>765000</v>
      </c>
      <c r="R325" t="s">
        <v>832</v>
      </c>
      <c r="S325" t="s">
        <v>747</v>
      </c>
      <c r="T325" t="s">
        <v>748</v>
      </c>
      <c r="U325" t="s">
        <v>441</v>
      </c>
      <c r="V325" t="s">
        <v>23</v>
      </c>
      <c r="W325" t="s">
        <v>137</v>
      </c>
      <c r="X325" t="s">
        <v>9</v>
      </c>
      <c r="Y325" s="56">
        <f>IF(clean[[#This Row],[is_delivered]]="Yes",clean[[#This Row],[net_sales]],0 )</f>
        <v>765000</v>
      </c>
    </row>
    <row r="326" spans="1:25">
      <c r="A326" t="s">
        <v>1927</v>
      </c>
      <c r="B326" s="9">
        <v>45791</v>
      </c>
      <c r="C326" t="s">
        <v>350</v>
      </c>
      <c r="D326" t="s">
        <v>787</v>
      </c>
      <c r="E326">
        <v>1</v>
      </c>
      <c r="F326" s="56">
        <v>200000</v>
      </c>
      <c r="G326" s="56">
        <v>200000</v>
      </c>
      <c r="H326" t="s">
        <v>872</v>
      </c>
      <c r="I326" s="56">
        <v>0</v>
      </c>
      <c r="J326" s="56">
        <v>20000</v>
      </c>
      <c r="K326" s="56">
        <v>220000</v>
      </c>
      <c r="L326" t="s">
        <v>884</v>
      </c>
      <c r="M326" t="s">
        <v>881</v>
      </c>
      <c r="N326" t="s">
        <v>875</v>
      </c>
      <c r="O326" s="57">
        <v>45778</v>
      </c>
      <c r="P326" t="s">
        <v>877</v>
      </c>
      <c r="Q326" s="56">
        <v>200000</v>
      </c>
      <c r="R326" t="s">
        <v>788</v>
      </c>
      <c r="S326" t="s">
        <v>731</v>
      </c>
      <c r="T326" t="s">
        <v>732</v>
      </c>
      <c r="U326" t="s">
        <v>351</v>
      </c>
      <c r="V326" t="s">
        <v>23</v>
      </c>
      <c r="W326" t="s">
        <v>36</v>
      </c>
      <c r="X326" t="s">
        <v>9</v>
      </c>
      <c r="Y326" s="56">
        <f>IF(clean[[#This Row],[is_delivered]]="Yes",clean[[#This Row],[net_sales]],0 )</f>
        <v>200000</v>
      </c>
    </row>
    <row r="327" spans="1:25">
      <c r="A327" t="s">
        <v>1970</v>
      </c>
      <c r="B327" s="9">
        <v>45791</v>
      </c>
      <c r="C327" t="s">
        <v>276</v>
      </c>
      <c r="D327" t="s">
        <v>751</v>
      </c>
      <c r="E327">
        <v>1</v>
      </c>
      <c r="F327" s="56">
        <v>150000</v>
      </c>
      <c r="G327" s="56">
        <v>150000</v>
      </c>
      <c r="H327" t="s">
        <v>883</v>
      </c>
      <c r="I327" s="56">
        <v>15000</v>
      </c>
      <c r="J327" s="56">
        <v>10000</v>
      </c>
      <c r="K327" s="56">
        <v>145000</v>
      </c>
      <c r="L327" t="s">
        <v>889</v>
      </c>
      <c r="M327" t="s">
        <v>901</v>
      </c>
      <c r="N327" t="s">
        <v>890</v>
      </c>
      <c r="O327" s="57">
        <v>45778</v>
      </c>
      <c r="P327" t="s">
        <v>892</v>
      </c>
      <c r="Q327" s="56">
        <v>135000</v>
      </c>
      <c r="R327" t="s">
        <v>752</v>
      </c>
      <c r="S327" t="s">
        <v>731</v>
      </c>
      <c r="T327" t="s">
        <v>732</v>
      </c>
      <c r="U327" t="s">
        <v>277</v>
      </c>
      <c r="V327" t="s">
        <v>7</v>
      </c>
      <c r="W327" t="s">
        <v>137</v>
      </c>
      <c r="X327" t="s">
        <v>15</v>
      </c>
      <c r="Y327" s="56">
        <f>IF(clean[[#This Row],[is_delivered]]="Yes",clean[[#This Row],[net_sales]],0 )</f>
        <v>0</v>
      </c>
    </row>
    <row r="328" spans="1:25">
      <c r="A328" t="s">
        <v>1582</v>
      </c>
      <c r="B328" s="9">
        <v>45790</v>
      </c>
      <c r="C328" t="s">
        <v>566</v>
      </c>
      <c r="D328" t="s">
        <v>811</v>
      </c>
      <c r="E328">
        <v>3</v>
      </c>
      <c r="F328" s="56">
        <v>35000</v>
      </c>
      <c r="G328" s="56">
        <v>105000</v>
      </c>
      <c r="H328" t="s">
        <v>872</v>
      </c>
      <c r="I328" s="56">
        <v>0</v>
      </c>
      <c r="J328" s="56">
        <v>15000</v>
      </c>
      <c r="K328" s="56">
        <v>120000</v>
      </c>
      <c r="L328" t="s">
        <v>884</v>
      </c>
      <c r="M328" t="s">
        <v>881</v>
      </c>
      <c r="N328" t="s">
        <v>875</v>
      </c>
      <c r="O328" s="57">
        <v>45778</v>
      </c>
      <c r="P328" t="s">
        <v>877</v>
      </c>
      <c r="Q328" s="56">
        <v>105000</v>
      </c>
      <c r="R328" t="s">
        <v>812</v>
      </c>
      <c r="S328" t="s">
        <v>731</v>
      </c>
      <c r="T328" t="s">
        <v>732</v>
      </c>
      <c r="U328" t="s">
        <v>567</v>
      </c>
      <c r="V328" t="s">
        <v>7</v>
      </c>
      <c r="W328" t="s">
        <v>137</v>
      </c>
      <c r="X328" t="s">
        <v>24</v>
      </c>
      <c r="Y328" s="56">
        <f>IF(clean[[#This Row],[is_delivered]]="Yes",clean[[#This Row],[net_sales]],0 )</f>
        <v>105000</v>
      </c>
    </row>
    <row r="329" spans="1:25">
      <c r="A329" t="s">
        <v>1601</v>
      </c>
      <c r="B329" s="9">
        <v>45790</v>
      </c>
      <c r="C329" t="s">
        <v>101</v>
      </c>
      <c r="D329" t="s">
        <v>749</v>
      </c>
      <c r="E329">
        <v>1</v>
      </c>
      <c r="F329" s="56">
        <v>150000</v>
      </c>
      <c r="G329" s="56">
        <v>150000</v>
      </c>
      <c r="H329" t="s">
        <v>872</v>
      </c>
      <c r="I329" s="56">
        <v>0</v>
      </c>
      <c r="J329" s="56">
        <v>10000</v>
      </c>
      <c r="K329" s="56">
        <v>160000</v>
      </c>
      <c r="L329" t="s">
        <v>889</v>
      </c>
      <c r="M329" t="s">
        <v>903</v>
      </c>
      <c r="N329" t="s">
        <v>875</v>
      </c>
      <c r="O329" s="57">
        <v>45778</v>
      </c>
      <c r="P329" t="s">
        <v>877</v>
      </c>
      <c r="Q329" s="56">
        <v>150000</v>
      </c>
      <c r="R329" t="s">
        <v>750</v>
      </c>
      <c r="S329" t="s">
        <v>727</v>
      </c>
      <c r="T329" t="s">
        <v>728</v>
      </c>
      <c r="U329" t="s">
        <v>102</v>
      </c>
      <c r="V329" t="s">
        <v>23</v>
      </c>
      <c r="W329" t="s">
        <v>46</v>
      </c>
      <c r="X329" t="s">
        <v>9</v>
      </c>
      <c r="Y329" s="56">
        <f>IF(clean[[#This Row],[is_delivered]]="Yes",clean[[#This Row],[net_sales]],0 )</f>
        <v>150000</v>
      </c>
    </row>
    <row r="330" spans="1:25">
      <c r="A330" t="s">
        <v>1622</v>
      </c>
      <c r="B330" s="9">
        <v>45790</v>
      </c>
      <c r="C330" t="s">
        <v>156</v>
      </c>
      <c r="D330" t="s">
        <v>797</v>
      </c>
      <c r="E330">
        <v>2</v>
      </c>
      <c r="F330" s="56">
        <v>150000</v>
      </c>
      <c r="G330" s="56">
        <v>300000</v>
      </c>
      <c r="H330" t="s">
        <v>886</v>
      </c>
      <c r="I330" s="56">
        <v>30000</v>
      </c>
      <c r="J330" s="56">
        <v>15000</v>
      </c>
      <c r="K330" s="56">
        <v>285000</v>
      </c>
      <c r="L330" t="s">
        <v>889</v>
      </c>
      <c r="M330" t="s">
        <v>903</v>
      </c>
      <c r="N330" t="s">
        <v>921</v>
      </c>
      <c r="O330" s="57">
        <v>45778</v>
      </c>
      <c r="P330" t="s">
        <v>892</v>
      </c>
      <c r="Q330" s="56">
        <v>270000</v>
      </c>
      <c r="R330" t="s">
        <v>798</v>
      </c>
      <c r="S330" t="s">
        <v>727</v>
      </c>
      <c r="T330" t="s">
        <v>728</v>
      </c>
      <c r="U330" t="s">
        <v>157</v>
      </c>
      <c r="V330" t="s">
        <v>23</v>
      </c>
      <c r="W330" t="s">
        <v>137</v>
      </c>
      <c r="X330" t="s">
        <v>15</v>
      </c>
      <c r="Y330" s="56">
        <f>IF(clean[[#This Row],[is_delivered]]="Yes",clean[[#This Row],[net_sales]],0 )</f>
        <v>0</v>
      </c>
    </row>
    <row r="331" spans="1:25">
      <c r="A331" t="s">
        <v>1799</v>
      </c>
      <c r="B331" s="9">
        <v>45790</v>
      </c>
      <c r="C331" t="s">
        <v>160</v>
      </c>
      <c r="D331" t="s">
        <v>773</v>
      </c>
      <c r="E331">
        <v>1</v>
      </c>
      <c r="F331" s="56">
        <v>500000</v>
      </c>
      <c r="G331" s="56">
        <v>500000</v>
      </c>
      <c r="H331" t="s">
        <v>872</v>
      </c>
      <c r="I331" s="56">
        <v>0</v>
      </c>
      <c r="J331" s="56">
        <v>25000</v>
      </c>
      <c r="K331" s="56">
        <v>525000</v>
      </c>
      <c r="L331" t="s">
        <v>884</v>
      </c>
      <c r="M331" t="s">
        <v>881</v>
      </c>
      <c r="N331" t="s">
        <v>875</v>
      </c>
      <c r="O331" s="57">
        <v>45778</v>
      </c>
      <c r="P331" t="s">
        <v>877</v>
      </c>
      <c r="Q331" s="56">
        <v>500000</v>
      </c>
      <c r="R331" t="s">
        <v>774</v>
      </c>
      <c r="S331" t="s">
        <v>727</v>
      </c>
      <c r="T331" t="s">
        <v>728</v>
      </c>
      <c r="U331" t="s">
        <v>161</v>
      </c>
      <c r="V331" t="s">
        <v>23</v>
      </c>
      <c r="W331" t="s">
        <v>137</v>
      </c>
      <c r="X331" t="s">
        <v>9</v>
      </c>
      <c r="Y331" s="56">
        <f>IF(clean[[#This Row],[is_delivered]]="Yes",clean[[#This Row],[net_sales]],0 )</f>
        <v>500000</v>
      </c>
    </row>
    <row r="332" spans="1:25">
      <c r="A332" t="s">
        <v>1053</v>
      </c>
      <c r="B332" s="9">
        <v>45789</v>
      </c>
      <c r="C332" t="s">
        <v>226</v>
      </c>
      <c r="D332" t="s">
        <v>805</v>
      </c>
      <c r="E332">
        <v>1</v>
      </c>
      <c r="F332" s="56">
        <v>200000</v>
      </c>
      <c r="G332" s="56">
        <v>200000</v>
      </c>
      <c r="H332" t="s">
        <v>895</v>
      </c>
      <c r="I332" s="56">
        <v>30000</v>
      </c>
      <c r="J332" s="56">
        <v>20000</v>
      </c>
      <c r="K332" s="56">
        <v>190000</v>
      </c>
      <c r="L332" t="s">
        <v>884</v>
      </c>
      <c r="M332" t="s">
        <v>901</v>
      </c>
      <c r="N332" t="s">
        <v>875</v>
      </c>
      <c r="O332" s="57">
        <v>45778</v>
      </c>
      <c r="P332" t="s">
        <v>877</v>
      </c>
      <c r="Q332" s="56">
        <v>170000</v>
      </c>
      <c r="R332" t="s">
        <v>806</v>
      </c>
      <c r="S332" t="s">
        <v>743</v>
      </c>
      <c r="T332" t="s">
        <v>744</v>
      </c>
      <c r="U332" t="s">
        <v>227</v>
      </c>
      <c r="V332" t="s">
        <v>23</v>
      </c>
      <c r="W332" t="s">
        <v>29</v>
      </c>
      <c r="X332" t="s">
        <v>9</v>
      </c>
      <c r="Y332" s="56">
        <f>IF(clean[[#This Row],[is_delivered]]="Yes",clean[[#This Row],[net_sales]],0 )</f>
        <v>170000</v>
      </c>
    </row>
    <row r="333" spans="1:25">
      <c r="A333" t="s">
        <v>1402</v>
      </c>
      <c r="B333" s="9">
        <v>45789</v>
      </c>
      <c r="C333" t="s">
        <v>454</v>
      </c>
      <c r="D333" t="s">
        <v>737</v>
      </c>
      <c r="E333">
        <v>1</v>
      </c>
      <c r="F333" s="56">
        <v>300000</v>
      </c>
      <c r="G333" s="56">
        <v>300000</v>
      </c>
      <c r="H333" t="s">
        <v>886</v>
      </c>
      <c r="I333" s="56">
        <v>30000</v>
      </c>
      <c r="J333" s="56">
        <v>30000</v>
      </c>
      <c r="K333" s="56">
        <v>300000</v>
      </c>
      <c r="L333" t="s">
        <v>884</v>
      </c>
      <c r="M333" t="s">
        <v>901</v>
      </c>
      <c r="N333" t="s">
        <v>875</v>
      </c>
      <c r="O333" s="57">
        <v>45778</v>
      </c>
      <c r="P333" t="s">
        <v>877</v>
      </c>
      <c r="Q333" s="56">
        <v>270000</v>
      </c>
      <c r="R333" t="s">
        <v>738</v>
      </c>
      <c r="S333" t="s">
        <v>739</v>
      </c>
      <c r="T333" t="s">
        <v>740</v>
      </c>
      <c r="U333" t="s">
        <v>455</v>
      </c>
      <c r="V333" t="s">
        <v>23</v>
      </c>
      <c r="W333" t="s">
        <v>137</v>
      </c>
      <c r="X333" t="s">
        <v>9</v>
      </c>
      <c r="Y333" s="56">
        <f>IF(clean[[#This Row],[is_delivered]]="Yes",clean[[#This Row],[net_sales]],0 )</f>
        <v>270000</v>
      </c>
    </row>
    <row r="334" spans="1:25">
      <c r="A334" t="s">
        <v>1512</v>
      </c>
      <c r="B334" s="9">
        <v>45789</v>
      </c>
      <c r="C334" t="s">
        <v>694</v>
      </c>
      <c r="D334" t="s">
        <v>741</v>
      </c>
      <c r="E334">
        <v>1</v>
      </c>
      <c r="F334" s="56">
        <v>75000</v>
      </c>
      <c r="G334" s="56">
        <v>75000</v>
      </c>
      <c r="H334" t="s">
        <v>872</v>
      </c>
      <c r="I334" s="56">
        <v>0</v>
      </c>
      <c r="J334" s="56">
        <v>30000</v>
      </c>
      <c r="K334" s="56">
        <v>105000</v>
      </c>
      <c r="L334" t="s">
        <v>873</v>
      </c>
      <c r="M334" t="s">
        <v>903</v>
      </c>
      <c r="N334" t="s">
        <v>911</v>
      </c>
      <c r="O334" s="57">
        <v>45778</v>
      </c>
      <c r="P334" t="s">
        <v>892</v>
      </c>
      <c r="Q334" s="56">
        <v>75000</v>
      </c>
      <c r="R334" t="s">
        <v>742</v>
      </c>
      <c r="S334" t="s">
        <v>743</v>
      </c>
      <c r="T334" t="s">
        <v>744</v>
      </c>
      <c r="U334" t="s">
        <v>695</v>
      </c>
      <c r="V334" t="s">
        <v>23</v>
      </c>
      <c r="W334" t="s">
        <v>8</v>
      </c>
      <c r="X334" t="s">
        <v>9</v>
      </c>
      <c r="Y334" s="56">
        <f>IF(clean[[#This Row],[is_delivered]]="Yes",clean[[#This Row],[net_sales]],0 )</f>
        <v>0</v>
      </c>
    </row>
    <row r="335" spans="1:25">
      <c r="A335" t="s">
        <v>1559</v>
      </c>
      <c r="B335" s="9">
        <v>45789</v>
      </c>
      <c r="C335" t="s">
        <v>412</v>
      </c>
      <c r="D335" t="s">
        <v>795</v>
      </c>
      <c r="E335">
        <v>2</v>
      </c>
      <c r="F335" s="56">
        <v>100000</v>
      </c>
      <c r="G335" s="56">
        <v>200000</v>
      </c>
      <c r="H335" t="s">
        <v>886</v>
      </c>
      <c r="I335" s="56">
        <v>20000</v>
      </c>
      <c r="J335" s="56">
        <v>30000</v>
      </c>
      <c r="K335" s="56">
        <v>210000</v>
      </c>
      <c r="L335" t="s">
        <v>889</v>
      </c>
      <c r="M335" t="s">
        <v>874</v>
      </c>
      <c r="N335" t="s">
        <v>905</v>
      </c>
      <c r="O335" s="57">
        <v>45778</v>
      </c>
      <c r="P335" t="s">
        <v>892</v>
      </c>
      <c r="Q335" s="56">
        <v>180000</v>
      </c>
      <c r="R335" t="s">
        <v>796</v>
      </c>
      <c r="S335" t="s">
        <v>747</v>
      </c>
      <c r="T335" t="s">
        <v>748</v>
      </c>
      <c r="U335" t="s">
        <v>413</v>
      </c>
      <c r="V335" t="s">
        <v>7</v>
      </c>
      <c r="W335" t="s">
        <v>8</v>
      </c>
      <c r="X335" t="s">
        <v>9</v>
      </c>
      <c r="Y335" s="56">
        <f>IF(clean[[#This Row],[is_delivered]]="Yes",clean[[#This Row],[net_sales]],0 )</f>
        <v>0</v>
      </c>
    </row>
    <row r="336" spans="1:25">
      <c r="A336" t="s">
        <v>1672</v>
      </c>
      <c r="B336" s="9">
        <v>45789</v>
      </c>
      <c r="C336" t="s">
        <v>446</v>
      </c>
      <c r="D336" t="s">
        <v>835</v>
      </c>
      <c r="E336">
        <v>3</v>
      </c>
      <c r="F336" s="56">
        <v>200000</v>
      </c>
      <c r="G336" s="56">
        <v>600000</v>
      </c>
      <c r="H336" t="s">
        <v>886</v>
      </c>
      <c r="I336" s="56">
        <v>60000</v>
      </c>
      <c r="J336" s="56">
        <v>15000</v>
      </c>
      <c r="K336" s="56">
        <v>555000</v>
      </c>
      <c r="L336" t="s">
        <v>880</v>
      </c>
      <c r="M336" t="s">
        <v>881</v>
      </c>
      <c r="N336" t="s">
        <v>875</v>
      </c>
      <c r="O336" s="57">
        <v>45778</v>
      </c>
      <c r="P336" t="s">
        <v>877</v>
      </c>
      <c r="Q336" s="56">
        <v>540000</v>
      </c>
      <c r="R336" t="s">
        <v>836</v>
      </c>
      <c r="S336" t="s">
        <v>731</v>
      </c>
      <c r="T336" t="s">
        <v>732</v>
      </c>
      <c r="U336" t="s">
        <v>447</v>
      </c>
      <c r="V336" t="s">
        <v>23</v>
      </c>
      <c r="W336" t="s">
        <v>8</v>
      </c>
      <c r="X336" t="s">
        <v>9</v>
      </c>
      <c r="Y336" s="56">
        <f>IF(clean[[#This Row],[is_delivered]]="Yes",clean[[#This Row],[net_sales]],0 )</f>
        <v>540000</v>
      </c>
    </row>
    <row r="337" spans="1:25">
      <c r="A337" t="s">
        <v>1872</v>
      </c>
      <c r="B337" s="9">
        <v>45789</v>
      </c>
      <c r="C337" t="s">
        <v>260</v>
      </c>
      <c r="D337" t="s">
        <v>741</v>
      </c>
      <c r="E337">
        <v>3</v>
      </c>
      <c r="F337" s="56">
        <v>75000</v>
      </c>
      <c r="G337" s="56">
        <v>225000</v>
      </c>
      <c r="H337" t="s">
        <v>872</v>
      </c>
      <c r="I337" s="56">
        <v>0</v>
      </c>
      <c r="J337" s="56">
        <v>15000</v>
      </c>
      <c r="K337" s="56">
        <v>240000</v>
      </c>
      <c r="L337" t="s">
        <v>880</v>
      </c>
      <c r="M337" t="s">
        <v>874</v>
      </c>
      <c r="N337" t="s">
        <v>875</v>
      </c>
      <c r="O337" s="57">
        <v>45778</v>
      </c>
      <c r="P337" t="s">
        <v>877</v>
      </c>
      <c r="Q337" s="56">
        <v>225000</v>
      </c>
      <c r="R337" t="s">
        <v>742</v>
      </c>
      <c r="S337" t="s">
        <v>743</v>
      </c>
      <c r="T337" t="s">
        <v>744</v>
      </c>
      <c r="U337" t="s">
        <v>261</v>
      </c>
      <c r="V337" t="s">
        <v>7</v>
      </c>
      <c r="W337" t="s">
        <v>51</v>
      </c>
      <c r="X337" t="s">
        <v>9</v>
      </c>
      <c r="Y337" s="56">
        <f>IF(clean[[#This Row],[is_delivered]]="Yes",clean[[#This Row],[net_sales]],0 )</f>
        <v>225000</v>
      </c>
    </row>
    <row r="338" spans="1:25">
      <c r="A338" t="s">
        <v>955</v>
      </c>
      <c r="B338" s="9">
        <v>45788</v>
      </c>
      <c r="C338" t="s">
        <v>532</v>
      </c>
      <c r="D338" t="s">
        <v>851</v>
      </c>
      <c r="E338">
        <v>2</v>
      </c>
      <c r="F338" s="56">
        <v>35000</v>
      </c>
      <c r="G338" s="56">
        <v>70000</v>
      </c>
      <c r="H338" t="s">
        <v>872</v>
      </c>
      <c r="I338" s="56">
        <v>0</v>
      </c>
      <c r="J338" s="56">
        <v>10000</v>
      </c>
      <c r="K338" s="56">
        <v>80000</v>
      </c>
      <c r="L338" t="s">
        <v>873</v>
      </c>
      <c r="M338" t="s">
        <v>881</v>
      </c>
      <c r="N338" t="s">
        <v>890</v>
      </c>
      <c r="O338" s="57">
        <v>45778</v>
      </c>
      <c r="P338" t="s">
        <v>892</v>
      </c>
      <c r="Q338" s="56">
        <v>70000</v>
      </c>
      <c r="R338" t="s">
        <v>852</v>
      </c>
      <c r="S338" t="s">
        <v>739</v>
      </c>
      <c r="T338" t="s">
        <v>740</v>
      </c>
      <c r="U338" t="s">
        <v>533</v>
      </c>
      <c r="V338" t="s">
        <v>7</v>
      </c>
      <c r="W338" t="s">
        <v>12</v>
      </c>
      <c r="X338" t="s">
        <v>24</v>
      </c>
      <c r="Y338" s="56">
        <f>IF(clean[[#This Row],[is_delivered]]="Yes",clean[[#This Row],[net_sales]],0 )</f>
        <v>0</v>
      </c>
    </row>
    <row r="339" spans="1:25">
      <c r="A339" t="s">
        <v>1099</v>
      </c>
      <c r="B339" s="9">
        <v>45788</v>
      </c>
      <c r="C339" t="s">
        <v>568</v>
      </c>
      <c r="D339" t="s">
        <v>753</v>
      </c>
      <c r="E339">
        <v>2</v>
      </c>
      <c r="F339" s="56">
        <v>300000</v>
      </c>
      <c r="G339" s="56">
        <v>600000</v>
      </c>
      <c r="H339" t="s">
        <v>886</v>
      </c>
      <c r="I339" s="56">
        <v>60000</v>
      </c>
      <c r="J339" s="56">
        <v>25000</v>
      </c>
      <c r="K339" s="56">
        <v>565000</v>
      </c>
      <c r="L339" t="s">
        <v>880</v>
      </c>
      <c r="M339" t="s">
        <v>881</v>
      </c>
      <c r="N339" t="s">
        <v>875</v>
      </c>
      <c r="O339" s="57">
        <v>45778</v>
      </c>
      <c r="P339" t="s">
        <v>877</v>
      </c>
      <c r="Q339" s="56">
        <v>540000</v>
      </c>
      <c r="R339" t="s">
        <v>754</v>
      </c>
      <c r="S339" t="s">
        <v>735</v>
      </c>
      <c r="T339" t="s">
        <v>736</v>
      </c>
      <c r="U339" t="s">
        <v>569</v>
      </c>
      <c r="V339" t="s">
        <v>23</v>
      </c>
      <c r="W339" t="s">
        <v>137</v>
      </c>
      <c r="X339" t="s">
        <v>9</v>
      </c>
      <c r="Y339" s="56">
        <f>IF(clean[[#This Row],[is_delivered]]="Yes",clean[[#This Row],[net_sales]],0 )</f>
        <v>540000</v>
      </c>
    </row>
    <row r="340" spans="1:25">
      <c r="A340" t="s">
        <v>1554</v>
      </c>
      <c r="B340" s="9">
        <v>45788</v>
      </c>
      <c r="C340" t="s">
        <v>572</v>
      </c>
      <c r="D340" t="s">
        <v>805</v>
      </c>
      <c r="E340">
        <v>1</v>
      </c>
      <c r="F340" s="56">
        <v>200000</v>
      </c>
      <c r="G340" s="56">
        <v>200000</v>
      </c>
      <c r="H340" t="s">
        <v>886</v>
      </c>
      <c r="I340" s="56">
        <v>20000</v>
      </c>
      <c r="J340" s="56">
        <v>25000</v>
      </c>
      <c r="K340" s="56">
        <v>205000</v>
      </c>
      <c r="L340" t="s">
        <v>873</v>
      </c>
      <c r="M340" t="s">
        <v>901</v>
      </c>
      <c r="N340" t="s">
        <v>875</v>
      </c>
      <c r="O340" s="57">
        <v>45778</v>
      </c>
      <c r="P340" t="s">
        <v>877</v>
      </c>
      <c r="Q340" s="56">
        <v>180000</v>
      </c>
      <c r="R340" t="s">
        <v>806</v>
      </c>
      <c r="S340" t="s">
        <v>743</v>
      </c>
      <c r="T340" t="s">
        <v>744</v>
      </c>
      <c r="U340" t="s">
        <v>573</v>
      </c>
      <c r="V340" t="s">
        <v>7</v>
      </c>
      <c r="W340" t="s">
        <v>137</v>
      </c>
      <c r="X340" t="s">
        <v>9</v>
      </c>
      <c r="Y340" s="56">
        <f>IF(clean[[#This Row],[is_delivered]]="Yes",clean[[#This Row],[net_sales]],0 )</f>
        <v>180000</v>
      </c>
    </row>
    <row r="341" spans="1:25">
      <c r="A341" t="s">
        <v>1648</v>
      </c>
      <c r="B341" s="9">
        <v>45788</v>
      </c>
      <c r="C341" t="s">
        <v>170</v>
      </c>
      <c r="D341" t="s">
        <v>813</v>
      </c>
      <c r="E341">
        <v>2</v>
      </c>
      <c r="F341" s="56">
        <v>35000</v>
      </c>
      <c r="G341" s="56">
        <v>70000</v>
      </c>
      <c r="H341" t="s">
        <v>883</v>
      </c>
      <c r="I341" s="56">
        <v>7000</v>
      </c>
      <c r="J341" s="56">
        <v>10000</v>
      </c>
      <c r="K341" s="56">
        <v>73000</v>
      </c>
      <c r="L341" t="s">
        <v>884</v>
      </c>
      <c r="M341" t="s">
        <v>881</v>
      </c>
      <c r="N341" t="s">
        <v>875</v>
      </c>
      <c r="O341" s="57">
        <v>45778</v>
      </c>
      <c r="P341" t="s">
        <v>877</v>
      </c>
      <c r="Q341" s="56">
        <v>63000</v>
      </c>
      <c r="R341" t="s">
        <v>814</v>
      </c>
      <c r="S341" t="s">
        <v>735</v>
      </c>
      <c r="T341" t="s">
        <v>736</v>
      </c>
      <c r="U341" t="s">
        <v>171</v>
      </c>
      <c r="V341" t="s">
        <v>7</v>
      </c>
      <c r="W341" t="s">
        <v>29</v>
      </c>
      <c r="X341" t="s">
        <v>9</v>
      </c>
      <c r="Y341" s="56">
        <f>IF(clean[[#This Row],[is_delivered]]="Yes",clean[[#This Row],[net_sales]],0 )</f>
        <v>63000</v>
      </c>
    </row>
    <row r="342" spans="1:25">
      <c r="A342" t="s">
        <v>1718</v>
      </c>
      <c r="B342" s="9">
        <v>45788</v>
      </c>
      <c r="C342" t="s">
        <v>442</v>
      </c>
      <c r="D342" t="s">
        <v>803</v>
      </c>
      <c r="E342">
        <v>1</v>
      </c>
      <c r="F342" s="56">
        <v>50000</v>
      </c>
      <c r="G342" s="56">
        <v>50000</v>
      </c>
      <c r="H342" t="s">
        <v>879</v>
      </c>
      <c r="I342" s="56">
        <v>10000</v>
      </c>
      <c r="J342" s="56">
        <v>20000</v>
      </c>
      <c r="K342" s="56">
        <v>60000</v>
      </c>
      <c r="L342" t="s">
        <v>873</v>
      </c>
      <c r="M342" t="s">
        <v>901</v>
      </c>
      <c r="N342" t="s">
        <v>875</v>
      </c>
      <c r="O342" s="57">
        <v>45778</v>
      </c>
      <c r="P342" t="s">
        <v>877</v>
      </c>
      <c r="Q342" s="56">
        <v>40000</v>
      </c>
      <c r="R342" t="s">
        <v>804</v>
      </c>
      <c r="S342" t="s">
        <v>739</v>
      </c>
      <c r="T342" t="s">
        <v>740</v>
      </c>
      <c r="U342" t="s">
        <v>443</v>
      </c>
      <c r="V342" t="s">
        <v>23</v>
      </c>
      <c r="W342" t="s">
        <v>137</v>
      </c>
      <c r="X342" t="s">
        <v>24</v>
      </c>
      <c r="Y342" s="56">
        <f>IF(clean[[#This Row],[is_delivered]]="Yes",clean[[#This Row],[net_sales]],0 )</f>
        <v>40000</v>
      </c>
    </row>
    <row r="343" spans="1:25">
      <c r="A343" t="s">
        <v>1981</v>
      </c>
      <c r="B343" s="9">
        <v>45788</v>
      </c>
      <c r="C343" t="s">
        <v>600</v>
      </c>
      <c r="D343" t="s">
        <v>839</v>
      </c>
      <c r="E343">
        <v>4</v>
      </c>
      <c r="F343" s="56">
        <v>200000</v>
      </c>
      <c r="G343" s="56">
        <v>800000</v>
      </c>
      <c r="H343" t="s">
        <v>872</v>
      </c>
      <c r="I343" s="56">
        <v>0</v>
      </c>
      <c r="J343" s="56">
        <v>25000</v>
      </c>
      <c r="K343" s="56">
        <v>825000</v>
      </c>
      <c r="L343" t="s">
        <v>880</v>
      </c>
      <c r="M343" t="s">
        <v>903</v>
      </c>
      <c r="N343" t="s">
        <v>911</v>
      </c>
      <c r="O343" s="57">
        <v>45778</v>
      </c>
      <c r="P343" t="s">
        <v>892</v>
      </c>
      <c r="Q343" s="56">
        <v>800000</v>
      </c>
      <c r="R343" t="s">
        <v>840</v>
      </c>
      <c r="S343" t="s">
        <v>739</v>
      </c>
      <c r="T343" t="s">
        <v>740</v>
      </c>
      <c r="U343" t="s">
        <v>601</v>
      </c>
      <c r="V343" t="s">
        <v>23</v>
      </c>
      <c r="W343" t="s">
        <v>20</v>
      </c>
      <c r="X343" t="s">
        <v>9</v>
      </c>
      <c r="Y343" s="56">
        <f>IF(clean[[#This Row],[is_delivered]]="Yes",clean[[#This Row],[net_sales]],0 )</f>
        <v>0</v>
      </c>
    </row>
    <row r="344" spans="1:25">
      <c r="A344" t="s">
        <v>2009</v>
      </c>
      <c r="B344" s="9">
        <v>45788</v>
      </c>
      <c r="C344" t="s">
        <v>474</v>
      </c>
      <c r="D344" t="s">
        <v>789</v>
      </c>
      <c r="E344">
        <v>2</v>
      </c>
      <c r="F344" s="56">
        <v>200000</v>
      </c>
      <c r="G344" s="56">
        <v>400000</v>
      </c>
      <c r="H344" t="s">
        <v>872</v>
      </c>
      <c r="I344" s="56">
        <v>0</v>
      </c>
      <c r="J344" s="56">
        <v>25000</v>
      </c>
      <c r="K344" s="56">
        <v>425000</v>
      </c>
      <c r="L344" t="s">
        <v>884</v>
      </c>
      <c r="M344" t="s">
        <v>901</v>
      </c>
      <c r="N344" t="s">
        <v>875</v>
      </c>
      <c r="O344" s="57">
        <v>45778</v>
      </c>
      <c r="P344" t="s">
        <v>877</v>
      </c>
      <c r="Q344" s="56">
        <v>400000</v>
      </c>
      <c r="R344" t="s">
        <v>790</v>
      </c>
      <c r="S344" t="s">
        <v>735</v>
      </c>
      <c r="T344" t="s">
        <v>736</v>
      </c>
      <c r="U344" t="s">
        <v>475</v>
      </c>
      <c r="V344" t="s">
        <v>7</v>
      </c>
      <c r="W344" t="s">
        <v>46</v>
      </c>
      <c r="X344" t="s">
        <v>9</v>
      </c>
      <c r="Y344" s="56">
        <f>IF(clean[[#This Row],[is_delivered]]="Yes",clean[[#This Row],[net_sales]],0 )</f>
        <v>400000</v>
      </c>
    </row>
    <row r="345" spans="1:25">
      <c r="A345" t="s">
        <v>902</v>
      </c>
      <c r="B345" s="9">
        <v>45787</v>
      </c>
      <c r="C345" t="s">
        <v>408</v>
      </c>
      <c r="D345" t="s">
        <v>781</v>
      </c>
      <c r="E345">
        <v>4</v>
      </c>
      <c r="F345" s="56">
        <v>50000</v>
      </c>
      <c r="G345" s="56">
        <v>200000</v>
      </c>
      <c r="H345" t="s">
        <v>895</v>
      </c>
      <c r="I345" s="56">
        <v>30000</v>
      </c>
      <c r="J345" s="56">
        <v>10000</v>
      </c>
      <c r="K345" s="56">
        <v>180000</v>
      </c>
      <c r="L345" t="s">
        <v>873</v>
      </c>
      <c r="M345" t="s">
        <v>903</v>
      </c>
      <c r="N345" t="s">
        <v>875</v>
      </c>
      <c r="O345" s="57">
        <v>45778</v>
      </c>
      <c r="P345" t="s">
        <v>877</v>
      </c>
      <c r="Q345" s="56">
        <v>170000</v>
      </c>
      <c r="R345" t="s">
        <v>782</v>
      </c>
      <c r="S345" t="s">
        <v>743</v>
      </c>
      <c r="T345" t="s">
        <v>744</v>
      </c>
      <c r="U345" t="s">
        <v>409</v>
      </c>
      <c r="V345" t="s">
        <v>7</v>
      </c>
      <c r="W345" t="s">
        <v>8</v>
      </c>
      <c r="X345" t="s">
        <v>24</v>
      </c>
      <c r="Y345" s="56">
        <f>IF(clean[[#This Row],[is_delivered]]="Yes",clean[[#This Row],[net_sales]],0 )</f>
        <v>170000</v>
      </c>
    </row>
    <row r="346" spans="1:25">
      <c r="A346" t="s">
        <v>1263</v>
      </c>
      <c r="B346" s="9">
        <v>45787</v>
      </c>
      <c r="C346" t="s">
        <v>142</v>
      </c>
      <c r="D346" t="s">
        <v>833</v>
      </c>
      <c r="E346">
        <v>1</v>
      </c>
      <c r="F346" s="56">
        <v>200000</v>
      </c>
      <c r="G346" s="56">
        <v>200000</v>
      </c>
      <c r="H346" t="s">
        <v>872</v>
      </c>
      <c r="I346" s="56">
        <v>0</v>
      </c>
      <c r="J346" s="56">
        <v>10000</v>
      </c>
      <c r="K346" s="56">
        <v>210000</v>
      </c>
      <c r="L346" t="s">
        <v>880</v>
      </c>
      <c r="M346" t="s">
        <v>901</v>
      </c>
      <c r="N346" t="s">
        <v>875</v>
      </c>
      <c r="O346" s="57">
        <v>45778</v>
      </c>
      <c r="P346" t="s">
        <v>877</v>
      </c>
      <c r="Q346" s="56">
        <v>200000</v>
      </c>
      <c r="R346" t="s">
        <v>834</v>
      </c>
      <c r="S346" t="s">
        <v>727</v>
      </c>
      <c r="T346" t="s">
        <v>728</v>
      </c>
      <c r="U346" t="s">
        <v>143</v>
      </c>
      <c r="V346" t="s">
        <v>7</v>
      </c>
      <c r="W346" t="s">
        <v>8</v>
      </c>
      <c r="X346" t="s">
        <v>24</v>
      </c>
      <c r="Y346" s="56">
        <f>IF(clean[[#This Row],[is_delivered]]="Yes",clean[[#This Row],[net_sales]],0 )</f>
        <v>200000</v>
      </c>
    </row>
    <row r="347" spans="1:25">
      <c r="A347" t="s">
        <v>1268</v>
      </c>
      <c r="B347" s="9">
        <v>45787</v>
      </c>
      <c r="C347" t="s">
        <v>206</v>
      </c>
      <c r="D347" t="s">
        <v>795</v>
      </c>
      <c r="E347">
        <v>2</v>
      </c>
      <c r="F347" s="56">
        <v>100000</v>
      </c>
      <c r="G347" s="56">
        <v>200000</v>
      </c>
      <c r="H347" t="s">
        <v>872</v>
      </c>
      <c r="I347" s="56">
        <v>0</v>
      </c>
      <c r="J347" s="56">
        <v>15000</v>
      </c>
      <c r="K347" s="56">
        <v>215000</v>
      </c>
      <c r="L347" t="s">
        <v>873</v>
      </c>
      <c r="M347" t="s">
        <v>874</v>
      </c>
      <c r="N347" t="s">
        <v>890</v>
      </c>
      <c r="O347" s="57">
        <v>45778</v>
      </c>
      <c r="P347" t="s">
        <v>892</v>
      </c>
      <c r="Q347" s="56">
        <v>200000</v>
      </c>
      <c r="R347" t="s">
        <v>796</v>
      </c>
      <c r="S347" t="s">
        <v>747</v>
      </c>
      <c r="T347" t="s">
        <v>748</v>
      </c>
      <c r="U347" t="s">
        <v>207</v>
      </c>
      <c r="V347" t="s">
        <v>7</v>
      </c>
      <c r="W347" t="s">
        <v>20</v>
      </c>
      <c r="X347" t="s">
        <v>9</v>
      </c>
      <c r="Y347" s="56">
        <f>IF(clean[[#This Row],[is_delivered]]="Yes",clean[[#This Row],[net_sales]],0 )</f>
        <v>0</v>
      </c>
    </row>
    <row r="348" spans="1:25">
      <c r="A348" t="s">
        <v>1361</v>
      </c>
      <c r="B348" s="9">
        <v>45787</v>
      </c>
      <c r="C348" t="s">
        <v>466</v>
      </c>
      <c r="D348" t="s">
        <v>767</v>
      </c>
      <c r="E348">
        <v>1</v>
      </c>
      <c r="F348" s="56">
        <v>150000</v>
      </c>
      <c r="G348" s="56">
        <v>150000</v>
      </c>
      <c r="H348" t="s">
        <v>872</v>
      </c>
      <c r="I348" s="56">
        <v>0</v>
      </c>
      <c r="J348" s="56">
        <v>15000</v>
      </c>
      <c r="K348" s="56">
        <v>165000</v>
      </c>
      <c r="L348" t="s">
        <v>889</v>
      </c>
      <c r="M348" t="s">
        <v>901</v>
      </c>
      <c r="N348" t="s">
        <v>875</v>
      </c>
      <c r="O348" s="57">
        <v>45778</v>
      </c>
      <c r="P348" t="s">
        <v>877</v>
      </c>
      <c r="Q348" s="56">
        <v>150000</v>
      </c>
      <c r="R348" t="s">
        <v>768</v>
      </c>
      <c r="S348" t="s">
        <v>739</v>
      </c>
      <c r="T348" t="s">
        <v>740</v>
      </c>
      <c r="U348" t="s">
        <v>467</v>
      </c>
      <c r="V348" t="s">
        <v>7</v>
      </c>
      <c r="W348" t="s">
        <v>46</v>
      </c>
      <c r="X348" t="s">
        <v>24</v>
      </c>
      <c r="Y348" s="56">
        <f>IF(clean[[#This Row],[is_delivered]]="Yes",clean[[#This Row],[net_sales]],0 )</f>
        <v>150000</v>
      </c>
    </row>
    <row r="349" spans="1:25">
      <c r="A349" t="s">
        <v>1447</v>
      </c>
      <c r="B349" s="9">
        <v>45787</v>
      </c>
      <c r="C349" t="s">
        <v>324</v>
      </c>
      <c r="D349" t="s">
        <v>761</v>
      </c>
      <c r="E349">
        <v>1</v>
      </c>
      <c r="F349" s="56">
        <v>75000</v>
      </c>
      <c r="G349" s="56">
        <v>75000</v>
      </c>
      <c r="H349" t="s">
        <v>872</v>
      </c>
      <c r="I349" s="56">
        <v>0</v>
      </c>
      <c r="J349" s="56">
        <v>20000</v>
      </c>
      <c r="K349" s="56">
        <v>95000</v>
      </c>
      <c r="L349" t="s">
        <v>889</v>
      </c>
      <c r="M349" t="s">
        <v>903</v>
      </c>
      <c r="N349" t="s">
        <v>875</v>
      </c>
      <c r="O349" s="57">
        <v>45778</v>
      </c>
      <c r="P349" t="s">
        <v>877</v>
      </c>
      <c r="Q349" s="56">
        <v>75000</v>
      </c>
      <c r="R349" t="s">
        <v>762</v>
      </c>
      <c r="S349" t="s">
        <v>727</v>
      </c>
      <c r="T349" t="s">
        <v>728</v>
      </c>
      <c r="U349" t="s">
        <v>325</v>
      </c>
      <c r="V349" t="s">
        <v>7</v>
      </c>
      <c r="W349" t="s">
        <v>137</v>
      </c>
      <c r="X349" t="s">
        <v>9</v>
      </c>
      <c r="Y349" s="56">
        <f>IF(clean[[#This Row],[is_delivered]]="Yes",clean[[#This Row],[net_sales]],0 )</f>
        <v>75000</v>
      </c>
    </row>
    <row r="350" spans="1:25">
      <c r="A350" t="s">
        <v>1489</v>
      </c>
      <c r="B350" s="9">
        <v>45787</v>
      </c>
      <c r="C350" t="s">
        <v>272</v>
      </c>
      <c r="D350" t="s">
        <v>807</v>
      </c>
      <c r="E350">
        <v>1</v>
      </c>
      <c r="F350" s="56">
        <v>150000</v>
      </c>
      <c r="G350" s="56">
        <v>150000</v>
      </c>
      <c r="H350" t="s">
        <v>872</v>
      </c>
      <c r="I350" s="56">
        <v>0</v>
      </c>
      <c r="J350" s="56">
        <v>15000</v>
      </c>
      <c r="K350" s="56">
        <v>165000</v>
      </c>
      <c r="L350" t="s">
        <v>884</v>
      </c>
      <c r="M350" t="s">
        <v>881</v>
      </c>
      <c r="N350" t="s">
        <v>911</v>
      </c>
      <c r="O350" s="57">
        <v>45778</v>
      </c>
      <c r="P350" t="s">
        <v>892</v>
      </c>
      <c r="Q350" s="56">
        <v>150000</v>
      </c>
      <c r="R350" t="s">
        <v>808</v>
      </c>
      <c r="S350" t="s">
        <v>747</v>
      </c>
      <c r="T350" t="s">
        <v>748</v>
      </c>
      <c r="U350" t="s">
        <v>273</v>
      </c>
      <c r="V350" t="s">
        <v>23</v>
      </c>
      <c r="W350" t="s">
        <v>51</v>
      </c>
      <c r="X350" t="s">
        <v>24</v>
      </c>
      <c r="Y350" s="56">
        <f>IF(clean[[#This Row],[is_delivered]]="Yes",clean[[#This Row],[net_sales]],0 )</f>
        <v>0</v>
      </c>
    </row>
    <row r="351" spans="1:25">
      <c r="A351" t="s">
        <v>1748</v>
      </c>
      <c r="B351" s="9">
        <v>45787</v>
      </c>
      <c r="C351" t="s">
        <v>444</v>
      </c>
      <c r="D351" t="s">
        <v>775</v>
      </c>
      <c r="E351">
        <v>2</v>
      </c>
      <c r="F351" s="56">
        <v>75000</v>
      </c>
      <c r="G351" s="56">
        <v>150000</v>
      </c>
      <c r="H351" t="s">
        <v>879</v>
      </c>
      <c r="I351" s="56">
        <v>30000</v>
      </c>
      <c r="J351" s="56">
        <v>25000</v>
      </c>
      <c r="K351" s="56">
        <v>145000</v>
      </c>
      <c r="L351" t="s">
        <v>873</v>
      </c>
      <c r="M351" t="s">
        <v>881</v>
      </c>
      <c r="N351" t="s">
        <v>911</v>
      </c>
      <c r="O351" s="57">
        <v>45778</v>
      </c>
      <c r="P351" t="s">
        <v>892</v>
      </c>
      <c r="Q351" s="56">
        <v>120000</v>
      </c>
      <c r="R351" t="s">
        <v>776</v>
      </c>
      <c r="S351" t="s">
        <v>731</v>
      </c>
      <c r="T351" t="s">
        <v>732</v>
      </c>
      <c r="U351" t="s">
        <v>445</v>
      </c>
      <c r="V351" t="s">
        <v>23</v>
      </c>
      <c r="W351" t="s">
        <v>20</v>
      </c>
      <c r="X351" t="s">
        <v>9</v>
      </c>
      <c r="Y351" s="56">
        <f>IF(clean[[#This Row],[is_delivered]]="Yes",clean[[#This Row],[net_sales]],0 )</f>
        <v>0</v>
      </c>
    </row>
    <row r="352" spans="1:25">
      <c r="A352" t="s">
        <v>1809</v>
      </c>
      <c r="B352" s="9">
        <v>45787</v>
      </c>
      <c r="C352" t="s">
        <v>584</v>
      </c>
      <c r="D352" t="s">
        <v>755</v>
      </c>
      <c r="E352">
        <v>1</v>
      </c>
      <c r="F352" s="56">
        <v>50000</v>
      </c>
      <c r="G352" s="56">
        <v>50000</v>
      </c>
      <c r="H352" t="s">
        <v>886</v>
      </c>
      <c r="I352" s="56">
        <v>5000</v>
      </c>
      <c r="J352" s="56">
        <v>30000</v>
      </c>
      <c r="K352" s="56">
        <v>75000</v>
      </c>
      <c r="L352" t="s">
        <v>889</v>
      </c>
      <c r="M352" t="s">
        <v>881</v>
      </c>
      <c r="N352" t="s">
        <v>875</v>
      </c>
      <c r="O352" s="57">
        <v>45778</v>
      </c>
      <c r="P352" t="s">
        <v>877</v>
      </c>
      <c r="Q352" s="56">
        <v>45000</v>
      </c>
      <c r="R352" t="s">
        <v>756</v>
      </c>
      <c r="S352" t="s">
        <v>739</v>
      </c>
      <c r="T352" t="s">
        <v>740</v>
      </c>
      <c r="U352" t="s">
        <v>585</v>
      </c>
      <c r="V352" t="s">
        <v>7</v>
      </c>
      <c r="W352" t="s">
        <v>137</v>
      </c>
      <c r="X352" t="s">
        <v>9</v>
      </c>
      <c r="Y352" s="56">
        <f>IF(clean[[#This Row],[is_delivered]]="Yes",clean[[#This Row],[net_sales]],0 )</f>
        <v>45000</v>
      </c>
    </row>
    <row r="353" spans="1:25">
      <c r="A353" t="s">
        <v>2053</v>
      </c>
      <c r="B353" s="9">
        <v>45787</v>
      </c>
      <c r="C353" t="s">
        <v>103</v>
      </c>
      <c r="D353" t="s">
        <v>751</v>
      </c>
      <c r="E353">
        <v>2</v>
      </c>
      <c r="F353" s="56">
        <v>150000</v>
      </c>
      <c r="G353" s="56">
        <v>300000</v>
      </c>
      <c r="H353" t="s">
        <v>872</v>
      </c>
      <c r="I353" s="56">
        <v>0</v>
      </c>
      <c r="J353" s="56">
        <v>15000</v>
      </c>
      <c r="K353" s="56">
        <v>315000</v>
      </c>
      <c r="L353" t="s">
        <v>884</v>
      </c>
      <c r="M353" t="s">
        <v>881</v>
      </c>
      <c r="N353" t="s">
        <v>875</v>
      </c>
      <c r="O353" s="57">
        <v>45778</v>
      </c>
      <c r="P353" t="s">
        <v>877</v>
      </c>
      <c r="Q353" s="56">
        <v>300000</v>
      </c>
      <c r="R353" t="s">
        <v>752</v>
      </c>
      <c r="S353" t="s">
        <v>731</v>
      </c>
      <c r="T353" t="s">
        <v>732</v>
      </c>
      <c r="U353" t="s">
        <v>104</v>
      </c>
      <c r="V353" t="s">
        <v>23</v>
      </c>
      <c r="W353" t="s">
        <v>29</v>
      </c>
      <c r="X353" t="s">
        <v>9</v>
      </c>
      <c r="Y353" s="56">
        <f>IF(clean[[#This Row],[is_delivered]]="Yes",clean[[#This Row],[net_sales]],0 )</f>
        <v>300000</v>
      </c>
    </row>
    <row r="354" spans="1:25">
      <c r="A354" t="s">
        <v>1067</v>
      </c>
      <c r="B354" s="9">
        <v>45786</v>
      </c>
      <c r="C354" t="s">
        <v>578</v>
      </c>
      <c r="D354" t="s">
        <v>849</v>
      </c>
      <c r="E354">
        <v>2</v>
      </c>
      <c r="F354" s="56">
        <v>500000</v>
      </c>
      <c r="G354" s="56">
        <v>1000000</v>
      </c>
      <c r="H354" t="s">
        <v>872</v>
      </c>
      <c r="I354" s="56">
        <v>0</v>
      </c>
      <c r="J354" s="56">
        <v>10000</v>
      </c>
      <c r="K354" s="56">
        <v>1010000</v>
      </c>
      <c r="L354" t="s">
        <v>889</v>
      </c>
      <c r="M354" t="s">
        <v>874</v>
      </c>
      <c r="N354" t="s">
        <v>890</v>
      </c>
      <c r="O354" s="57">
        <v>45778</v>
      </c>
      <c r="P354" t="s">
        <v>892</v>
      </c>
      <c r="Q354" s="56">
        <v>1000000</v>
      </c>
      <c r="R354" t="s">
        <v>850</v>
      </c>
      <c r="S354" t="s">
        <v>735</v>
      </c>
      <c r="T354" t="s">
        <v>736</v>
      </c>
      <c r="U354" t="s">
        <v>579</v>
      </c>
      <c r="V354" t="s">
        <v>23</v>
      </c>
      <c r="W354" t="s">
        <v>56</v>
      </c>
      <c r="X354" t="s">
        <v>24</v>
      </c>
      <c r="Y354" s="56">
        <f>IF(clean[[#This Row],[is_delivered]]="Yes",clean[[#This Row],[net_sales]],0 )</f>
        <v>0</v>
      </c>
    </row>
    <row r="355" spans="1:25">
      <c r="A355" t="s">
        <v>1244</v>
      </c>
      <c r="B355" s="9">
        <v>45786</v>
      </c>
      <c r="C355" t="s">
        <v>410</v>
      </c>
      <c r="D355" t="s">
        <v>759</v>
      </c>
      <c r="E355">
        <v>2</v>
      </c>
      <c r="F355" s="56">
        <v>300000</v>
      </c>
      <c r="G355" s="56">
        <v>600000</v>
      </c>
      <c r="H355" t="s">
        <v>872</v>
      </c>
      <c r="I355" s="56">
        <v>0</v>
      </c>
      <c r="J355" s="56">
        <v>15000</v>
      </c>
      <c r="K355" s="56">
        <v>615000</v>
      </c>
      <c r="L355" t="s">
        <v>884</v>
      </c>
      <c r="M355" t="s">
        <v>901</v>
      </c>
      <c r="N355" t="s">
        <v>875</v>
      </c>
      <c r="O355" s="57">
        <v>45778</v>
      </c>
      <c r="P355" t="s">
        <v>877</v>
      </c>
      <c r="Q355" s="56">
        <v>600000</v>
      </c>
      <c r="R355" t="s">
        <v>760</v>
      </c>
      <c r="S355" t="s">
        <v>747</v>
      </c>
      <c r="T355" t="s">
        <v>748</v>
      </c>
      <c r="U355" t="s">
        <v>411</v>
      </c>
      <c r="V355" t="s">
        <v>7</v>
      </c>
      <c r="W355" t="s">
        <v>46</v>
      </c>
      <c r="X355" t="s">
        <v>9</v>
      </c>
      <c r="Y355" s="56">
        <f>IF(clean[[#This Row],[is_delivered]]="Yes",clean[[#This Row],[net_sales]],0 )</f>
        <v>600000</v>
      </c>
    </row>
    <row r="356" spans="1:25">
      <c r="A356" t="s">
        <v>1308</v>
      </c>
      <c r="B356" s="9">
        <v>45786</v>
      </c>
      <c r="C356" t="s">
        <v>564</v>
      </c>
      <c r="D356" t="s">
        <v>783</v>
      </c>
      <c r="E356">
        <v>1</v>
      </c>
      <c r="F356" s="56">
        <v>500000</v>
      </c>
      <c r="G356" s="56">
        <v>500000</v>
      </c>
      <c r="H356" t="s">
        <v>872</v>
      </c>
      <c r="I356" s="56">
        <v>0</v>
      </c>
      <c r="J356" s="56">
        <v>20000</v>
      </c>
      <c r="K356" s="56">
        <v>520000</v>
      </c>
      <c r="L356" t="s">
        <v>880</v>
      </c>
      <c r="M356" t="s">
        <v>881</v>
      </c>
      <c r="N356" t="s">
        <v>875</v>
      </c>
      <c r="O356" s="57">
        <v>45778</v>
      </c>
      <c r="P356" t="s">
        <v>877</v>
      </c>
      <c r="Q356" s="56">
        <v>500000</v>
      </c>
      <c r="R356" t="s">
        <v>784</v>
      </c>
      <c r="S356" t="s">
        <v>747</v>
      </c>
      <c r="T356" t="s">
        <v>748</v>
      </c>
      <c r="U356" t="s">
        <v>565</v>
      </c>
      <c r="V356" t="s">
        <v>23</v>
      </c>
      <c r="W356" t="s">
        <v>46</v>
      </c>
      <c r="X356" t="s">
        <v>15</v>
      </c>
      <c r="Y356" s="56">
        <f>IF(clean[[#This Row],[is_delivered]]="Yes",clean[[#This Row],[net_sales]],0 )</f>
        <v>500000</v>
      </c>
    </row>
    <row r="357" spans="1:25">
      <c r="A357" t="s">
        <v>1561</v>
      </c>
      <c r="B357" s="9">
        <v>45786</v>
      </c>
      <c r="C357" t="s">
        <v>688</v>
      </c>
      <c r="D357" t="s">
        <v>799</v>
      </c>
      <c r="E357">
        <v>2</v>
      </c>
      <c r="F357" s="56">
        <v>35000</v>
      </c>
      <c r="G357" s="56">
        <v>70000</v>
      </c>
      <c r="H357" t="s">
        <v>895</v>
      </c>
      <c r="I357" s="56">
        <v>10500</v>
      </c>
      <c r="J357" s="56">
        <v>20000</v>
      </c>
      <c r="K357" s="56">
        <v>79500</v>
      </c>
      <c r="L357" t="s">
        <v>889</v>
      </c>
      <c r="M357" t="s">
        <v>874</v>
      </c>
      <c r="N357" t="s">
        <v>875</v>
      </c>
      <c r="O357" s="57">
        <v>45778</v>
      </c>
      <c r="P357" t="s">
        <v>877</v>
      </c>
      <c r="Q357" s="56">
        <v>59500</v>
      </c>
      <c r="R357" t="s">
        <v>800</v>
      </c>
      <c r="S357" t="s">
        <v>731</v>
      </c>
      <c r="T357" t="s">
        <v>732</v>
      </c>
      <c r="U357" t="s">
        <v>689</v>
      </c>
      <c r="V357" t="s">
        <v>7</v>
      </c>
      <c r="W357" t="s">
        <v>46</v>
      </c>
      <c r="X357" t="s">
        <v>24</v>
      </c>
      <c r="Y357" s="56">
        <f>IF(clean[[#This Row],[is_delivered]]="Yes",clean[[#This Row],[net_sales]],0 )</f>
        <v>59500</v>
      </c>
    </row>
    <row r="358" spans="1:25">
      <c r="A358" t="s">
        <v>2035</v>
      </c>
      <c r="B358" s="9">
        <v>45786</v>
      </c>
      <c r="C358" t="s">
        <v>138</v>
      </c>
      <c r="D358" t="s">
        <v>821</v>
      </c>
      <c r="E358">
        <v>2</v>
      </c>
      <c r="F358" s="56">
        <v>50000</v>
      </c>
      <c r="G358" s="56">
        <v>100000</v>
      </c>
      <c r="H358" t="s">
        <v>883</v>
      </c>
      <c r="I358" s="56">
        <v>10000</v>
      </c>
      <c r="J358" s="56">
        <v>30000</v>
      </c>
      <c r="K358" s="56">
        <v>120000</v>
      </c>
      <c r="L358" t="s">
        <v>880</v>
      </c>
      <c r="M358" t="s">
        <v>874</v>
      </c>
      <c r="N358" t="s">
        <v>875</v>
      </c>
      <c r="O358" s="57">
        <v>45778</v>
      </c>
      <c r="P358" t="s">
        <v>877</v>
      </c>
      <c r="Q358" s="56">
        <v>90000</v>
      </c>
      <c r="R358" t="s">
        <v>822</v>
      </c>
      <c r="S358" t="s">
        <v>727</v>
      </c>
      <c r="T358" t="s">
        <v>728</v>
      </c>
      <c r="U358" t="s">
        <v>139</v>
      </c>
      <c r="V358" t="s">
        <v>7</v>
      </c>
      <c r="W358" t="s">
        <v>29</v>
      </c>
      <c r="X358" t="s">
        <v>9</v>
      </c>
      <c r="Y358" s="56">
        <f>IF(clean[[#This Row],[is_delivered]]="Yes",clean[[#This Row],[net_sales]],0 )</f>
        <v>90000</v>
      </c>
    </row>
    <row r="359" spans="1:25">
      <c r="A359" t="s">
        <v>1052</v>
      </c>
      <c r="B359" s="9">
        <v>45785</v>
      </c>
      <c r="C359" t="s">
        <v>476</v>
      </c>
      <c r="D359" t="s">
        <v>829</v>
      </c>
      <c r="E359">
        <v>1</v>
      </c>
      <c r="F359" s="56">
        <v>500000</v>
      </c>
      <c r="G359" s="56">
        <v>500000</v>
      </c>
      <c r="H359" t="s">
        <v>895</v>
      </c>
      <c r="I359" s="56">
        <v>75000</v>
      </c>
      <c r="J359" s="56">
        <v>10000</v>
      </c>
      <c r="K359" s="56">
        <v>435000</v>
      </c>
      <c r="L359" t="s">
        <v>880</v>
      </c>
      <c r="M359" t="s">
        <v>874</v>
      </c>
      <c r="N359" t="s">
        <v>875</v>
      </c>
      <c r="O359" s="57">
        <v>45778</v>
      </c>
      <c r="P359" t="s">
        <v>877</v>
      </c>
      <c r="Q359" s="56">
        <v>425000</v>
      </c>
      <c r="R359" t="s">
        <v>830</v>
      </c>
      <c r="S359" t="s">
        <v>743</v>
      </c>
      <c r="T359" t="s">
        <v>744</v>
      </c>
      <c r="U359" t="s">
        <v>477</v>
      </c>
      <c r="V359" t="s">
        <v>7</v>
      </c>
      <c r="W359" t="s">
        <v>12</v>
      </c>
      <c r="X359" t="s">
        <v>9</v>
      </c>
      <c r="Y359" s="56">
        <f>IF(clean[[#This Row],[is_delivered]]="Yes",clean[[#This Row],[net_sales]],0 )</f>
        <v>425000</v>
      </c>
    </row>
    <row r="360" spans="1:25">
      <c r="A360" t="s">
        <v>1474</v>
      </c>
      <c r="B360" s="9">
        <v>45785</v>
      </c>
      <c r="C360" t="s">
        <v>57</v>
      </c>
      <c r="D360" t="s">
        <v>783</v>
      </c>
      <c r="E360">
        <v>1</v>
      </c>
      <c r="F360" s="56">
        <v>500000</v>
      </c>
      <c r="G360" s="56">
        <v>500000</v>
      </c>
      <c r="H360" t="s">
        <v>872</v>
      </c>
      <c r="I360" s="56">
        <v>0</v>
      </c>
      <c r="J360" s="56">
        <v>20000</v>
      </c>
      <c r="K360" s="56">
        <v>520000</v>
      </c>
      <c r="L360" t="s">
        <v>884</v>
      </c>
      <c r="M360" t="s">
        <v>901</v>
      </c>
      <c r="N360" t="s">
        <v>875</v>
      </c>
      <c r="O360" s="57">
        <v>45778</v>
      </c>
      <c r="P360" t="s">
        <v>877</v>
      </c>
      <c r="Q360" s="56">
        <v>500000</v>
      </c>
      <c r="R360" t="s">
        <v>784</v>
      </c>
      <c r="S360" t="s">
        <v>747</v>
      </c>
      <c r="T360" t="s">
        <v>748</v>
      </c>
      <c r="U360" t="s">
        <v>58</v>
      </c>
      <c r="V360" t="s">
        <v>23</v>
      </c>
      <c r="W360" t="s">
        <v>8</v>
      </c>
      <c r="X360" t="s">
        <v>9</v>
      </c>
      <c r="Y360" s="56">
        <f>IF(clean[[#This Row],[is_delivered]]="Yes",clean[[#This Row],[net_sales]],0 )</f>
        <v>500000</v>
      </c>
    </row>
    <row r="361" spans="1:25">
      <c r="A361" t="s">
        <v>1548</v>
      </c>
      <c r="B361" s="9">
        <v>45785</v>
      </c>
      <c r="C361" t="s">
        <v>376</v>
      </c>
      <c r="D361" t="s">
        <v>777</v>
      </c>
      <c r="E361">
        <v>1</v>
      </c>
      <c r="F361" s="56">
        <v>200000</v>
      </c>
      <c r="G361" s="56">
        <v>200000</v>
      </c>
      <c r="H361" t="s">
        <v>895</v>
      </c>
      <c r="I361" s="56">
        <v>30000</v>
      </c>
      <c r="J361" s="56">
        <v>10000</v>
      </c>
      <c r="K361" s="56">
        <v>180000</v>
      </c>
      <c r="L361" t="s">
        <v>884</v>
      </c>
      <c r="M361" t="s">
        <v>901</v>
      </c>
      <c r="N361" t="s">
        <v>890</v>
      </c>
      <c r="O361" s="57">
        <v>45778</v>
      </c>
      <c r="P361" t="s">
        <v>892</v>
      </c>
      <c r="Q361" s="56">
        <v>170000</v>
      </c>
      <c r="R361" t="s">
        <v>778</v>
      </c>
      <c r="S361" t="s">
        <v>735</v>
      </c>
      <c r="T361" t="s">
        <v>736</v>
      </c>
      <c r="U361" t="s">
        <v>377</v>
      </c>
      <c r="V361" t="s">
        <v>7</v>
      </c>
      <c r="W361" t="s">
        <v>8</v>
      </c>
      <c r="X361" t="s">
        <v>9</v>
      </c>
      <c r="Y361" s="56">
        <f>IF(clean[[#This Row],[is_delivered]]="Yes",clean[[#This Row],[net_sales]],0 )</f>
        <v>0</v>
      </c>
    </row>
    <row r="362" spans="1:25">
      <c r="A362" t="s">
        <v>1632</v>
      </c>
      <c r="B362" s="9">
        <v>45785</v>
      </c>
      <c r="C362" t="s">
        <v>358</v>
      </c>
      <c r="D362" t="s">
        <v>793</v>
      </c>
      <c r="E362">
        <v>4</v>
      </c>
      <c r="F362" s="56">
        <v>500000</v>
      </c>
      <c r="G362" s="56">
        <v>2000000</v>
      </c>
      <c r="H362" t="s">
        <v>895</v>
      </c>
      <c r="I362" s="56">
        <v>300000</v>
      </c>
      <c r="J362" s="56">
        <v>15000</v>
      </c>
      <c r="K362" s="56">
        <v>1715000</v>
      </c>
      <c r="L362" t="s">
        <v>889</v>
      </c>
      <c r="M362" t="s">
        <v>901</v>
      </c>
      <c r="N362" t="s">
        <v>890</v>
      </c>
      <c r="O362" s="57">
        <v>45778</v>
      </c>
      <c r="P362" t="s">
        <v>892</v>
      </c>
      <c r="Q362" s="56">
        <v>1700000</v>
      </c>
      <c r="R362" t="s">
        <v>794</v>
      </c>
      <c r="S362" t="s">
        <v>743</v>
      </c>
      <c r="T362" t="s">
        <v>744</v>
      </c>
      <c r="U362" t="s">
        <v>359</v>
      </c>
      <c r="V362" t="s">
        <v>7</v>
      </c>
      <c r="W362" t="s">
        <v>137</v>
      </c>
      <c r="X362" t="s">
        <v>9</v>
      </c>
      <c r="Y362" s="56">
        <f>IF(clean[[#This Row],[is_delivered]]="Yes",clean[[#This Row],[net_sales]],0 )</f>
        <v>0</v>
      </c>
    </row>
    <row r="363" spans="1:25">
      <c r="A363" t="s">
        <v>1744</v>
      </c>
      <c r="B363" s="9">
        <v>45785</v>
      </c>
      <c r="C363" t="s">
        <v>592</v>
      </c>
      <c r="D363" t="s">
        <v>845</v>
      </c>
      <c r="E363">
        <v>2</v>
      </c>
      <c r="F363" s="56">
        <v>300000</v>
      </c>
      <c r="G363" s="56">
        <v>600000</v>
      </c>
      <c r="H363" t="s">
        <v>872</v>
      </c>
      <c r="I363" s="56">
        <v>0</v>
      </c>
      <c r="J363" s="56">
        <v>20000</v>
      </c>
      <c r="K363" s="56">
        <v>620000</v>
      </c>
      <c r="L363" t="s">
        <v>884</v>
      </c>
      <c r="M363" t="s">
        <v>903</v>
      </c>
      <c r="N363" t="s">
        <v>875</v>
      </c>
      <c r="O363" s="57">
        <v>45778</v>
      </c>
      <c r="P363" t="s">
        <v>877</v>
      </c>
      <c r="Q363" s="56">
        <v>600000</v>
      </c>
      <c r="R363" t="s">
        <v>846</v>
      </c>
      <c r="S363" t="s">
        <v>727</v>
      </c>
      <c r="T363" t="s">
        <v>728</v>
      </c>
      <c r="U363" t="s">
        <v>593</v>
      </c>
      <c r="V363" t="s">
        <v>7</v>
      </c>
      <c r="W363" t="s">
        <v>56</v>
      </c>
      <c r="X363" t="s">
        <v>9</v>
      </c>
      <c r="Y363" s="56">
        <f>IF(clean[[#This Row],[is_delivered]]="Yes",clean[[#This Row],[net_sales]],0 )</f>
        <v>600000</v>
      </c>
    </row>
    <row r="364" spans="1:25">
      <c r="A364" t="s">
        <v>1783</v>
      </c>
      <c r="B364" s="9">
        <v>45785</v>
      </c>
      <c r="C364" t="s">
        <v>438</v>
      </c>
      <c r="D364" t="s">
        <v>795</v>
      </c>
      <c r="E364">
        <v>1</v>
      </c>
      <c r="F364" s="56">
        <v>100000</v>
      </c>
      <c r="G364" s="56">
        <v>100000</v>
      </c>
      <c r="H364" t="s">
        <v>886</v>
      </c>
      <c r="I364" s="56">
        <v>10000</v>
      </c>
      <c r="J364" s="56">
        <v>20000</v>
      </c>
      <c r="K364" s="56">
        <v>110000</v>
      </c>
      <c r="L364" t="s">
        <v>889</v>
      </c>
      <c r="M364" t="s">
        <v>874</v>
      </c>
      <c r="N364" t="s">
        <v>875</v>
      </c>
      <c r="O364" s="57">
        <v>45778</v>
      </c>
      <c r="P364" t="s">
        <v>877</v>
      </c>
      <c r="Q364" s="56">
        <v>90000</v>
      </c>
      <c r="R364" t="s">
        <v>796</v>
      </c>
      <c r="S364" t="s">
        <v>747</v>
      </c>
      <c r="T364" t="s">
        <v>748</v>
      </c>
      <c r="U364" t="s">
        <v>439</v>
      </c>
      <c r="V364" t="s">
        <v>7</v>
      </c>
      <c r="W364" t="s">
        <v>137</v>
      </c>
      <c r="X364" t="s">
        <v>24</v>
      </c>
      <c r="Y364" s="56">
        <f>IF(clean[[#This Row],[is_delivered]]="Yes",clean[[#This Row],[net_sales]],0 )</f>
        <v>90000</v>
      </c>
    </row>
    <row r="365" spans="1:25">
      <c r="A365" t="s">
        <v>1922</v>
      </c>
      <c r="B365" s="9">
        <v>45785</v>
      </c>
      <c r="C365" t="s">
        <v>530</v>
      </c>
      <c r="D365" t="s">
        <v>837</v>
      </c>
      <c r="E365">
        <v>3</v>
      </c>
      <c r="F365" s="56">
        <v>300000</v>
      </c>
      <c r="G365" s="56">
        <v>900000</v>
      </c>
      <c r="H365" t="s">
        <v>872</v>
      </c>
      <c r="I365" s="56">
        <v>0</v>
      </c>
      <c r="J365" s="56">
        <v>15000</v>
      </c>
      <c r="K365" s="56">
        <v>915000</v>
      </c>
      <c r="L365" t="s">
        <v>889</v>
      </c>
      <c r="M365" t="s">
        <v>874</v>
      </c>
      <c r="N365" t="s">
        <v>875</v>
      </c>
      <c r="O365" s="57">
        <v>45778</v>
      </c>
      <c r="P365" t="s">
        <v>877</v>
      </c>
      <c r="Q365" s="56">
        <v>900000</v>
      </c>
      <c r="R365" t="s">
        <v>838</v>
      </c>
      <c r="S365" t="s">
        <v>735</v>
      </c>
      <c r="T365" t="s">
        <v>736</v>
      </c>
      <c r="U365" t="s">
        <v>531</v>
      </c>
      <c r="V365" t="s">
        <v>23</v>
      </c>
      <c r="W365" t="s">
        <v>8</v>
      </c>
      <c r="X365" t="s">
        <v>9</v>
      </c>
      <c r="Y365" s="56">
        <f>IF(clean[[#This Row],[is_delivered]]="Yes",clean[[#This Row],[net_sales]],0 )</f>
        <v>900000</v>
      </c>
    </row>
    <row r="366" spans="1:25">
      <c r="A366" t="s">
        <v>1663</v>
      </c>
      <c r="B366" s="9">
        <v>45784</v>
      </c>
      <c r="C366" t="s">
        <v>178</v>
      </c>
      <c r="D366" t="s">
        <v>749</v>
      </c>
      <c r="E366">
        <v>1</v>
      </c>
      <c r="F366" s="56">
        <v>150000</v>
      </c>
      <c r="G366" s="56">
        <v>150000</v>
      </c>
      <c r="H366" t="s">
        <v>872</v>
      </c>
      <c r="I366" s="56">
        <v>0</v>
      </c>
      <c r="J366" s="56">
        <v>30000</v>
      </c>
      <c r="K366" s="56">
        <v>180000</v>
      </c>
      <c r="L366" t="s">
        <v>884</v>
      </c>
      <c r="M366" t="s">
        <v>874</v>
      </c>
      <c r="N366" t="s">
        <v>875</v>
      </c>
      <c r="O366" s="57">
        <v>45778</v>
      </c>
      <c r="P366" t="s">
        <v>877</v>
      </c>
      <c r="Q366" s="56">
        <v>150000</v>
      </c>
      <c r="R366" t="s">
        <v>750</v>
      </c>
      <c r="S366" t="s">
        <v>727</v>
      </c>
      <c r="T366" t="s">
        <v>728</v>
      </c>
      <c r="U366" t="s">
        <v>179</v>
      </c>
      <c r="V366" t="s">
        <v>7</v>
      </c>
      <c r="W366" t="s">
        <v>137</v>
      </c>
      <c r="X366" t="s">
        <v>24</v>
      </c>
      <c r="Y366" s="56">
        <f>IF(clean[[#This Row],[is_delivered]]="Yes",clean[[#This Row],[net_sales]],0 )</f>
        <v>150000</v>
      </c>
    </row>
    <row r="367" spans="1:25">
      <c r="A367" t="s">
        <v>1731</v>
      </c>
      <c r="B367" s="9">
        <v>45784</v>
      </c>
      <c r="C367" t="s">
        <v>404</v>
      </c>
      <c r="D367" t="s">
        <v>837</v>
      </c>
      <c r="E367">
        <v>3</v>
      </c>
      <c r="F367" s="56">
        <v>300000</v>
      </c>
      <c r="G367" s="56">
        <v>900000</v>
      </c>
      <c r="H367" t="s">
        <v>872</v>
      </c>
      <c r="I367" s="56">
        <v>0</v>
      </c>
      <c r="J367" s="56">
        <v>30000</v>
      </c>
      <c r="K367" s="56">
        <v>930000</v>
      </c>
      <c r="L367" t="s">
        <v>884</v>
      </c>
      <c r="M367" t="s">
        <v>901</v>
      </c>
      <c r="N367" t="s">
        <v>875</v>
      </c>
      <c r="O367" s="57">
        <v>45778</v>
      </c>
      <c r="P367" t="s">
        <v>877</v>
      </c>
      <c r="Q367" s="56">
        <v>900000</v>
      </c>
      <c r="R367" t="s">
        <v>838</v>
      </c>
      <c r="S367" t="s">
        <v>735</v>
      </c>
      <c r="T367" t="s">
        <v>736</v>
      </c>
      <c r="U367" t="s">
        <v>405</v>
      </c>
      <c r="V367" t="s">
        <v>23</v>
      </c>
      <c r="W367" t="s">
        <v>39</v>
      </c>
      <c r="X367" t="s">
        <v>15</v>
      </c>
      <c r="Y367" s="56">
        <f>IF(clean[[#This Row],[is_delivered]]="Yes",clean[[#This Row],[net_sales]],0 )</f>
        <v>900000</v>
      </c>
    </row>
    <row r="368" spans="1:25">
      <c r="A368" t="s">
        <v>1206</v>
      </c>
      <c r="B368" s="9">
        <v>45783</v>
      </c>
      <c r="C368" t="s">
        <v>111</v>
      </c>
      <c r="D368" t="s">
        <v>843</v>
      </c>
      <c r="E368">
        <v>2</v>
      </c>
      <c r="F368" s="56">
        <v>100000</v>
      </c>
      <c r="G368" s="56">
        <v>200000</v>
      </c>
      <c r="H368" t="s">
        <v>886</v>
      </c>
      <c r="I368" s="56">
        <v>20000</v>
      </c>
      <c r="J368" s="56">
        <v>10000</v>
      </c>
      <c r="K368" s="56">
        <v>190000</v>
      </c>
      <c r="L368" t="s">
        <v>873</v>
      </c>
      <c r="M368" t="s">
        <v>901</v>
      </c>
      <c r="N368" t="s">
        <v>921</v>
      </c>
      <c r="O368" s="57">
        <v>45778</v>
      </c>
      <c r="P368" t="s">
        <v>892</v>
      </c>
      <c r="Q368" s="56">
        <v>180000</v>
      </c>
      <c r="R368" t="s">
        <v>844</v>
      </c>
      <c r="S368" t="s">
        <v>747</v>
      </c>
      <c r="T368" t="s">
        <v>748</v>
      </c>
      <c r="U368" t="s">
        <v>112</v>
      </c>
      <c r="V368" t="s">
        <v>23</v>
      </c>
      <c r="W368" t="s">
        <v>51</v>
      </c>
      <c r="X368" t="s">
        <v>15</v>
      </c>
      <c r="Y368" s="56">
        <f>IF(clean[[#This Row],[is_delivered]]="Yes",clean[[#This Row],[net_sales]],0 )</f>
        <v>0</v>
      </c>
    </row>
    <row r="369" spans="1:25">
      <c r="A369" t="s">
        <v>954</v>
      </c>
      <c r="B369" s="9">
        <v>45783</v>
      </c>
      <c r="C369" t="s">
        <v>490</v>
      </c>
      <c r="D369" t="s">
        <v>847</v>
      </c>
      <c r="E369">
        <v>2</v>
      </c>
      <c r="F369" s="56">
        <v>100000</v>
      </c>
      <c r="G369" s="56">
        <v>200000</v>
      </c>
      <c r="H369" t="s">
        <v>886</v>
      </c>
      <c r="I369" s="56">
        <v>20000</v>
      </c>
      <c r="J369" s="56">
        <v>20000</v>
      </c>
      <c r="K369" s="56">
        <v>200000</v>
      </c>
      <c r="L369" t="s">
        <v>880</v>
      </c>
      <c r="M369" t="s">
        <v>901</v>
      </c>
      <c r="N369" t="s">
        <v>890</v>
      </c>
      <c r="O369" s="57">
        <v>45778</v>
      </c>
      <c r="P369" t="s">
        <v>892</v>
      </c>
      <c r="Q369" s="56">
        <v>180000</v>
      </c>
      <c r="R369" t="s">
        <v>848</v>
      </c>
      <c r="S369" t="s">
        <v>731</v>
      </c>
      <c r="T369" t="s">
        <v>732</v>
      </c>
      <c r="U369" t="s">
        <v>491</v>
      </c>
      <c r="V369" t="s">
        <v>23</v>
      </c>
      <c r="W369" t="s">
        <v>39</v>
      </c>
      <c r="X369" t="s">
        <v>9</v>
      </c>
      <c r="Y369" s="56">
        <f>IF(clean[[#This Row],[is_delivered]]="Yes",clean[[#This Row],[net_sales]],0 )</f>
        <v>0</v>
      </c>
    </row>
    <row r="370" spans="1:25">
      <c r="A370" t="s">
        <v>959</v>
      </c>
      <c r="B370" s="9">
        <v>45783</v>
      </c>
      <c r="C370" t="s">
        <v>490</v>
      </c>
      <c r="D370" t="s">
        <v>775</v>
      </c>
      <c r="E370">
        <v>2</v>
      </c>
      <c r="F370" s="56">
        <v>75000</v>
      </c>
      <c r="G370" s="56">
        <v>150000</v>
      </c>
      <c r="H370" t="s">
        <v>872</v>
      </c>
      <c r="I370" s="56">
        <v>0</v>
      </c>
      <c r="J370" s="56">
        <v>30000</v>
      </c>
      <c r="K370" s="56">
        <v>180000</v>
      </c>
      <c r="L370" t="s">
        <v>889</v>
      </c>
      <c r="M370" t="s">
        <v>874</v>
      </c>
      <c r="N370" t="s">
        <v>875</v>
      </c>
      <c r="O370" s="57">
        <v>45778</v>
      </c>
      <c r="P370" t="s">
        <v>877</v>
      </c>
      <c r="Q370" s="56">
        <v>150000</v>
      </c>
      <c r="R370" t="s">
        <v>776</v>
      </c>
      <c r="S370" t="s">
        <v>731</v>
      </c>
      <c r="T370" t="s">
        <v>732</v>
      </c>
      <c r="U370" t="s">
        <v>491</v>
      </c>
      <c r="V370" t="s">
        <v>23</v>
      </c>
      <c r="W370" t="s">
        <v>39</v>
      </c>
      <c r="X370" t="s">
        <v>9</v>
      </c>
      <c r="Y370" s="56">
        <f>IF(clean[[#This Row],[is_delivered]]="Yes",clean[[#This Row],[net_sales]],0 )</f>
        <v>150000</v>
      </c>
    </row>
    <row r="371" spans="1:25">
      <c r="A371" t="s">
        <v>1211</v>
      </c>
      <c r="B371" s="9">
        <v>45783</v>
      </c>
      <c r="C371" t="s">
        <v>644</v>
      </c>
      <c r="D371" t="s">
        <v>769</v>
      </c>
      <c r="E371">
        <v>1</v>
      </c>
      <c r="F371" s="56">
        <v>100000</v>
      </c>
      <c r="G371" s="56">
        <v>100000</v>
      </c>
      <c r="H371" t="s">
        <v>872</v>
      </c>
      <c r="I371" s="56">
        <v>0</v>
      </c>
      <c r="J371" s="56">
        <v>25000</v>
      </c>
      <c r="K371" s="56">
        <v>125000</v>
      </c>
      <c r="L371" t="s">
        <v>889</v>
      </c>
      <c r="M371" t="s">
        <v>901</v>
      </c>
      <c r="N371" t="s">
        <v>905</v>
      </c>
      <c r="O371" s="57">
        <v>45778</v>
      </c>
      <c r="P371" t="s">
        <v>892</v>
      </c>
      <c r="Q371" s="56">
        <v>100000</v>
      </c>
      <c r="R371" t="s">
        <v>770</v>
      </c>
      <c r="S371" t="s">
        <v>743</v>
      </c>
      <c r="T371" t="s">
        <v>744</v>
      </c>
      <c r="U371" t="s">
        <v>645</v>
      </c>
      <c r="V371" t="s">
        <v>23</v>
      </c>
      <c r="W371" t="s">
        <v>8</v>
      </c>
      <c r="X371" t="s">
        <v>24</v>
      </c>
      <c r="Y371" s="56">
        <f>IF(clean[[#This Row],[is_delivered]]="Yes",clean[[#This Row],[net_sales]],0 )</f>
        <v>0</v>
      </c>
    </row>
    <row r="372" spans="1:25">
      <c r="A372" t="s">
        <v>1518</v>
      </c>
      <c r="B372" s="9">
        <v>45783</v>
      </c>
      <c r="C372" t="s">
        <v>95</v>
      </c>
      <c r="D372" t="s">
        <v>783</v>
      </c>
      <c r="E372">
        <v>1</v>
      </c>
      <c r="F372" s="56">
        <v>500000</v>
      </c>
      <c r="G372" s="56">
        <v>500000</v>
      </c>
      <c r="H372" t="s">
        <v>886</v>
      </c>
      <c r="I372" s="56">
        <v>50000</v>
      </c>
      <c r="J372" s="56">
        <v>25000</v>
      </c>
      <c r="K372" s="56">
        <v>475000</v>
      </c>
      <c r="L372" t="s">
        <v>889</v>
      </c>
      <c r="M372" t="s">
        <v>901</v>
      </c>
      <c r="N372" t="s">
        <v>875</v>
      </c>
      <c r="O372" s="57">
        <v>45778</v>
      </c>
      <c r="P372" t="s">
        <v>877</v>
      </c>
      <c r="Q372" s="56">
        <v>450000</v>
      </c>
      <c r="R372" t="s">
        <v>784</v>
      </c>
      <c r="S372" t="s">
        <v>747</v>
      </c>
      <c r="T372" t="s">
        <v>748</v>
      </c>
      <c r="U372" t="s">
        <v>96</v>
      </c>
      <c r="V372" t="s">
        <v>23</v>
      </c>
      <c r="W372" t="s">
        <v>8</v>
      </c>
      <c r="X372" t="s">
        <v>24</v>
      </c>
      <c r="Y372" s="56">
        <f>IF(clean[[#This Row],[is_delivered]]="Yes",clean[[#This Row],[net_sales]],0 )</f>
        <v>450000</v>
      </c>
    </row>
    <row r="373" spans="1:25">
      <c r="A373" t="s">
        <v>1789</v>
      </c>
      <c r="B373" s="9">
        <v>45783</v>
      </c>
      <c r="C373" t="s">
        <v>428</v>
      </c>
      <c r="D373" t="s">
        <v>851</v>
      </c>
      <c r="E373">
        <v>1</v>
      </c>
      <c r="F373" s="56">
        <v>35000</v>
      </c>
      <c r="G373" s="56">
        <v>35000</v>
      </c>
      <c r="H373" t="s">
        <v>872</v>
      </c>
      <c r="I373" s="56">
        <v>0</v>
      </c>
      <c r="J373" s="56">
        <v>10000</v>
      </c>
      <c r="K373" s="56">
        <v>45000</v>
      </c>
      <c r="L373" t="s">
        <v>873</v>
      </c>
      <c r="M373" t="s">
        <v>874</v>
      </c>
      <c r="N373" t="s">
        <v>905</v>
      </c>
      <c r="O373" s="57">
        <v>45778</v>
      </c>
      <c r="P373" t="s">
        <v>892</v>
      </c>
      <c r="Q373" s="56">
        <v>35000</v>
      </c>
      <c r="R373" t="s">
        <v>852</v>
      </c>
      <c r="S373" t="s">
        <v>739</v>
      </c>
      <c r="T373" t="s">
        <v>740</v>
      </c>
      <c r="U373" t="s">
        <v>429</v>
      </c>
      <c r="V373" t="s">
        <v>7</v>
      </c>
      <c r="W373" t="s">
        <v>8</v>
      </c>
      <c r="X373" t="s">
        <v>9</v>
      </c>
      <c r="Y373" s="56">
        <f>IF(clean[[#This Row],[is_delivered]]="Yes",clean[[#This Row],[net_sales]],0 )</f>
        <v>0</v>
      </c>
    </row>
    <row r="374" spans="1:25">
      <c r="A374" t="s">
        <v>1921</v>
      </c>
      <c r="B374" s="9">
        <v>45783</v>
      </c>
      <c r="C374" t="s">
        <v>430</v>
      </c>
      <c r="D374" t="s">
        <v>817</v>
      </c>
      <c r="E374">
        <v>3</v>
      </c>
      <c r="F374" s="56">
        <v>75000</v>
      </c>
      <c r="G374" s="56">
        <v>225000</v>
      </c>
      <c r="H374" t="s">
        <v>886</v>
      </c>
      <c r="I374" s="56">
        <v>22500</v>
      </c>
      <c r="J374" s="56">
        <v>30000</v>
      </c>
      <c r="K374" s="56">
        <v>232500</v>
      </c>
      <c r="L374" t="s">
        <v>873</v>
      </c>
      <c r="M374" t="s">
        <v>881</v>
      </c>
      <c r="N374" t="s">
        <v>875</v>
      </c>
      <c r="O374" s="57">
        <v>45778</v>
      </c>
      <c r="P374" t="s">
        <v>877</v>
      </c>
      <c r="Q374" s="56">
        <v>202500</v>
      </c>
      <c r="R374" t="s">
        <v>818</v>
      </c>
      <c r="S374" t="s">
        <v>743</v>
      </c>
      <c r="T374" t="s">
        <v>744</v>
      </c>
      <c r="U374" t="s">
        <v>431</v>
      </c>
      <c r="V374" t="s">
        <v>23</v>
      </c>
      <c r="W374" t="s">
        <v>56</v>
      </c>
      <c r="X374" t="s">
        <v>9</v>
      </c>
      <c r="Y374" s="56">
        <f>IF(clean[[#This Row],[is_delivered]]="Yes",clean[[#This Row],[net_sales]],0 )</f>
        <v>202500</v>
      </c>
    </row>
    <row r="375" spans="1:25">
      <c r="A375" t="s">
        <v>992</v>
      </c>
      <c r="B375" s="9">
        <v>45782</v>
      </c>
      <c r="C375" t="s">
        <v>222</v>
      </c>
      <c r="D375" t="s">
        <v>827</v>
      </c>
      <c r="E375">
        <v>2</v>
      </c>
      <c r="F375" s="56">
        <v>100000</v>
      </c>
      <c r="G375" s="56">
        <v>200000</v>
      </c>
      <c r="H375" t="s">
        <v>883</v>
      </c>
      <c r="I375" s="56">
        <v>20000</v>
      </c>
      <c r="J375" s="56">
        <v>20000</v>
      </c>
      <c r="K375" s="56">
        <v>200000</v>
      </c>
      <c r="L375" t="s">
        <v>880</v>
      </c>
      <c r="M375" t="s">
        <v>903</v>
      </c>
      <c r="N375" t="s">
        <v>875</v>
      </c>
      <c r="O375" s="57">
        <v>45778</v>
      </c>
      <c r="P375" t="s">
        <v>877</v>
      </c>
      <c r="Q375" s="56">
        <v>180000</v>
      </c>
      <c r="R375" t="s">
        <v>828</v>
      </c>
      <c r="S375" t="s">
        <v>739</v>
      </c>
      <c r="T375" t="s">
        <v>740</v>
      </c>
      <c r="U375" t="s">
        <v>223</v>
      </c>
      <c r="V375" t="s">
        <v>7</v>
      </c>
      <c r="W375" t="s">
        <v>137</v>
      </c>
      <c r="X375" t="s">
        <v>9</v>
      </c>
      <c r="Y375" s="56">
        <f>IF(clean[[#This Row],[is_delivered]]="Yes",clean[[#This Row],[net_sales]],0 )</f>
        <v>180000</v>
      </c>
    </row>
    <row r="376" spans="1:25">
      <c r="A376" t="s">
        <v>1275</v>
      </c>
      <c r="B376" s="9">
        <v>45782</v>
      </c>
      <c r="C376" t="s">
        <v>530</v>
      </c>
      <c r="D376" t="s">
        <v>811</v>
      </c>
      <c r="E376">
        <v>1</v>
      </c>
      <c r="F376" s="56">
        <v>35000</v>
      </c>
      <c r="G376" s="56">
        <v>35000</v>
      </c>
      <c r="H376" t="s">
        <v>883</v>
      </c>
      <c r="I376" s="56">
        <v>3500</v>
      </c>
      <c r="J376" s="56">
        <v>30000</v>
      </c>
      <c r="K376" s="56">
        <v>61500</v>
      </c>
      <c r="L376" t="s">
        <v>884</v>
      </c>
      <c r="M376" t="s">
        <v>881</v>
      </c>
      <c r="N376" t="s">
        <v>921</v>
      </c>
      <c r="O376" s="57">
        <v>45778</v>
      </c>
      <c r="P376" t="s">
        <v>892</v>
      </c>
      <c r="Q376" s="56">
        <v>31500</v>
      </c>
      <c r="R376" t="s">
        <v>812</v>
      </c>
      <c r="S376" t="s">
        <v>731</v>
      </c>
      <c r="T376" t="s">
        <v>732</v>
      </c>
      <c r="U376" t="s">
        <v>531</v>
      </c>
      <c r="V376" t="s">
        <v>23</v>
      </c>
      <c r="W376" t="s">
        <v>8</v>
      </c>
      <c r="X376" t="s">
        <v>9</v>
      </c>
      <c r="Y376" s="56">
        <f>IF(clean[[#This Row],[is_delivered]]="Yes",clean[[#This Row],[net_sales]],0 )</f>
        <v>0</v>
      </c>
    </row>
    <row r="377" spans="1:25">
      <c r="A377" t="s">
        <v>1295</v>
      </c>
      <c r="B377" s="9">
        <v>45782</v>
      </c>
      <c r="C377" t="s">
        <v>40</v>
      </c>
      <c r="D377" t="s">
        <v>799</v>
      </c>
      <c r="E377">
        <v>2</v>
      </c>
      <c r="F377" s="56">
        <v>35000</v>
      </c>
      <c r="G377" s="56">
        <v>70000</v>
      </c>
      <c r="H377" t="s">
        <v>895</v>
      </c>
      <c r="I377" s="56">
        <v>10500</v>
      </c>
      <c r="J377" s="56">
        <v>15000</v>
      </c>
      <c r="K377" s="56">
        <v>74500</v>
      </c>
      <c r="L377" t="s">
        <v>880</v>
      </c>
      <c r="M377" t="s">
        <v>881</v>
      </c>
      <c r="N377" t="s">
        <v>875</v>
      </c>
      <c r="O377" s="57">
        <v>45778</v>
      </c>
      <c r="P377" t="s">
        <v>877</v>
      </c>
      <c r="Q377" s="56">
        <v>59500</v>
      </c>
      <c r="R377" t="s">
        <v>800</v>
      </c>
      <c r="S377" t="s">
        <v>731</v>
      </c>
      <c r="T377" t="s">
        <v>732</v>
      </c>
      <c r="U377" t="s">
        <v>41</v>
      </c>
      <c r="V377" t="s">
        <v>7</v>
      </c>
      <c r="W377" t="s">
        <v>36</v>
      </c>
      <c r="X377" t="s">
        <v>15</v>
      </c>
      <c r="Y377" s="56">
        <f>IF(clean[[#This Row],[is_delivered]]="Yes",clean[[#This Row],[net_sales]],0 )</f>
        <v>59500</v>
      </c>
    </row>
    <row r="378" spans="1:25">
      <c r="A378" t="s">
        <v>1332</v>
      </c>
      <c r="B378" s="9">
        <v>45782</v>
      </c>
      <c r="C378" t="s">
        <v>458</v>
      </c>
      <c r="D378" t="s">
        <v>851</v>
      </c>
      <c r="E378">
        <v>3</v>
      </c>
      <c r="F378" s="56">
        <v>35000</v>
      </c>
      <c r="G378" s="56">
        <v>105000</v>
      </c>
      <c r="H378" t="s">
        <v>872</v>
      </c>
      <c r="I378" s="56">
        <v>0</v>
      </c>
      <c r="J378" s="56">
        <v>15000</v>
      </c>
      <c r="K378" s="56">
        <v>120000</v>
      </c>
      <c r="L378" t="s">
        <v>880</v>
      </c>
      <c r="M378" t="s">
        <v>901</v>
      </c>
      <c r="N378" t="s">
        <v>875</v>
      </c>
      <c r="O378" s="57">
        <v>45778</v>
      </c>
      <c r="P378" t="s">
        <v>877</v>
      </c>
      <c r="Q378" s="56">
        <v>105000</v>
      </c>
      <c r="R378" t="s">
        <v>852</v>
      </c>
      <c r="S378" t="s">
        <v>739</v>
      </c>
      <c r="T378" t="s">
        <v>740</v>
      </c>
      <c r="U378" t="s">
        <v>459</v>
      </c>
      <c r="V378" t="s">
        <v>23</v>
      </c>
      <c r="W378" t="s">
        <v>20</v>
      </c>
      <c r="X378" t="s">
        <v>15</v>
      </c>
      <c r="Y378" s="56">
        <f>IF(clean[[#This Row],[is_delivered]]="Yes",clean[[#This Row],[net_sales]],0 )</f>
        <v>105000</v>
      </c>
    </row>
    <row r="379" spans="1:25">
      <c r="A379" t="s">
        <v>1344</v>
      </c>
      <c r="B379" s="9">
        <v>45782</v>
      </c>
      <c r="C379" t="s">
        <v>644</v>
      </c>
      <c r="D379" t="s">
        <v>767</v>
      </c>
      <c r="E379">
        <v>1</v>
      </c>
      <c r="F379" s="56">
        <v>150000</v>
      </c>
      <c r="G379" s="56">
        <v>150000</v>
      </c>
      <c r="H379" t="s">
        <v>895</v>
      </c>
      <c r="I379" s="56">
        <v>22500</v>
      </c>
      <c r="J379" s="56">
        <v>30000</v>
      </c>
      <c r="K379" s="56">
        <v>157500</v>
      </c>
      <c r="L379" t="s">
        <v>884</v>
      </c>
      <c r="M379" t="s">
        <v>903</v>
      </c>
      <c r="N379" t="s">
        <v>875</v>
      </c>
      <c r="O379" s="57">
        <v>45778</v>
      </c>
      <c r="P379" t="s">
        <v>877</v>
      </c>
      <c r="Q379" s="56">
        <v>127500</v>
      </c>
      <c r="R379" t="s">
        <v>768</v>
      </c>
      <c r="S379" t="s">
        <v>739</v>
      </c>
      <c r="T379" t="s">
        <v>740</v>
      </c>
      <c r="U379" t="s">
        <v>645</v>
      </c>
      <c r="V379" t="s">
        <v>23</v>
      </c>
      <c r="W379" t="s">
        <v>8</v>
      </c>
      <c r="X379" t="s">
        <v>24</v>
      </c>
      <c r="Y379" s="56">
        <f>IF(clean[[#This Row],[is_delivered]]="Yes",clean[[#This Row],[net_sales]],0 )</f>
        <v>127500</v>
      </c>
    </row>
    <row r="380" spans="1:25">
      <c r="A380" t="s">
        <v>1587</v>
      </c>
      <c r="B380" s="9">
        <v>45782</v>
      </c>
      <c r="C380" t="s">
        <v>376</v>
      </c>
      <c r="D380" t="s">
        <v>813</v>
      </c>
      <c r="E380">
        <v>2</v>
      </c>
      <c r="F380" s="56">
        <v>35000</v>
      </c>
      <c r="G380" s="56">
        <v>70000</v>
      </c>
      <c r="H380" t="s">
        <v>879</v>
      </c>
      <c r="I380" s="56">
        <v>14000</v>
      </c>
      <c r="J380" s="56">
        <v>10000</v>
      </c>
      <c r="K380" s="56">
        <v>66000</v>
      </c>
      <c r="L380" t="s">
        <v>873</v>
      </c>
      <c r="M380" t="s">
        <v>901</v>
      </c>
      <c r="N380" t="s">
        <v>875</v>
      </c>
      <c r="O380" s="57">
        <v>45778</v>
      </c>
      <c r="P380" t="s">
        <v>877</v>
      </c>
      <c r="Q380" s="56">
        <v>56000</v>
      </c>
      <c r="R380" t="s">
        <v>814</v>
      </c>
      <c r="S380" t="s">
        <v>735</v>
      </c>
      <c r="T380" t="s">
        <v>736</v>
      </c>
      <c r="U380" t="s">
        <v>377</v>
      </c>
      <c r="V380" t="s">
        <v>7</v>
      </c>
      <c r="W380" t="s">
        <v>8</v>
      </c>
      <c r="X380" t="s">
        <v>9</v>
      </c>
      <c r="Y380" s="56">
        <f>IF(clean[[#This Row],[is_delivered]]="Yes",clean[[#This Row],[net_sales]],0 )</f>
        <v>56000</v>
      </c>
    </row>
    <row r="381" spans="1:25">
      <c r="A381" t="s">
        <v>1884</v>
      </c>
      <c r="B381" s="9">
        <v>45782</v>
      </c>
      <c r="C381" t="s">
        <v>264</v>
      </c>
      <c r="D381" t="s">
        <v>801</v>
      </c>
      <c r="E381">
        <v>1</v>
      </c>
      <c r="F381" s="56">
        <v>100000</v>
      </c>
      <c r="G381" s="56">
        <v>100000</v>
      </c>
      <c r="H381" t="s">
        <v>895</v>
      </c>
      <c r="I381" s="56">
        <v>15000</v>
      </c>
      <c r="J381" s="56">
        <v>15000</v>
      </c>
      <c r="K381" s="56">
        <v>100000</v>
      </c>
      <c r="L381" t="s">
        <v>880</v>
      </c>
      <c r="M381" t="s">
        <v>901</v>
      </c>
      <c r="N381" t="s">
        <v>875</v>
      </c>
      <c r="O381" s="57">
        <v>45778</v>
      </c>
      <c r="P381" t="s">
        <v>877</v>
      </c>
      <c r="Q381" s="56">
        <v>85000</v>
      </c>
      <c r="R381" t="s">
        <v>802</v>
      </c>
      <c r="S381" t="s">
        <v>735</v>
      </c>
      <c r="T381" t="s">
        <v>736</v>
      </c>
      <c r="U381" t="s">
        <v>265</v>
      </c>
      <c r="V381" t="s">
        <v>23</v>
      </c>
      <c r="W381" t="s">
        <v>20</v>
      </c>
      <c r="X381" t="s">
        <v>9</v>
      </c>
      <c r="Y381" s="56">
        <f>IF(clean[[#This Row],[is_delivered]]="Yes",clean[[#This Row],[net_sales]],0 )</f>
        <v>85000</v>
      </c>
    </row>
    <row r="382" spans="1:25">
      <c r="A382" t="s">
        <v>1965</v>
      </c>
      <c r="B382" s="9">
        <v>45782</v>
      </c>
      <c r="C382" t="s">
        <v>486</v>
      </c>
      <c r="D382" t="s">
        <v>837</v>
      </c>
      <c r="E382">
        <v>1</v>
      </c>
      <c r="F382" s="56">
        <v>300000</v>
      </c>
      <c r="G382" s="56">
        <v>300000</v>
      </c>
      <c r="H382" t="s">
        <v>872</v>
      </c>
      <c r="I382" s="56">
        <v>0</v>
      </c>
      <c r="J382" s="56">
        <v>20000</v>
      </c>
      <c r="K382" s="56">
        <v>320000</v>
      </c>
      <c r="L382" t="s">
        <v>880</v>
      </c>
      <c r="M382" t="s">
        <v>903</v>
      </c>
      <c r="N382" t="s">
        <v>875</v>
      </c>
      <c r="O382" s="57">
        <v>45778</v>
      </c>
      <c r="P382" t="s">
        <v>877</v>
      </c>
      <c r="Q382" s="56">
        <v>300000</v>
      </c>
      <c r="R382" t="s">
        <v>838</v>
      </c>
      <c r="S382" t="s">
        <v>735</v>
      </c>
      <c r="T382" t="s">
        <v>736</v>
      </c>
      <c r="U382" t="s">
        <v>487</v>
      </c>
      <c r="V382" t="s">
        <v>23</v>
      </c>
      <c r="W382" t="s">
        <v>36</v>
      </c>
      <c r="X382" t="s">
        <v>24</v>
      </c>
      <c r="Y382" s="56">
        <f>IF(clean[[#This Row],[is_delivered]]="Yes",clean[[#This Row],[net_sales]],0 )</f>
        <v>300000</v>
      </c>
    </row>
    <row r="383" spans="1:25">
      <c r="A383" t="s">
        <v>1225</v>
      </c>
      <c r="B383" s="9">
        <v>45781</v>
      </c>
      <c r="C383" t="s">
        <v>578</v>
      </c>
      <c r="D383" t="s">
        <v>755</v>
      </c>
      <c r="E383">
        <v>3</v>
      </c>
      <c r="F383" s="56">
        <v>50000</v>
      </c>
      <c r="G383" s="56">
        <v>150000</v>
      </c>
      <c r="H383" t="s">
        <v>872</v>
      </c>
      <c r="I383" s="56">
        <v>0</v>
      </c>
      <c r="J383" s="56">
        <v>25000</v>
      </c>
      <c r="K383" s="56">
        <v>175000</v>
      </c>
      <c r="L383" t="s">
        <v>873</v>
      </c>
      <c r="M383" t="s">
        <v>881</v>
      </c>
      <c r="N383" t="s">
        <v>921</v>
      </c>
      <c r="O383" s="57">
        <v>45778</v>
      </c>
      <c r="P383" t="s">
        <v>892</v>
      </c>
      <c r="Q383" s="56">
        <v>150000</v>
      </c>
      <c r="R383" t="s">
        <v>756</v>
      </c>
      <c r="S383" t="s">
        <v>739</v>
      </c>
      <c r="T383" t="s">
        <v>740</v>
      </c>
      <c r="U383" t="s">
        <v>579</v>
      </c>
      <c r="V383" t="s">
        <v>23</v>
      </c>
      <c r="W383" t="s">
        <v>56</v>
      </c>
      <c r="X383" t="s">
        <v>24</v>
      </c>
      <c r="Y383" s="56">
        <f>IF(clean[[#This Row],[is_delivered]]="Yes",clean[[#This Row],[net_sales]],0 )</f>
        <v>0</v>
      </c>
    </row>
    <row r="384" spans="1:25">
      <c r="A384" t="s">
        <v>1257</v>
      </c>
      <c r="B384" s="9">
        <v>45781</v>
      </c>
      <c r="C384" t="s">
        <v>306</v>
      </c>
      <c r="D384" t="s">
        <v>785</v>
      </c>
      <c r="E384">
        <v>3</v>
      </c>
      <c r="F384" s="56">
        <v>100000</v>
      </c>
      <c r="G384" s="56">
        <v>300000</v>
      </c>
      <c r="H384" t="s">
        <v>886</v>
      </c>
      <c r="I384" s="56">
        <v>30000</v>
      </c>
      <c r="J384" s="56">
        <v>10000</v>
      </c>
      <c r="K384" s="56">
        <v>280000</v>
      </c>
      <c r="L384" t="s">
        <v>884</v>
      </c>
      <c r="M384" t="s">
        <v>901</v>
      </c>
      <c r="N384" t="s">
        <v>890</v>
      </c>
      <c r="O384" s="57">
        <v>45778</v>
      </c>
      <c r="P384" t="s">
        <v>892</v>
      </c>
      <c r="Q384" s="56">
        <v>270000</v>
      </c>
      <c r="R384" t="s">
        <v>786</v>
      </c>
      <c r="S384" t="s">
        <v>727</v>
      </c>
      <c r="T384" t="s">
        <v>728</v>
      </c>
      <c r="U384" t="s">
        <v>307</v>
      </c>
      <c r="V384" t="s">
        <v>7</v>
      </c>
      <c r="W384" t="s">
        <v>12</v>
      </c>
      <c r="X384" t="s">
        <v>9</v>
      </c>
      <c r="Y384" s="56">
        <f>IF(clean[[#This Row],[is_delivered]]="Yes",clean[[#This Row],[net_sales]],0 )</f>
        <v>0</v>
      </c>
    </row>
    <row r="385" spans="1:25">
      <c r="A385" t="s">
        <v>1151</v>
      </c>
      <c r="B385" s="9">
        <v>45780</v>
      </c>
      <c r="C385" t="s">
        <v>47</v>
      </c>
      <c r="D385" t="s">
        <v>729</v>
      </c>
      <c r="E385">
        <v>1</v>
      </c>
      <c r="F385" s="56">
        <v>100000</v>
      </c>
      <c r="G385" s="56">
        <v>100000</v>
      </c>
      <c r="H385" t="s">
        <v>886</v>
      </c>
      <c r="I385" s="56">
        <v>10000</v>
      </c>
      <c r="J385" s="56">
        <v>15000</v>
      </c>
      <c r="K385" s="56">
        <v>105000</v>
      </c>
      <c r="L385" t="s">
        <v>873</v>
      </c>
      <c r="M385" t="s">
        <v>874</v>
      </c>
      <c r="N385" t="s">
        <v>875</v>
      </c>
      <c r="O385" s="57">
        <v>45778</v>
      </c>
      <c r="P385" t="s">
        <v>877</v>
      </c>
      <c r="Q385" s="56">
        <v>90000</v>
      </c>
      <c r="R385" t="s">
        <v>730</v>
      </c>
      <c r="S385" t="s">
        <v>731</v>
      </c>
      <c r="T385" t="s">
        <v>732</v>
      </c>
      <c r="U385" t="s">
        <v>48</v>
      </c>
      <c r="V385" t="s">
        <v>23</v>
      </c>
      <c r="W385" t="s">
        <v>36</v>
      </c>
      <c r="X385" t="s">
        <v>9</v>
      </c>
      <c r="Y385" s="56">
        <f>IF(clean[[#This Row],[is_delivered]]="Yes",clean[[#This Row],[net_sales]],0 )</f>
        <v>90000</v>
      </c>
    </row>
    <row r="386" spans="1:25">
      <c r="A386" t="s">
        <v>1082</v>
      </c>
      <c r="B386" s="9">
        <v>45780</v>
      </c>
      <c r="C386" t="s">
        <v>374</v>
      </c>
      <c r="D386" t="s">
        <v>821</v>
      </c>
      <c r="E386">
        <v>1</v>
      </c>
      <c r="F386" s="56">
        <v>50000</v>
      </c>
      <c r="G386" s="56">
        <v>50000</v>
      </c>
      <c r="H386" t="s">
        <v>886</v>
      </c>
      <c r="I386" s="56">
        <v>5000</v>
      </c>
      <c r="J386" s="56">
        <v>25000</v>
      </c>
      <c r="K386" s="56">
        <v>70000</v>
      </c>
      <c r="L386" t="s">
        <v>889</v>
      </c>
      <c r="M386" t="s">
        <v>874</v>
      </c>
      <c r="N386" t="s">
        <v>875</v>
      </c>
      <c r="O386" s="57">
        <v>45778</v>
      </c>
      <c r="P386" t="s">
        <v>877</v>
      </c>
      <c r="Q386" s="56">
        <v>45000</v>
      </c>
      <c r="R386" t="s">
        <v>822</v>
      </c>
      <c r="S386" t="s">
        <v>727</v>
      </c>
      <c r="T386" t="s">
        <v>728</v>
      </c>
      <c r="U386" t="s">
        <v>375</v>
      </c>
      <c r="V386" t="s">
        <v>23</v>
      </c>
      <c r="W386" t="s">
        <v>137</v>
      </c>
      <c r="X386" t="s">
        <v>9</v>
      </c>
      <c r="Y386" s="56">
        <f>IF(clean[[#This Row],[is_delivered]]="Yes",clean[[#This Row],[net_sales]],0 )</f>
        <v>45000</v>
      </c>
    </row>
    <row r="387" spans="1:25">
      <c r="A387" t="s">
        <v>978</v>
      </c>
      <c r="B387" s="9">
        <v>45780</v>
      </c>
      <c r="C387" t="s">
        <v>708</v>
      </c>
      <c r="D387" t="s">
        <v>849</v>
      </c>
      <c r="E387">
        <v>2</v>
      </c>
      <c r="F387" s="56">
        <v>500000</v>
      </c>
      <c r="G387" s="56">
        <v>1000000</v>
      </c>
      <c r="H387" t="s">
        <v>886</v>
      </c>
      <c r="I387" s="56">
        <v>100000</v>
      </c>
      <c r="J387" s="56">
        <v>25000</v>
      </c>
      <c r="K387" s="56">
        <v>925000</v>
      </c>
      <c r="L387" t="s">
        <v>873</v>
      </c>
      <c r="M387" t="s">
        <v>881</v>
      </c>
      <c r="N387" t="s">
        <v>875</v>
      </c>
      <c r="O387" s="57">
        <v>45778</v>
      </c>
      <c r="P387" t="s">
        <v>877</v>
      </c>
      <c r="Q387" s="56">
        <v>900000</v>
      </c>
      <c r="R387" t="s">
        <v>850</v>
      </c>
      <c r="S387" t="s">
        <v>735</v>
      </c>
      <c r="T387" t="s">
        <v>736</v>
      </c>
      <c r="U387" t="s">
        <v>709</v>
      </c>
      <c r="V387" t="s">
        <v>23</v>
      </c>
      <c r="W387" t="s">
        <v>39</v>
      </c>
      <c r="X387" t="s">
        <v>9</v>
      </c>
      <c r="Y387" s="56">
        <f>IF(clean[[#This Row],[is_delivered]]="Yes",clean[[#This Row],[net_sales]],0 )</f>
        <v>900000</v>
      </c>
    </row>
    <row r="388" spans="1:25">
      <c r="A388" t="s">
        <v>1479</v>
      </c>
      <c r="B388" s="9">
        <v>45780</v>
      </c>
      <c r="C388" t="s">
        <v>140</v>
      </c>
      <c r="D388" t="s">
        <v>843</v>
      </c>
      <c r="E388">
        <v>1</v>
      </c>
      <c r="F388" s="56">
        <v>100000</v>
      </c>
      <c r="G388" s="56">
        <v>100000</v>
      </c>
      <c r="H388" t="s">
        <v>886</v>
      </c>
      <c r="I388" s="56">
        <v>10000</v>
      </c>
      <c r="J388" s="56">
        <v>10000</v>
      </c>
      <c r="K388" s="56">
        <v>100000</v>
      </c>
      <c r="L388" t="s">
        <v>873</v>
      </c>
      <c r="M388" t="s">
        <v>903</v>
      </c>
      <c r="N388" t="s">
        <v>875</v>
      </c>
      <c r="O388" s="57">
        <v>45778</v>
      </c>
      <c r="P388" t="s">
        <v>877</v>
      </c>
      <c r="Q388" s="56">
        <v>90000</v>
      </c>
      <c r="R388" t="s">
        <v>844</v>
      </c>
      <c r="S388" t="s">
        <v>747</v>
      </c>
      <c r="T388" t="s">
        <v>748</v>
      </c>
      <c r="U388" t="s">
        <v>141</v>
      </c>
      <c r="V388" t="s">
        <v>23</v>
      </c>
      <c r="W388" t="s">
        <v>137</v>
      </c>
      <c r="X388" t="s">
        <v>9</v>
      </c>
      <c r="Y388" s="56">
        <f>IF(clean[[#This Row],[is_delivered]]="Yes",clean[[#This Row],[net_sales]],0 )</f>
        <v>90000</v>
      </c>
    </row>
    <row r="389" spans="1:25">
      <c r="A389" t="s">
        <v>1583</v>
      </c>
      <c r="B389" s="9">
        <v>45780</v>
      </c>
      <c r="C389" t="s">
        <v>370</v>
      </c>
      <c r="D389" t="s">
        <v>823</v>
      </c>
      <c r="E389">
        <v>1</v>
      </c>
      <c r="F389" s="56">
        <v>500000</v>
      </c>
      <c r="G389" s="56">
        <v>500000</v>
      </c>
      <c r="H389" t="s">
        <v>872</v>
      </c>
      <c r="I389" s="56">
        <v>0</v>
      </c>
      <c r="J389" s="56">
        <v>25000</v>
      </c>
      <c r="K389" s="56">
        <v>525000</v>
      </c>
      <c r="L389" t="s">
        <v>889</v>
      </c>
      <c r="M389" t="s">
        <v>903</v>
      </c>
      <c r="N389" t="s">
        <v>875</v>
      </c>
      <c r="O389" s="57">
        <v>45778</v>
      </c>
      <c r="P389" t="s">
        <v>877</v>
      </c>
      <c r="Q389" s="56">
        <v>500000</v>
      </c>
      <c r="R389" t="s">
        <v>824</v>
      </c>
      <c r="S389" t="s">
        <v>731</v>
      </c>
      <c r="T389" t="s">
        <v>732</v>
      </c>
      <c r="U389" t="s">
        <v>371</v>
      </c>
      <c r="V389" t="s">
        <v>23</v>
      </c>
      <c r="W389" t="s">
        <v>36</v>
      </c>
      <c r="X389" t="s">
        <v>15</v>
      </c>
      <c r="Y389" s="56">
        <f>IF(clean[[#This Row],[is_delivered]]="Yes",clean[[#This Row],[net_sales]],0 )</f>
        <v>500000</v>
      </c>
    </row>
    <row r="390" spans="1:25">
      <c r="A390" t="s">
        <v>1673</v>
      </c>
      <c r="B390" s="9">
        <v>45780</v>
      </c>
      <c r="C390" t="s">
        <v>290</v>
      </c>
      <c r="D390" t="s">
        <v>793</v>
      </c>
      <c r="E390">
        <v>1</v>
      </c>
      <c r="F390" s="56">
        <v>500000</v>
      </c>
      <c r="G390" s="56">
        <v>500000</v>
      </c>
      <c r="H390" t="s">
        <v>872</v>
      </c>
      <c r="I390" s="56">
        <v>0</v>
      </c>
      <c r="J390" s="56">
        <v>15000</v>
      </c>
      <c r="K390" s="56">
        <v>515000</v>
      </c>
      <c r="L390" t="s">
        <v>889</v>
      </c>
      <c r="M390" t="s">
        <v>903</v>
      </c>
      <c r="N390" t="s">
        <v>890</v>
      </c>
      <c r="O390" s="57">
        <v>45778</v>
      </c>
      <c r="P390" t="s">
        <v>892</v>
      </c>
      <c r="Q390" s="56">
        <v>500000</v>
      </c>
      <c r="R390" t="s">
        <v>794</v>
      </c>
      <c r="S390" t="s">
        <v>743</v>
      </c>
      <c r="T390" t="s">
        <v>744</v>
      </c>
      <c r="U390" t="s">
        <v>291</v>
      </c>
      <c r="V390" t="s">
        <v>23</v>
      </c>
      <c r="W390" t="s">
        <v>12</v>
      </c>
      <c r="X390" t="s">
        <v>9</v>
      </c>
      <c r="Y390" s="56">
        <f>IF(clean[[#This Row],[is_delivered]]="Yes",clean[[#This Row],[net_sales]],0 )</f>
        <v>0</v>
      </c>
    </row>
    <row r="391" spans="1:25">
      <c r="A391" t="s">
        <v>1692</v>
      </c>
      <c r="B391" s="9">
        <v>45780</v>
      </c>
      <c r="C391" t="s">
        <v>462</v>
      </c>
      <c r="D391" t="s">
        <v>729</v>
      </c>
      <c r="E391">
        <v>1</v>
      </c>
      <c r="F391" s="56">
        <v>100000</v>
      </c>
      <c r="G391" s="56">
        <v>100000</v>
      </c>
      <c r="H391" t="s">
        <v>886</v>
      </c>
      <c r="I391" s="56">
        <v>10000</v>
      </c>
      <c r="J391" s="56">
        <v>30000</v>
      </c>
      <c r="K391" s="56">
        <v>120000</v>
      </c>
      <c r="L391" t="s">
        <v>884</v>
      </c>
      <c r="M391" t="s">
        <v>903</v>
      </c>
      <c r="N391" t="s">
        <v>875</v>
      </c>
      <c r="O391" s="57">
        <v>45778</v>
      </c>
      <c r="P391" t="s">
        <v>877</v>
      </c>
      <c r="Q391" s="56">
        <v>90000</v>
      </c>
      <c r="R391" t="s">
        <v>730</v>
      </c>
      <c r="S391" t="s">
        <v>731</v>
      </c>
      <c r="T391" t="s">
        <v>732</v>
      </c>
      <c r="U391" t="s">
        <v>463</v>
      </c>
      <c r="V391" t="s">
        <v>23</v>
      </c>
      <c r="W391" t="s">
        <v>36</v>
      </c>
      <c r="X391" t="s">
        <v>24</v>
      </c>
      <c r="Y391" s="56">
        <f>IF(clean[[#This Row],[is_delivered]]="Yes",clean[[#This Row],[net_sales]],0 )</f>
        <v>90000</v>
      </c>
    </row>
    <row r="392" spans="1:25">
      <c r="A392" t="s">
        <v>1047</v>
      </c>
      <c r="B392" s="9">
        <v>45779</v>
      </c>
      <c r="C392" t="s">
        <v>81</v>
      </c>
      <c r="D392" t="s">
        <v>795</v>
      </c>
      <c r="E392">
        <v>4</v>
      </c>
      <c r="F392" s="56">
        <v>100000</v>
      </c>
      <c r="G392" s="56">
        <v>400000</v>
      </c>
      <c r="H392" t="s">
        <v>872</v>
      </c>
      <c r="I392" s="56">
        <v>0</v>
      </c>
      <c r="J392" s="56">
        <v>30000</v>
      </c>
      <c r="K392" s="56">
        <v>430000</v>
      </c>
      <c r="L392" t="s">
        <v>884</v>
      </c>
      <c r="M392" t="s">
        <v>881</v>
      </c>
      <c r="N392" t="s">
        <v>905</v>
      </c>
      <c r="O392" s="57">
        <v>45778</v>
      </c>
      <c r="P392" t="s">
        <v>892</v>
      </c>
      <c r="Q392" s="56">
        <v>400000</v>
      </c>
      <c r="R392" t="s">
        <v>796</v>
      </c>
      <c r="S392" t="s">
        <v>747</v>
      </c>
      <c r="T392" t="s">
        <v>748</v>
      </c>
      <c r="U392" t="s">
        <v>82</v>
      </c>
      <c r="V392" t="s">
        <v>23</v>
      </c>
      <c r="W392" t="s">
        <v>20</v>
      </c>
      <c r="X392" t="s">
        <v>24</v>
      </c>
      <c r="Y392" s="56">
        <f>IF(clean[[#This Row],[is_delivered]]="Yes",clean[[#This Row],[net_sales]],0 )</f>
        <v>0</v>
      </c>
    </row>
    <row r="393" spans="1:25">
      <c r="A393" t="s">
        <v>1508</v>
      </c>
      <c r="B393" s="9">
        <v>45779</v>
      </c>
      <c r="C393" t="s">
        <v>156</v>
      </c>
      <c r="D393" t="s">
        <v>781</v>
      </c>
      <c r="E393">
        <v>2</v>
      </c>
      <c r="F393" s="56">
        <v>50000</v>
      </c>
      <c r="G393" s="56">
        <v>100000</v>
      </c>
      <c r="H393" t="s">
        <v>872</v>
      </c>
      <c r="I393" s="56">
        <v>0</v>
      </c>
      <c r="J393" s="56">
        <v>15000</v>
      </c>
      <c r="K393" s="56">
        <v>115000</v>
      </c>
      <c r="L393" t="s">
        <v>873</v>
      </c>
      <c r="M393" t="s">
        <v>901</v>
      </c>
      <c r="N393" t="s">
        <v>875</v>
      </c>
      <c r="O393" s="57">
        <v>45778</v>
      </c>
      <c r="P393" t="s">
        <v>877</v>
      </c>
      <c r="Q393" s="56">
        <v>100000</v>
      </c>
      <c r="R393" t="s">
        <v>782</v>
      </c>
      <c r="S393" t="s">
        <v>743</v>
      </c>
      <c r="T393" t="s">
        <v>744</v>
      </c>
      <c r="U393" t="s">
        <v>157</v>
      </c>
      <c r="V393" t="s">
        <v>23</v>
      </c>
      <c r="W393" t="s">
        <v>137</v>
      </c>
      <c r="X393" t="s">
        <v>15</v>
      </c>
      <c r="Y393" s="56">
        <f>IF(clean[[#This Row],[is_delivered]]="Yes",clean[[#This Row],[net_sales]],0 )</f>
        <v>100000</v>
      </c>
    </row>
    <row r="394" spans="1:25">
      <c r="A394" t="s">
        <v>1707</v>
      </c>
      <c r="B394" s="9">
        <v>45779</v>
      </c>
      <c r="C394" t="s">
        <v>638</v>
      </c>
      <c r="D394" t="s">
        <v>741</v>
      </c>
      <c r="E394">
        <v>2</v>
      </c>
      <c r="F394" s="56">
        <v>75000</v>
      </c>
      <c r="G394" s="56">
        <v>150000</v>
      </c>
      <c r="H394" t="s">
        <v>883</v>
      </c>
      <c r="I394" s="56">
        <v>15000</v>
      </c>
      <c r="J394" s="56">
        <v>20000</v>
      </c>
      <c r="K394" s="56">
        <v>155000</v>
      </c>
      <c r="L394" t="s">
        <v>889</v>
      </c>
      <c r="M394" t="s">
        <v>881</v>
      </c>
      <c r="N394" t="s">
        <v>875</v>
      </c>
      <c r="O394" s="57">
        <v>45778</v>
      </c>
      <c r="P394" t="s">
        <v>877</v>
      </c>
      <c r="Q394" s="56">
        <v>135000</v>
      </c>
      <c r="R394" t="s">
        <v>742</v>
      </c>
      <c r="S394" t="s">
        <v>743</v>
      </c>
      <c r="T394" t="s">
        <v>744</v>
      </c>
      <c r="U394" t="s">
        <v>639</v>
      </c>
      <c r="V394" t="s">
        <v>7</v>
      </c>
      <c r="W394" t="s">
        <v>56</v>
      </c>
      <c r="X394" t="s">
        <v>15</v>
      </c>
      <c r="Y394" s="56">
        <f>IF(clean[[#This Row],[is_delivered]]="Yes",clean[[#This Row],[net_sales]],0 )</f>
        <v>135000</v>
      </c>
    </row>
    <row r="395" spans="1:25">
      <c r="A395" t="s">
        <v>1972</v>
      </c>
      <c r="B395" s="9">
        <v>45779</v>
      </c>
      <c r="C395" t="s">
        <v>32</v>
      </c>
      <c r="D395" t="s">
        <v>797</v>
      </c>
      <c r="E395">
        <v>2</v>
      </c>
      <c r="F395" s="56">
        <v>150000</v>
      </c>
      <c r="G395" s="56">
        <v>300000</v>
      </c>
      <c r="H395" t="s">
        <v>872</v>
      </c>
      <c r="I395" s="56">
        <v>0</v>
      </c>
      <c r="J395" s="56">
        <v>10000</v>
      </c>
      <c r="K395" s="56">
        <v>310000</v>
      </c>
      <c r="L395" t="s">
        <v>873</v>
      </c>
      <c r="M395" t="s">
        <v>903</v>
      </c>
      <c r="N395" t="s">
        <v>875</v>
      </c>
      <c r="O395" s="57">
        <v>45778</v>
      </c>
      <c r="P395" t="s">
        <v>877</v>
      </c>
      <c r="Q395" s="56">
        <v>300000</v>
      </c>
      <c r="R395" t="s">
        <v>798</v>
      </c>
      <c r="S395" t="s">
        <v>727</v>
      </c>
      <c r="T395" t="s">
        <v>728</v>
      </c>
      <c r="U395" t="s">
        <v>33</v>
      </c>
      <c r="V395" t="s">
        <v>23</v>
      </c>
      <c r="W395" t="s">
        <v>12</v>
      </c>
      <c r="X395" t="s">
        <v>9</v>
      </c>
      <c r="Y395" s="56">
        <f>IF(clean[[#This Row],[is_delivered]]="Yes",clean[[#This Row],[net_sales]],0 )</f>
        <v>300000</v>
      </c>
    </row>
    <row r="396" spans="1:25">
      <c r="A396" t="s">
        <v>2016</v>
      </c>
      <c r="B396" s="9">
        <v>45779</v>
      </c>
      <c r="C396" t="s">
        <v>170</v>
      </c>
      <c r="D396" t="s">
        <v>807</v>
      </c>
      <c r="E396">
        <v>2</v>
      </c>
      <c r="F396" s="56">
        <v>150000</v>
      </c>
      <c r="G396" s="56">
        <v>300000</v>
      </c>
      <c r="H396" t="s">
        <v>879</v>
      </c>
      <c r="I396" s="56">
        <v>60000</v>
      </c>
      <c r="J396" s="56">
        <v>20000</v>
      </c>
      <c r="K396" s="56">
        <v>260000</v>
      </c>
      <c r="L396" t="s">
        <v>880</v>
      </c>
      <c r="M396" t="s">
        <v>901</v>
      </c>
      <c r="N396" t="s">
        <v>890</v>
      </c>
      <c r="O396" s="57">
        <v>45778</v>
      </c>
      <c r="P396" t="s">
        <v>892</v>
      </c>
      <c r="Q396" s="56">
        <v>240000</v>
      </c>
      <c r="R396" t="s">
        <v>808</v>
      </c>
      <c r="S396" t="s">
        <v>747</v>
      </c>
      <c r="T396" t="s">
        <v>748</v>
      </c>
      <c r="U396" t="s">
        <v>171</v>
      </c>
      <c r="V396" t="s">
        <v>7</v>
      </c>
      <c r="W396" t="s">
        <v>29</v>
      </c>
      <c r="X396" t="s">
        <v>9</v>
      </c>
      <c r="Y396" s="56">
        <f>IF(clean[[#This Row],[is_delivered]]="Yes",clean[[#This Row],[net_sales]],0 )</f>
        <v>0</v>
      </c>
    </row>
    <row r="397" spans="1:25">
      <c r="A397" t="s">
        <v>1120</v>
      </c>
      <c r="B397" s="9">
        <v>45778</v>
      </c>
      <c r="C397" t="s">
        <v>95</v>
      </c>
      <c r="D397" t="s">
        <v>791</v>
      </c>
      <c r="E397">
        <v>1</v>
      </c>
      <c r="F397" s="56">
        <v>50000</v>
      </c>
      <c r="G397" s="56">
        <v>50000</v>
      </c>
      <c r="H397" t="s">
        <v>886</v>
      </c>
      <c r="I397" s="56">
        <v>5000</v>
      </c>
      <c r="J397" s="56">
        <v>20000</v>
      </c>
      <c r="K397" s="56">
        <v>65000</v>
      </c>
      <c r="L397" t="s">
        <v>889</v>
      </c>
      <c r="M397" t="s">
        <v>903</v>
      </c>
      <c r="N397" t="s">
        <v>890</v>
      </c>
      <c r="O397" s="57">
        <v>45778</v>
      </c>
      <c r="P397" t="s">
        <v>892</v>
      </c>
      <c r="Q397" s="56">
        <v>45000</v>
      </c>
      <c r="R397" t="s">
        <v>792</v>
      </c>
      <c r="S397" t="s">
        <v>739</v>
      </c>
      <c r="T397" t="s">
        <v>740</v>
      </c>
      <c r="U397" t="s">
        <v>96</v>
      </c>
      <c r="V397" t="s">
        <v>23</v>
      </c>
      <c r="W397" t="s">
        <v>8</v>
      </c>
      <c r="X397" t="s">
        <v>24</v>
      </c>
      <c r="Y397" s="56">
        <f>IF(clean[[#This Row],[is_delivered]]="Yes",clean[[#This Row],[net_sales]],0 )</f>
        <v>0</v>
      </c>
    </row>
    <row r="398" spans="1:25">
      <c r="A398" t="s">
        <v>1442</v>
      </c>
      <c r="B398" s="9">
        <v>45778</v>
      </c>
      <c r="C398" t="s">
        <v>634</v>
      </c>
      <c r="D398" t="s">
        <v>741</v>
      </c>
      <c r="E398">
        <v>4</v>
      </c>
      <c r="F398" s="56">
        <v>75000</v>
      </c>
      <c r="G398" s="56">
        <v>300000</v>
      </c>
      <c r="H398" t="s">
        <v>895</v>
      </c>
      <c r="I398" s="56">
        <v>45000</v>
      </c>
      <c r="J398" s="56">
        <v>30000</v>
      </c>
      <c r="K398" s="56">
        <v>285000</v>
      </c>
      <c r="L398" t="s">
        <v>880</v>
      </c>
      <c r="M398" t="s">
        <v>881</v>
      </c>
      <c r="N398" t="s">
        <v>875</v>
      </c>
      <c r="O398" s="57">
        <v>45778</v>
      </c>
      <c r="P398" t="s">
        <v>877</v>
      </c>
      <c r="Q398" s="56">
        <v>255000</v>
      </c>
      <c r="R398" t="s">
        <v>742</v>
      </c>
      <c r="S398" t="s">
        <v>743</v>
      </c>
      <c r="T398" t="s">
        <v>744</v>
      </c>
      <c r="U398" t="s">
        <v>635</v>
      </c>
      <c r="V398" t="s">
        <v>23</v>
      </c>
      <c r="W398" t="s">
        <v>8</v>
      </c>
      <c r="X398" t="s">
        <v>24</v>
      </c>
      <c r="Y398" s="56">
        <f>IF(clean[[#This Row],[is_delivered]]="Yes",clean[[#This Row],[net_sales]],0 )</f>
        <v>255000</v>
      </c>
    </row>
    <row r="399" spans="1:25">
      <c r="A399" t="s">
        <v>1480</v>
      </c>
      <c r="B399" s="9">
        <v>45778</v>
      </c>
      <c r="C399" t="s">
        <v>392</v>
      </c>
      <c r="D399" t="s">
        <v>781</v>
      </c>
      <c r="E399">
        <v>4</v>
      </c>
      <c r="F399" s="56">
        <v>50000</v>
      </c>
      <c r="G399" s="56">
        <v>200000</v>
      </c>
      <c r="H399" t="s">
        <v>883</v>
      </c>
      <c r="I399" s="56">
        <v>20000</v>
      </c>
      <c r="J399" s="56">
        <v>30000</v>
      </c>
      <c r="K399" s="56">
        <v>210000</v>
      </c>
      <c r="L399" t="s">
        <v>884</v>
      </c>
      <c r="M399" t="s">
        <v>881</v>
      </c>
      <c r="N399" t="s">
        <v>875</v>
      </c>
      <c r="O399" s="57">
        <v>45778</v>
      </c>
      <c r="P399" t="s">
        <v>877</v>
      </c>
      <c r="Q399" s="56">
        <v>180000</v>
      </c>
      <c r="R399" t="s">
        <v>782</v>
      </c>
      <c r="S399" t="s">
        <v>743</v>
      </c>
      <c r="T399" t="s">
        <v>744</v>
      </c>
      <c r="U399" t="s">
        <v>393</v>
      </c>
      <c r="V399" t="s">
        <v>7</v>
      </c>
      <c r="W399" t="s">
        <v>20</v>
      </c>
      <c r="X399" t="s">
        <v>9</v>
      </c>
      <c r="Y399" s="56">
        <f>IF(clean[[#This Row],[is_delivered]]="Yes",clean[[#This Row],[net_sales]],0 )</f>
        <v>180000</v>
      </c>
    </row>
    <row r="400" spans="1:25">
      <c r="A400" t="s">
        <v>1699</v>
      </c>
      <c r="B400" s="9">
        <v>45778</v>
      </c>
      <c r="C400" t="s">
        <v>300</v>
      </c>
      <c r="D400" t="s">
        <v>725</v>
      </c>
      <c r="E400">
        <v>2</v>
      </c>
      <c r="F400" s="56">
        <v>300000</v>
      </c>
      <c r="G400" s="56">
        <v>600000</v>
      </c>
      <c r="H400" t="s">
        <v>895</v>
      </c>
      <c r="I400" s="56">
        <v>90000</v>
      </c>
      <c r="J400" s="56">
        <v>10000</v>
      </c>
      <c r="K400" s="56">
        <v>520000</v>
      </c>
      <c r="L400" t="s">
        <v>889</v>
      </c>
      <c r="M400" t="s">
        <v>903</v>
      </c>
      <c r="N400" t="s">
        <v>875</v>
      </c>
      <c r="O400" s="57">
        <v>45778</v>
      </c>
      <c r="P400" t="s">
        <v>877</v>
      </c>
      <c r="Q400" s="56">
        <v>510000</v>
      </c>
      <c r="R400" t="s">
        <v>726</v>
      </c>
      <c r="S400" t="s">
        <v>727</v>
      </c>
      <c r="T400" t="s">
        <v>728</v>
      </c>
      <c r="U400" t="s">
        <v>301</v>
      </c>
      <c r="V400" t="s">
        <v>7</v>
      </c>
      <c r="W400" t="s">
        <v>39</v>
      </c>
      <c r="X400" t="s">
        <v>9</v>
      </c>
      <c r="Y400" s="56">
        <f>IF(clean[[#This Row],[is_delivered]]="Yes",clean[[#This Row],[net_sales]],0 )</f>
        <v>510000</v>
      </c>
    </row>
    <row r="401" spans="1:25">
      <c r="A401" t="s">
        <v>1963</v>
      </c>
      <c r="B401" s="9">
        <v>45778</v>
      </c>
      <c r="C401" t="s">
        <v>140</v>
      </c>
      <c r="D401" t="s">
        <v>807</v>
      </c>
      <c r="E401">
        <v>1</v>
      </c>
      <c r="F401" s="56">
        <v>150000</v>
      </c>
      <c r="G401" s="56">
        <v>150000</v>
      </c>
      <c r="H401" t="s">
        <v>879</v>
      </c>
      <c r="I401" s="56">
        <v>30000</v>
      </c>
      <c r="J401" s="56">
        <v>30000</v>
      </c>
      <c r="K401" s="56">
        <v>150000</v>
      </c>
      <c r="L401" t="s">
        <v>884</v>
      </c>
      <c r="M401" t="s">
        <v>903</v>
      </c>
      <c r="N401" t="s">
        <v>875</v>
      </c>
      <c r="O401" s="57">
        <v>45778</v>
      </c>
      <c r="P401" t="s">
        <v>877</v>
      </c>
      <c r="Q401" s="56">
        <v>120000</v>
      </c>
      <c r="R401" t="s">
        <v>808</v>
      </c>
      <c r="S401" t="s">
        <v>747</v>
      </c>
      <c r="T401" t="s">
        <v>748</v>
      </c>
      <c r="U401" t="s">
        <v>141</v>
      </c>
      <c r="V401" t="s">
        <v>23</v>
      </c>
      <c r="W401" t="s">
        <v>137</v>
      </c>
      <c r="X401" t="s">
        <v>9</v>
      </c>
      <c r="Y401" s="56">
        <f>IF(clean[[#This Row],[is_delivered]]="Yes",clean[[#This Row],[net_sales]],0 )</f>
        <v>120000</v>
      </c>
    </row>
    <row r="402" spans="1:25">
      <c r="A402" t="s">
        <v>1217</v>
      </c>
      <c r="B402" s="9">
        <v>45777</v>
      </c>
      <c r="C402" t="s">
        <v>61</v>
      </c>
      <c r="D402" t="s">
        <v>837</v>
      </c>
      <c r="E402">
        <v>1</v>
      </c>
      <c r="F402" s="56">
        <v>300000</v>
      </c>
      <c r="G402" s="56">
        <v>300000</v>
      </c>
      <c r="H402" t="s">
        <v>879</v>
      </c>
      <c r="I402" s="56">
        <v>60000</v>
      </c>
      <c r="J402" s="56">
        <v>15000</v>
      </c>
      <c r="K402" s="56">
        <v>255000</v>
      </c>
      <c r="L402" t="s">
        <v>884</v>
      </c>
      <c r="M402" t="s">
        <v>874</v>
      </c>
      <c r="N402" t="s">
        <v>890</v>
      </c>
      <c r="O402" s="57">
        <v>45748</v>
      </c>
      <c r="P402" t="s">
        <v>892</v>
      </c>
      <c r="Q402" s="56">
        <v>240000</v>
      </c>
      <c r="R402" t="s">
        <v>838</v>
      </c>
      <c r="S402" t="s">
        <v>735</v>
      </c>
      <c r="T402" t="s">
        <v>736</v>
      </c>
      <c r="U402" t="s">
        <v>62</v>
      </c>
      <c r="V402" t="s">
        <v>23</v>
      </c>
      <c r="W402" t="s">
        <v>39</v>
      </c>
      <c r="X402" t="s">
        <v>24</v>
      </c>
      <c r="Y402" s="56">
        <f>IF(clean[[#This Row],[is_delivered]]="Yes",clean[[#This Row],[net_sales]],0 )</f>
        <v>0</v>
      </c>
    </row>
    <row r="403" spans="1:25">
      <c r="A403" t="s">
        <v>1097</v>
      </c>
      <c r="B403" s="9">
        <v>45777</v>
      </c>
      <c r="C403" t="s">
        <v>109</v>
      </c>
      <c r="D403" t="s">
        <v>811</v>
      </c>
      <c r="E403">
        <v>3</v>
      </c>
      <c r="F403" s="56">
        <v>35000</v>
      </c>
      <c r="G403" s="56">
        <v>105000</v>
      </c>
      <c r="H403" t="s">
        <v>872</v>
      </c>
      <c r="I403" s="56">
        <v>0</v>
      </c>
      <c r="J403" s="56">
        <v>20000</v>
      </c>
      <c r="K403" s="56">
        <v>125000</v>
      </c>
      <c r="L403" t="s">
        <v>884</v>
      </c>
      <c r="M403" t="s">
        <v>881</v>
      </c>
      <c r="N403" t="s">
        <v>905</v>
      </c>
      <c r="O403" s="57">
        <v>45748</v>
      </c>
      <c r="P403" t="s">
        <v>892</v>
      </c>
      <c r="Q403" s="56">
        <v>105000</v>
      </c>
      <c r="R403" t="s">
        <v>812</v>
      </c>
      <c r="S403" t="s">
        <v>731</v>
      </c>
      <c r="T403" t="s">
        <v>732</v>
      </c>
      <c r="U403" t="s">
        <v>110</v>
      </c>
      <c r="V403" t="s">
        <v>23</v>
      </c>
      <c r="W403" t="s">
        <v>46</v>
      </c>
      <c r="X403" t="s">
        <v>15</v>
      </c>
      <c r="Y403" s="56">
        <f>IF(clean[[#This Row],[is_delivered]]="Yes",clean[[#This Row],[net_sales]],0 )</f>
        <v>0</v>
      </c>
    </row>
    <row r="404" spans="1:25">
      <c r="A404" t="s">
        <v>1103</v>
      </c>
      <c r="B404" s="9">
        <v>45777</v>
      </c>
      <c r="C404" t="s">
        <v>272</v>
      </c>
      <c r="D404" t="s">
        <v>845</v>
      </c>
      <c r="E404">
        <v>2</v>
      </c>
      <c r="F404" s="56">
        <v>300000</v>
      </c>
      <c r="G404" s="56">
        <v>600000</v>
      </c>
      <c r="H404" t="s">
        <v>886</v>
      </c>
      <c r="I404" s="56">
        <v>60000</v>
      </c>
      <c r="J404" s="56">
        <v>15000</v>
      </c>
      <c r="K404" s="56">
        <v>555000</v>
      </c>
      <c r="L404" t="s">
        <v>884</v>
      </c>
      <c r="M404" t="s">
        <v>874</v>
      </c>
      <c r="N404" t="s">
        <v>905</v>
      </c>
      <c r="O404" s="57">
        <v>45748</v>
      </c>
      <c r="P404" t="s">
        <v>892</v>
      </c>
      <c r="Q404" s="56">
        <v>540000</v>
      </c>
      <c r="R404" t="s">
        <v>846</v>
      </c>
      <c r="S404" t="s">
        <v>727</v>
      </c>
      <c r="T404" t="s">
        <v>728</v>
      </c>
      <c r="U404" t="s">
        <v>273</v>
      </c>
      <c r="V404" t="s">
        <v>23</v>
      </c>
      <c r="W404" t="s">
        <v>51</v>
      </c>
      <c r="X404" t="s">
        <v>24</v>
      </c>
      <c r="Y404" s="56">
        <f>IF(clean[[#This Row],[is_delivered]]="Yes",clean[[#This Row],[net_sales]],0 )</f>
        <v>0</v>
      </c>
    </row>
    <row r="405" spans="1:25">
      <c r="A405" t="s">
        <v>1553</v>
      </c>
      <c r="B405" s="9">
        <v>45777</v>
      </c>
      <c r="C405" t="s">
        <v>572</v>
      </c>
      <c r="D405" t="s">
        <v>771</v>
      </c>
      <c r="E405">
        <v>4</v>
      </c>
      <c r="F405" s="56">
        <v>500000</v>
      </c>
      <c r="G405" s="56">
        <v>2000000</v>
      </c>
      <c r="H405" t="s">
        <v>895</v>
      </c>
      <c r="I405" s="56">
        <v>300000</v>
      </c>
      <c r="J405" s="56">
        <v>30000</v>
      </c>
      <c r="K405" s="56">
        <v>1730000</v>
      </c>
      <c r="L405" t="s">
        <v>884</v>
      </c>
      <c r="M405" t="s">
        <v>874</v>
      </c>
      <c r="N405" t="s">
        <v>875</v>
      </c>
      <c r="O405" s="57">
        <v>45748</v>
      </c>
      <c r="P405" t="s">
        <v>877</v>
      </c>
      <c r="Q405" s="56">
        <v>1700000</v>
      </c>
      <c r="R405" t="s">
        <v>772</v>
      </c>
      <c r="S405" t="s">
        <v>747</v>
      </c>
      <c r="T405" t="s">
        <v>748</v>
      </c>
      <c r="U405" t="s">
        <v>573</v>
      </c>
      <c r="V405" t="s">
        <v>7</v>
      </c>
      <c r="W405" t="s">
        <v>137</v>
      </c>
      <c r="X405" t="s">
        <v>9</v>
      </c>
      <c r="Y405" s="56">
        <f>IF(clean[[#This Row],[is_delivered]]="Yes",clean[[#This Row],[net_sales]],0 )</f>
        <v>1700000</v>
      </c>
    </row>
    <row r="406" spans="1:25">
      <c r="A406" t="s">
        <v>1680</v>
      </c>
      <c r="B406" s="9">
        <v>45777</v>
      </c>
      <c r="C406" t="s">
        <v>578</v>
      </c>
      <c r="D406" t="s">
        <v>811</v>
      </c>
      <c r="E406">
        <v>1</v>
      </c>
      <c r="F406" s="56">
        <v>35000</v>
      </c>
      <c r="G406" s="56">
        <v>35000</v>
      </c>
      <c r="H406" t="s">
        <v>872</v>
      </c>
      <c r="I406" s="56">
        <v>0</v>
      </c>
      <c r="J406" s="56">
        <v>10000</v>
      </c>
      <c r="K406" s="56">
        <v>45000</v>
      </c>
      <c r="L406" t="s">
        <v>889</v>
      </c>
      <c r="M406" t="s">
        <v>903</v>
      </c>
      <c r="N406" t="s">
        <v>921</v>
      </c>
      <c r="O406" s="57">
        <v>45748</v>
      </c>
      <c r="P406" t="s">
        <v>892</v>
      </c>
      <c r="Q406" s="56">
        <v>35000</v>
      </c>
      <c r="R406" t="s">
        <v>812</v>
      </c>
      <c r="S406" t="s">
        <v>731</v>
      </c>
      <c r="T406" t="s">
        <v>732</v>
      </c>
      <c r="U406" t="s">
        <v>579</v>
      </c>
      <c r="V406" t="s">
        <v>23</v>
      </c>
      <c r="W406" t="s">
        <v>56</v>
      </c>
      <c r="X406" t="s">
        <v>24</v>
      </c>
      <c r="Y406" s="56">
        <f>IF(clean[[#This Row],[is_delivered]]="Yes",clean[[#This Row],[net_sales]],0 )</f>
        <v>0</v>
      </c>
    </row>
    <row r="407" spans="1:25">
      <c r="A407" t="s">
        <v>1897</v>
      </c>
      <c r="B407" s="9">
        <v>45777</v>
      </c>
      <c r="C407" t="s">
        <v>326</v>
      </c>
      <c r="D407" t="s">
        <v>755</v>
      </c>
      <c r="E407">
        <v>4</v>
      </c>
      <c r="F407" s="56">
        <v>50000</v>
      </c>
      <c r="G407" s="56">
        <v>200000</v>
      </c>
      <c r="H407" t="s">
        <v>872</v>
      </c>
      <c r="I407" s="56">
        <v>0</v>
      </c>
      <c r="J407" s="56">
        <v>20000</v>
      </c>
      <c r="K407" s="56">
        <v>220000</v>
      </c>
      <c r="L407" t="s">
        <v>884</v>
      </c>
      <c r="M407" t="s">
        <v>901</v>
      </c>
      <c r="N407" t="s">
        <v>875</v>
      </c>
      <c r="O407" s="57">
        <v>45748</v>
      </c>
      <c r="P407" t="s">
        <v>877</v>
      </c>
      <c r="Q407" s="56">
        <v>200000</v>
      </c>
      <c r="R407" t="s">
        <v>756</v>
      </c>
      <c r="S407" t="s">
        <v>739</v>
      </c>
      <c r="T407" t="s">
        <v>740</v>
      </c>
      <c r="U407" t="s">
        <v>327</v>
      </c>
      <c r="V407" t="s">
        <v>7</v>
      </c>
      <c r="W407" t="s">
        <v>8</v>
      </c>
      <c r="X407" t="s">
        <v>9</v>
      </c>
      <c r="Y407" s="56">
        <f>IF(clean[[#This Row],[is_delivered]]="Yes",clean[[#This Row],[net_sales]],0 )</f>
        <v>200000</v>
      </c>
    </row>
    <row r="408" spans="1:25">
      <c r="A408" t="s">
        <v>1907</v>
      </c>
      <c r="B408" s="9">
        <v>45777</v>
      </c>
      <c r="C408" t="s">
        <v>376</v>
      </c>
      <c r="D408" t="s">
        <v>799</v>
      </c>
      <c r="E408">
        <v>1</v>
      </c>
      <c r="F408" s="56">
        <v>35000</v>
      </c>
      <c r="G408" s="56">
        <v>35000</v>
      </c>
      <c r="H408" t="s">
        <v>872</v>
      </c>
      <c r="I408" s="56">
        <v>0</v>
      </c>
      <c r="J408" s="56">
        <v>15000</v>
      </c>
      <c r="K408" s="56">
        <v>50000</v>
      </c>
      <c r="L408" t="s">
        <v>889</v>
      </c>
      <c r="M408" t="s">
        <v>874</v>
      </c>
      <c r="N408" t="s">
        <v>875</v>
      </c>
      <c r="O408" s="57">
        <v>45748</v>
      </c>
      <c r="P408" t="s">
        <v>877</v>
      </c>
      <c r="Q408" s="56">
        <v>35000</v>
      </c>
      <c r="R408" t="s">
        <v>800</v>
      </c>
      <c r="S408" t="s">
        <v>731</v>
      </c>
      <c r="T408" t="s">
        <v>732</v>
      </c>
      <c r="U408" t="s">
        <v>377</v>
      </c>
      <c r="V408" t="s">
        <v>7</v>
      </c>
      <c r="W408" t="s">
        <v>8</v>
      </c>
      <c r="X408" t="s">
        <v>9</v>
      </c>
      <c r="Y408" s="56">
        <f>IF(clean[[#This Row],[is_delivered]]="Yes",clean[[#This Row],[net_sales]],0 )</f>
        <v>35000</v>
      </c>
    </row>
    <row r="409" spans="1:25">
      <c r="A409" t="s">
        <v>2039</v>
      </c>
      <c r="B409" s="9">
        <v>45777</v>
      </c>
      <c r="C409" t="s">
        <v>604</v>
      </c>
      <c r="D409" t="s">
        <v>831</v>
      </c>
      <c r="E409">
        <v>4</v>
      </c>
      <c r="F409" s="56">
        <v>300000</v>
      </c>
      <c r="G409" s="56">
        <v>1200000</v>
      </c>
      <c r="H409" t="s">
        <v>872</v>
      </c>
      <c r="I409" s="56">
        <v>0</v>
      </c>
      <c r="J409" s="56">
        <v>20000</v>
      </c>
      <c r="K409" s="56">
        <v>1220000</v>
      </c>
      <c r="L409" t="s">
        <v>884</v>
      </c>
      <c r="M409" t="s">
        <v>901</v>
      </c>
      <c r="N409" t="s">
        <v>875</v>
      </c>
      <c r="O409" s="57">
        <v>45748</v>
      </c>
      <c r="P409" t="s">
        <v>877</v>
      </c>
      <c r="Q409" s="56">
        <v>1200000</v>
      </c>
      <c r="R409" t="s">
        <v>832</v>
      </c>
      <c r="S409" t="s">
        <v>747</v>
      </c>
      <c r="T409" t="s">
        <v>748</v>
      </c>
      <c r="U409" t="s">
        <v>605</v>
      </c>
      <c r="V409" t="s">
        <v>7</v>
      </c>
      <c r="W409" t="s">
        <v>20</v>
      </c>
      <c r="X409" t="s">
        <v>24</v>
      </c>
      <c r="Y409" s="56">
        <f>IF(clean[[#This Row],[is_delivered]]="Yes",clean[[#This Row],[net_sales]],0 )</f>
        <v>1200000</v>
      </c>
    </row>
    <row r="410" spans="1:25">
      <c r="A410" t="s">
        <v>2075</v>
      </c>
      <c r="B410" s="9">
        <v>45777</v>
      </c>
      <c r="C410" t="s">
        <v>478</v>
      </c>
      <c r="D410" t="s">
        <v>745</v>
      </c>
      <c r="E410">
        <v>2</v>
      </c>
      <c r="F410" s="56">
        <v>500000</v>
      </c>
      <c r="G410" s="56">
        <v>1000000</v>
      </c>
      <c r="H410" t="s">
        <v>872</v>
      </c>
      <c r="I410" s="56">
        <v>0</v>
      </c>
      <c r="J410" s="56">
        <v>15000</v>
      </c>
      <c r="K410" s="56">
        <v>1015000</v>
      </c>
      <c r="L410" t="s">
        <v>884</v>
      </c>
      <c r="M410" t="s">
        <v>874</v>
      </c>
      <c r="N410" t="s">
        <v>875</v>
      </c>
      <c r="O410" s="57">
        <v>45748</v>
      </c>
      <c r="P410" t="s">
        <v>877</v>
      </c>
      <c r="Q410" s="56">
        <v>1000000</v>
      </c>
      <c r="R410" t="s">
        <v>746</v>
      </c>
      <c r="S410" t="s">
        <v>747</v>
      </c>
      <c r="T410" t="s">
        <v>748</v>
      </c>
      <c r="U410" t="s">
        <v>479</v>
      </c>
      <c r="V410" t="s">
        <v>23</v>
      </c>
      <c r="W410" t="s">
        <v>51</v>
      </c>
      <c r="X410" t="s">
        <v>15</v>
      </c>
      <c r="Y410" s="56">
        <f>IF(clean[[#This Row],[is_delivered]]="Yes",clean[[#This Row],[net_sales]],0 )</f>
        <v>1000000</v>
      </c>
    </row>
    <row r="411" spans="1:25">
      <c r="A411" t="s">
        <v>987</v>
      </c>
      <c r="B411" s="9">
        <v>45776</v>
      </c>
      <c r="C411" t="s">
        <v>27</v>
      </c>
      <c r="D411" t="s">
        <v>835</v>
      </c>
      <c r="E411">
        <v>2</v>
      </c>
      <c r="F411" s="56">
        <v>200000</v>
      </c>
      <c r="G411" s="56">
        <v>400000</v>
      </c>
      <c r="H411" t="s">
        <v>872</v>
      </c>
      <c r="I411" s="56">
        <v>0</v>
      </c>
      <c r="J411" s="56">
        <v>15000</v>
      </c>
      <c r="K411" s="56">
        <v>415000</v>
      </c>
      <c r="L411" t="s">
        <v>873</v>
      </c>
      <c r="M411" t="s">
        <v>874</v>
      </c>
      <c r="N411" t="s">
        <v>875</v>
      </c>
      <c r="O411" s="57">
        <v>45748</v>
      </c>
      <c r="P411" t="s">
        <v>877</v>
      </c>
      <c r="Q411" s="56">
        <v>400000</v>
      </c>
      <c r="R411" t="s">
        <v>836</v>
      </c>
      <c r="S411" t="s">
        <v>731</v>
      </c>
      <c r="T411" t="s">
        <v>732</v>
      </c>
      <c r="U411" t="s">
        <v>28</v>
      </c>
      <c r="V411" t="s">
        <v>7</v>
      </c>
      <c r="W411" t="s">
        <v>29</v>
      </c>
      <c r="X411" t="s">
        <v>9</v>
      </c>
      <c r="Y411" s="56">
        <f>IF(clean[[#This Row],[is_delivered]]="Yes",clean[[#This Row],[net_sales]],0 )</f>
        <v>400000</v>
      </c>
    </row>
    <row r="412" spans="1:25">
      <c r="A412" t="s">
        <v>970</v>
      </c>
      <c r="B412" s="9">
        <v>45776</v>
      </c>
      <c r="C412" t="s">
        <v>636</v>
      </c>
      <c r="D412" t="s">
        <v>845</v>
      </c>
      <c r="E412">
        <v>1</v>
      </c>
      <c r="F412" s="56">
        <v>300000</v>
      </c>
      <c r="G412" s="56">
        <v>300000</v>
      </c>
      <c r="H412" t="s">
        <v>872</v>
      </c>
      <c r="I412" s="56">
        <v>0</v>
      </c>
      <c r="J412" s="56">
        <v>10000</v>
      </c>
      <c r="K412" s="56">
        <v>310000</v>
      </c>
      <c r="L412" t="s">
        <v>889</v>
      </c>
      <c r="M412" t="s">
        <v>881</v>
      </c>
      <c r="N412" t="s">
        <v>875</v>
      </c>
      <c r="O412" s="57">
        <v>45748</v>
      </c>
      <c r="P412" t="s">
        <v>877</v>
      </c>
      <c r="Q412" s="56">
        <v>300000</v>
      </c>
      <c r="R412" t="s">
        <v>846</v>
      </c>
      <c r="S412" t="s">
        <v>727</v>
      </c>
      <c r="T412" t="s">
        <v>728</v>
      </c>
      <c r="U412" t="s">
        <v>637</v>
      </c>
      <c r="V412" t="s">
        <v>7</v>
      </c>
      <c r="W412" t="s">
        <v>29</v>
      </c>
      <c r="X412" t="s">
        <v>9</v>
      </c>
      <c r="Y412" s="56">
        <f>IF(clean[[#This Row],[is_delivered]]="Yes",clean[[#This Row],[net_sales]],0 )</f>
        <v>300000</v>
      </c>
    </row>
    <row r="413" spans="1:25">
      <c r="A413" t="s">
        <v>1100</v>
      </c>
      <c r="B413" s="9">
        <v>45776</v>
      </c>
      <c r="C413" t="s">
        <v>260</v>
      </c>
      <c r="D413" t="s">
        <v>855</v>
      </c>
      <c r="E413">
        <v>1</v>
      </c>
      <c r="F413" s="56">
        <v>150000</v>
      </c>
      <c r="G413" s="56">
        <v>150000</v>
      </c>
      <c r="H413" t="s">
        <v>872</v>
      </c>
      <c r="I413" s="56">
        <v>0</v>
      </c>
      <c r="J413" s="56">
        <v>25000</v>
      </c>
      <c r="K413" s="56">
        <v>175000</v>
      </c>
      <c r="L413" t="s">
        <v>889</v>
      </c>
      <c r="M413" t="s">
        <v>903</v>
      </c>
      <c r="N413" t="s">
        <v>905</v>
      </c>
      <c r="O413" s="57">
        <v>45748</v>
      </c>
      <c r="P413" t="s">
        <v>892</v>
      </c>
      <c r="Q413" s="56">
        <v>150000</v>
      </c>
      <c r="R413" t="s">
        <v>856</v>
      </c>
      <c r="S413" t="s">
        <v>747</v>
      </c>
      <c r="T413" t="s">
        <v>748</v>
      </c>
      <c r="U413" t="s">
        <v>261</v>
      </c>
      <c r="V413" t="s">
        <v>7</v>
      </c>
      <c r="W413" t="s">
        <v>51</v>
      </c>
      <c r="X413" t="s">
        <v>9</v>
      </c>
      <c r="Y413" s="56">
        <f>IF(clean[[#This Row],[is_delivered]]="Yes",clean[[#This Row],[net_sales]],0 )</f>
        <v>0</v>
      </c>
    </row>
    <row r="414" spans="1:25">
      <c r="A414" t="s">
        <v>1157</v>
      </c>
      <c r="B414" s="9">
        <v>45776</v>
      </c>
      <c r="C414" t="s">
        <v>598</v>
      </c>
      <c r="D414" t="s">
        <v>771</v>
      </c>
      <c r="E414">
        <v>1</v>
      </c>
      <c r="F414" s="56">
        <v>500000</v>
      </c>
      <c r="G414" s="56">
        <v>500000</v>
      </c>
      <c r="H414" t="s">
        <v>872</v>
      </c>
      <c r="I414" s="56">
        <v>0</v>
      </c>
      <c r="J414" s="56">
        <v>10000</v>
      </c>
      <c r="K414" s="56">
        <v>510000</v>
      </c>
      <c r="L414" t="s">
        <v>884</v>
      </c>
      <c r="M414" t="s">
        <v>901</v>
      </c>
      <c r="N414" t="s">
        <v>890</v>
      </c>
      <c r="O414" s="57">
        <v>45748</v>
      </c>
      <c r="P414" t="s">
        <v>892</v>
      </c>
      <c r="Q414" s="56">
        <v>500000</v>
      </c>
      <c r="R414" t="s">
        <v>772</v>
      </c>
      <c r="S414" t="s">
        <v>747</v>
      </c>
      <c r="T414" t="s">
        <v>748</v>
      </c>
      <c r="U414" t="s">
        <v>599</v>
      </c>
      <c r="V414" t="s">
        <v>7</v>
      </c>
      <c r="W414" t="s">
        <v>12</v>
      </c>
      <c r="X414" t="s">
        <v>9</v>
      </c>
      <c r="Y414" s="56">
        <f>IF(clean[[#This Row],[is_delivered]]="Yes",clean[[#This Row],[net_sales]],0 )</f>
        <v>0</v>
      </c>
    </row>
    <row r="415" spans="1:25">
      <c r="A415" t="s">
        <v>1426</v>
      </c>
      <c r="B415" s="9">
        <v>45776</v>
      </c>
      <c r="C415" t="s">
        <v>446</v>
      </c>
      <c r="D415" t="s">
        <v>781</v>
      </c>
      <c r="E415">
        <v>3</v>
      </c>
      <c r="F415" s="56">
        <v>50000</v>
      </c>
      <c r="G415" s="56">
        <v>150000</v>
      </c>
      <c r="H415" t="s">
        <v>872</v>
      </c>
      <c r="I415" s="56">
        <v>0</v>
      </c>
      <c r="J415" s="56">
        <v>20000</v>
      </c>
      <c r="K415" s="56">
        <v>170000</v>
      </c>
      <c r="L415" t="s">
        <v>880</v>
      </c>
      <c r="M415" t="s">
        <v>874</v>
      </c>
      <c r="N415" t="s">
        <v>875</v>
      </c>
      <c r="O415" s="57">
        <v>45748</v>
      </c>
      <c r="P415" t="s">
        <v>877</v>
      </c>
      <c r="Q415" s="56">
        <v>150000</v>
      </c>
      <c r="R415" t="s">
        <v>782</v>
      </c>
      <c r="S415" t="s">
        <v>743</v>
      </c>
      <c r="T415" t="s">
        <v>744</v>
      </c>
      <c r="U415" t="s">
        <v>447</v>
      </c>
      <c r="V415" t="s">
        <v>23</v>
      </c>
      <c r="W415" t="s">
        <v>8</v>
      </c>
      <c r="X415" t="s">
        <v>9</v>
      </c>
      <c r="Y415" s="56">
        <f>IF(clean[[#This Row],[is_delivered]]="Yes",clean[[#This Row],[net_sales]],0 )</f>
        <v>150000</v>
      </c>
    </row>
    <row r="416" spans="1:25">
      <c r="A416" t="s">
        <v>1569</v>
      </c>
      <c r="B416" s="9">
        <v>45776</v>
      </c>
      <c r="C416" t="s">
        <v>342</v>
      </c>
      <c r="D416" t="s">
        <v>745</v>
      </c>
      <c r="E416">
        <v>1</v>
      </c>
      <c r="F416" s="56">
        <v>500000</v>
      </c>
      <c r="G416" s="56">
        <v>500000</v>
      </c>
      <c r="H416" t="s">
        <v>872</v>
      </c>
      <c r="I416" s="56">
        <v>0</v>
      </c>
      <c r="J416" s="56">
        <v>15000</v>
      </c>
      <c r="K416" s="56">
        <v>515000</v>
      </c>
      <c r="L416" t="s">
        <v>873</v>
      </c>
      <c r="M416" t="s">
        <v>903</v>
      </c>
      <c r="N416" t="s">
        <v>875</v>
      </c>
      <c r="O416" s="57">
        <v>45748</v>
      </c>
      <c r="P416" t="s">
        <v>877</v>
      </c>
      <c r="Q416" s="56">
        <v>500000</v>
      </c>
      <c r="R416" t="s">
        <v>746</v>
      </c>
      <c r="S416" t="s">
        <v>747</v>
      </c>
      <c r="T416" t="s">
        <v>748</v>
      </c>
      <c r="U416" t="s">
        <v>343</v>
      </c>
      <c r="V416" t="s">
        <v>7</v>
      </c>
      <c r="W416" t="s">
        <v>137</v>
      </c>
      <c r="X416" t="s">
        <v>24</v>
      </c>
      <c r="Y416" s="56">
        <f>IF(clean[[#This Row],[is_delivered]]="Yes",clean[[#This Row],[net_sales]],0 )</f>
        <v>500000</v>
      </c>
    </row>
    <row r="417" spans="1:25">
      <c r="A417" t="s">
        <v>922</v>
      </c>
      <c r="B417" s="9">
        <v>45775</v>
      </c>
      <c r="C417" t="s">
        <v>414</v>
      </c>
      <c r="D417" t="s">
        <v>751</v>
      </c>
      <c r="E417">
        <v>1</v>
      </c>
      <c r="F417" s="56">
        <v>150000</v>
      </c>
      <c r="G417" s="56">
        <v>150000</v>
      </c>
      <c r="H417" t="s">
        <v>879</v>
      </c>
      <c r="I417" s="56">
        <v>30000</v>
      </c>
      <c r="J417" s="56">
        <v>30000</v>
      </c>
      <c r="K417" s="56">
        <v>150000</v>
      </c>
      <c r="L417" t="s">
        <v>873</v>
      </c>
      <c r="M417" t="s">
        <v>881</v>
      </c>
      <c r="N417" t="s">
        <v>911</v>
      </c>
      <c r="O417" s="57">
        <v>45748</v>
      </c>
      <c r="P417" t="s">
        <v>892</v>
      </c>
      <c r="Q417" s="56">
        <v>120000</v>
      </c>
      <c r="R417" t="s">
        <v>752</v>
      </c>
      <c r="S417" t="s">
        <v>731</v>
      </c>
      <c r="T417" t="s">
        <v>732</v>
      </c>
      <c r="U417" t="s">
        <v>415</v>
      </c>
      <c r="V417" t="s">
        <v>23</v>
      </c>
      <c r="W417" t="s">
        <v>39</v>
      </c>
      <c r="X417" t="s">
        <v>24</v>
      </c>
      <c r="Y417" s="56">
        <f>IF(clean[[#This Row],[is_delivered]]="Yes",clean[[#This Row],[net_sales]],0 )</f>
        <v>0</v>
      </c>
    </row>
    <row r="418" spans="1:25">
      <c r="A418" t="s">
        <v>1153</v>
      </c>
      <c r="B418" s="9">
        <v>45775</v>
      </c>
      <c r="C418" t="s">
        <v>460</v>
      </c>
      <c r="D418" t="s">
        <v>813</v>
      </c>
      <c r="E418">
        <v>2</v>
      </c>
      <c r="F418" s="56">
        <v>35000</v>
      </c>
      <c r="G418" s="56">
        <v>70000</v>
      </c>
      <c r="H418" t="s">
        <v>879</v>
      </c>
      <c r="I418" s="56">
        <v>14000</v>
      </c>
      <c r="J418" s="56">
        <v>30000</v>
      </c>
      <c r="K418" s="56">
        <v>86000</v>
      </c>
      <c r="L418" t="s">
        <v>884</v>
      </c>
      <c r="M418" t="s">
        <v>903</v>
      </c>
      <c r="N418" t="s">
        <v>905</v>
      </c>
      <c r="O418" s="57">
        <v>45748</v>
      </c>
      <c r="P418" t="s">
        <v>892</v>
      </c>
      <c r="Q418" s="56">
        <v>56000</v>
      </c>
      <c r="R418" t="s">
        <v>814</v>
      </c>
      <c r="S418" t="s">
        <v>735</v>
      </c>
      <c r="T418" t="s">
        <v>736</v>
      </c>
      <c r="U418" t="s">
        <v>461</v>
      </c>
      <c r="V418" t="s">
        <v>23</v>
      </c>
      <c r="W418" t="s">
        <v>51</v>
      </c>
      <c r="X418" t="s">
        <v>9</v>
      </c>
      <c r="Y418" s="56">
        <f>IF(clean[[#This Row],[is_delivered]]="Yes",clean[[#This Row],[net_sales]],0 )</f>
        <v>0</v>
      </c>
    </row>
    <row r="419" spans="1:25">
      <c r="A419" t="s">
        <v>1252</v>
      </c>
      <c r="B419" s="9">
        <v>45775</v>
      </c>
      <c r="C419" t="s">
        <v>322</v>
      </c>
      <c r="D419" t="s">
        <v>751</v>
      </c>
      <c r="E419">
        <v>1</v>
      </c>
      <c r="F419" s="56">
        <v>150000</v>
      </c>
      <c r="G419" s="56">
        <v>150000</v>
      </c>
      <c r="H419" t="s">
        <v>883</v>
      </c>
      <c r="I419" s="56">
        <v>15000</v>
      </c>
      <c r="J419" s="56">
        <v>20000</v>
      </c>
      <c r="K419" s="56">
        <v>155000</v>
      </c>
      <c r="L419" t="s">
        <v>884</v>
      </c>
      <c r="M419" t="s">
        <v>903</v>
      </c>
      <c r="N419" t="s">
        <v>875</v>
      </c>
      <c r="O419" s="57">
        <v>45748</v>
      </c>
      <c r="P419" t="s">
        <v>877</v>
      </c>
      <c r="Q419" s="56">
        <v>135000</v>
      </c>
      <c r="R419" t="s">
        <v>752</v>
      </c>
      <c r="S419" t="s">
        <v>731</v>
      </c>
      <c r="T419" t="s">
        <v>732</v>
      </c>
      <c r="U419" t="s">
        <v>323</v>
      </c>
      <c r="V419" t="s">
        <v>7</v>
      </c>
      <c r="W419" t="s">
        <v>8</v>
      </c>
      <c r="X419" t="s">
        <v>9</v>
      </c>
      <c r="Y419" s="56">
        <f>IF(clean[[#This Row],[is_delivered]]="Yes",clean[[#This Row],[net_sales]],0 )</f>
        <v>135000</v>
      </c>
    </row>
    <row r="420" spans="1:25">
      <c r="A420" t="s">
        <v>1807</v>
      </c>
      <c r="B420" s="9">
        <v>45775</v>
      </c>
      <c r="C420" t="s">
        <v>206</v>
      </c>
      <c r="D420" t="s">
        <v>835</v>
      </c>
      <c r="E420">
        <v>1</v>
      </c>
      <c r="F420" s="56">
        <v>200000</v>
      </c>
      <c r="G420" s="56">
        <v>200000</v>
      </c>
      <c r="H420" t="s">
        <v>879</v>
      </c>
      <c r="I420" s="56">
        <v>40000</v>
      </c>
      <c r="J420" s="56">
        <v>15000</v>
      </c>
      <c r="K420" s="56">
        <v>175000</v>
      </c>
      <c r="L420" t="s">
        <v>884</v>
      </c>
      <c r="M420" t="s">
        <v>903</v>
      </c>
      <c r="N420" t="s">
        <v>875</v>
      </c>
      <c r="O420" s="57">
        <v>45748</v>
      </c>
      <c r="P420" t="s">
        <v>877</v>
      </c>
      <c r="Q420" s="56">
        <v>160000</v>
      </c>
      <c r="R420" t="s">
        <v>836</v>
      </c>
      <c r="S420" t="s">
        <v>731</v>
      </c>
      <c r="T420" t="s">
        <v>732</v>
      </c>
      <c r="U420" t="s">
        <v>207</v>
      </c>
      <c r="V420" t="s">
        <v>7</v>
      </c>
      <c r="W420" t="s">
        <v>20</v>
      </c>
      <c r="X420" t="s">
        <v>9</v>
      </c>
      <c r="Y420" s="56">
        <f>IF(clean[[#This Row],[is_delivered]]="Yes",clean[[#This Row],[net_sales]],0 )</f>
        <v>160000</v>
      </c>
    </row>
    <row r="421" spans="1:25">
      <c r="A421" t="s">
        <v>1973</v>
      </c>
      <c r="B421" s="9">
        <v>45775</v>
      </c>
      <c r="C421" t="s">
        <v>418</v>
      </c>
      <c r="D421" t="s">
        <v>783</v>
      </c>
      <c r="E421">
        <v>2</v>
      </c>
      <c r="F421" s="56">
        <v>500000</v>
      </c>
      <c r="G421" s="56">
        <v>1000000</v>
      </c>
      <c r="H421" t="s">
        <v>895</v>
      </c>
      <c r="I421" s="56">
        <v>150000</v>
      </c>
      <c r="J421" s="56">
        <v>20000</v>
      </c>
      <c r="K421" s="56">
        <v>870000</v>
      </c>
      <c r="L421" t="s">
        <v>884</v>
      </c>
      <c r="M421" t="s">
        <v>881</v>
      </c>
      <c r="N421" t="s">
        <v>875</v>
      </c>
      <c r="O421" s="57">
        <v>45748</v>
      </c>
      <c r="P421" t="s">
        <v>877</v>
      </c>
      <c r="Q421" s="56">
        <v>850000</v>
      </c>
      <c r="R421" t="s">
        <v>784</v>
      </c>
      <c r="S421" t="s">
        <v>747</v>
      </c>
      <c r="T421" t="s">
        <v>748</v>
      </c>
      <c r="U421" t="s">
        <v>419</v>
      </c>
      <c r="V421" t="s">
        <v>7</v>
      </c>
      <c r="W421" t="s">
        <v>51</v>
      </c>
      <c r="X421" t="s">
        <v>24</v>
      </c>
      <c r="Y421" s="56">
        <f>IF(clean[[#This Row],[is_delivered]]="Yes",clean[[#This Row],[net_sales]],0 )</f>
        <v>850000</v>
      </c>
    </row>
    <row r="422" spans="1:25">
      <c r="A422" t="s">
        <v>2063</v>
      </c>
      <c r="B422" s="9">
        <v>45775</v>
      </c>
      <c r="C422" t="s">
        <v>238</v>
      </c>
      <c r="D422" t="s">
        <v>751</v>
      </c>
      <c r="E422">
        <v>2</v>
      </c>
      <c r="F422" s="56">
        <v>150000</v>
      </c>
      <c r="G422" s="56">
        <v>300000</v>
      </c>
      <c r="H422" t="s">
        <v>872</v>
      </c>
      <c r="I422" s="56">
        <v>0</v>
      </c>
      <c r="J422" s="56">
        <v>30000</v>
      </c>
      <c r="K422" s="56">
        <v>330000</v>
      </c>
      <c r="L422" t="s">
        <v>873</v>
      </c>
      <c r="M422" t="s">
        <v>874</v>
      </c>
      <c r="N422" t="s">
        <v>875</v>
      </c>
      <c r="O422" s="57">
        <v>45748</v>
      </c>
      <c r="P422" t="s">
        <v>877</v>
      </c>
      <c r="Q422" s="56">
        <v>300000</v>
      </c>
      <c r="R422" t="s">
        <v>752</v>
      </c>
      <c r="S422" t="s">
        <v>731</v>
      </c>
      <c r="T422" t="s">
        <v>732</v>
      </c>
      <c r="U422" t="s">
        <v>239</v>
      </c>
      <c r="V422" t="s">
        <v>23</v>
      </c>
      <c r="W422" t="s">
        <v>46</v>
      </c>
      <c r="X422" t="s">
        <v>9</v>
      </c>
      <c r="Y422" s="56">
        <f>IF(clean[[#This Row],[is_delivered]]="Yes",clean[[#This Row],[net_sales]],0 )</f>
        <v>300000</v>
      </c>
    </row>
    <row r="423" spans="1:25">
      <c r="A423" t="s">
        <v>1025</v>
      </c>
      <c r="B423" s="9">
        <v>45774</v>
      </c>
      <c r="C423" t="s">
        <v>67</v>
      </c>
      <c r="D423" t="s">
        <v>765</v>
      </c>
      <c r="E423">
        <v>2</v>
      </c>
      <c r="F423" s="56">
        <v>500000</v>
      </c>
      <c r="G423" s="56">
        <v>1000000</v>
      </c>
      <c r="H423" t="s">
        <v>872</v>
      </c>
      <c r="I423" s="56">
        <v>0</v>
      </c>
      <c r="J423" s="56">
        <v>30000</v>
      </c>
      <c r="K423" s="56">
        <v>1030000</v>
      </c>
      <c r="L423" t="s">
        <v>873</v>
      </c>
      <c r="M423" t="s">
        <v>874</v>
      </c>
      <c r="N423" t="s">
        <v>875</v>
      </c>
      <c r="O423" s="57">
        <v>45748</v>
      </c>
      <c r="P423" t="s">
        <v>877</v>
      </c>
      <c r="Q423" s="56">
        <v>1000000</v>
      </c>
      <c r="R423" t="s">
        <v>766</v>
      </c>
      <c r="S423" t="s">
        <v>735</v>
      </c>
      <c r="T423" t="s">
        <v>736</v>
      </c>
      <c r="U423" t="s">
        <v>68</v>
      </c>
      <c r="V423" t="s">
        <v>7</v>
      </c>
      <c r="W423" t="s">
        <v>56</v>
      </c>
      <c r="X423" t="s">
        <v>24</v>
      </c>
      <c r="Y423" s="56">
        <f>IF(clean[[#This Row],[is_delivered]]="Yes",clean[[#This Row],[net_sales]],0 )</f>
        <v>1000000</v>
      </c>
    </row>
    <row r="424" spans="1:25">
      <c r="A424" t="s">
        <v>960</v>
      </c>
      <c r="B424" s="9">
        <v>45774</v>
      </c>
      <c r="C424" t="s">
        <v>706</v>
      </c>
      <c r="D424" t="s">
        <v>751</v>
      </c>
      <c r="E424">
        <v>1</v>
      </c>
      <c r="F424" s="56">
        <v>150000</v>
      </c>
      <c r="G424" s="56">
        <v>150000</v>
      </c>
      <c r="H424" t="s">
        <v>872</v>
      </c>
      <c r="I424" s="56">
        <v>0</v>
      </c>
      <c r="J424" s="56">
        <v>15000</v>
      </c>
      <c r="K424" s="56">
        <v>165000</v>
      </c>
      <c r="L424" t="s">
        <v>889</v>
      </c>
      <c r="M424" t="s">
        <v>901</v>
      </c>
      <c r="N424" t="s">
        <v>921</v>
      </c>
      <c r="O424" s="57">
        <v>45748</v>
      </c>
      <c r="P424" t="s">
        <v>892</v>
      </c>
      <c r="Q424" s="56">
        <v>150000</v>
      </c>
      <c r="R424" t="s">
        <v>752</v>
      </c>
      <c r="S424" t="s">
        <v>731</v>
      </c>
      <c r="T424" t="s">
        <v>732</v>
      </c>
      <c r="U424" t="s">
        <v>707</v>
      </c>
      <c r="V424" t="s">
        <v>7</v>
      </c>
      <c r="W424" t="s">
        <v>39</v>
      </c>
      <c r="X424" t="s">
        <v>9</v>
      </c>
      <c r="Y424" s="56">
        <f>IF(clean[[#This Row],[is_delivered]]="Yes",clean[[#This Row],[net_sales]],0 )</f>
        <v>0</v>
      </c>
    </row>
    <row r="425" spans="1:25">
      <c r="A425" t="s">
        <v>1193</v>
      </c>
      <c r="B425" s="9">
        <v>45774</v>
      </c>
      <c r="C425" t="s">
        <v>206</v>
      </c>
      <c r="D425" t="s">
        <v>805</v>
      </c>
      <c r="E425">
        <v>1</v>
      </c>
      <c r="F425" s="56">
        <v>200000</v>
      </c>
      <c r="G425" s="56">
        <v>200000</v>
      </c>
      <c r="H425" t="s">
        <v>886</v>
      </c>
      <c r="I425" s="56">
        <v>20000</v>
      </c>
      <c r="J425" s="56">
        <v>30000</v>
      </c>
      <c r="K425" s="56">
        <v>210000</v>
      </c>
      <c r="L425" t="s">
        <v>884</v>
      </c>
      <c r="M425" t="s">
        <v>903</v>
      </c>
      <c r="N425" t="s">
        <v>921</v>
      </c>
      <c r="O425" s="57">
        <v>45748</v>
      </c>
      <c r="P425" t="s">
        <v>892</v>
      </c>
      <c r="Q425" s="56">
        <v>180000</v>
      </c>
      <c r="R425" t="s">
        <v>806</v>
      </c>
      <c r="S425" t="s">
        <v>743</v>
      </c>
      <c r="T425" t="s">
        <v>744</v>
      </c>
      <c r="U425" t="s">
        <v>207</v>
      </c>
      <c r="V425" t="s">
        <v>7</v>
      </c>
      <c r="W425" t="s">
        <v>20</v>
      </c>
      <c r="X425" t="s">
        <v>9</v>
      </c>
      <c r="Y425" s="56">
        <f>IF(clean[[#This Row],[is_delivered]]="Yes",clean[[#This Row],[net_sales]],0 )</f>
        <v>0</v>
      </c>
    </row>
    <row r="426" spans="1:25">
      <c r="A426" t="s">
        <v>1138</v>
      </c>
      <c r="B426" s="9">
        <v>45774</v>
      </c>
      <c r="C426" t="s">
        <v>552</v>
      </c>
      <c r="D426" t="s">
        <v>843</v>
      </c>
      <c r="E426">
        <v>2</v>
      </c>
      <c r="F426" s="56">
        <v>100000</v>
      </c>
      <c r="G426" s="56">
        <v>200000</v>
      </c>
      <c r="H426" t="s">
        <v>895</v>
      </c>
      <c r="I426" s="56">
        <v>30000</v>
      </c>
      <c r="J426" s="56">
        <v>25000</v>
      </c>
      <c r="K426" s="56">
        <v>195000</v>
      </c>
      <c r="L426" t="s">
        <v>889</v>
      </c>
      <c r="M426" t="s">
        <v>903</v>
      </c>
      <c r="N426" t="s">
        <v>875</v>
      </c>
      <c r="O426" s="57">
        <v>45748</v>
      </c>
      <c r="P426" t="s">
        <v>877</v>
      </c>
      <c r="Q426" s="56">
        <v>170000</v>
      </c>
      <c r="R426" t="s">
        <v>844</v>
      </c>
      <c r="S426" t="s">
        <v>747</v>
      </c>
      <c r="T426" t="s">
        <v>748</v>
      </c>
      <c r="U426" t="s">
        <v>553</v>
      </c>
      <c r="V426" t="s">
        <v>7</v>
      </c>
      <c r="W426" t="s">
        <v>46</v>
      </c>
      <c r="X426" t="s">
        <v>24</v>
      </c>
      <c r="Y426" s="56">
        <f>IF(clean[[#This Row],[is_delivered]]="Yes",clean[[#This Row],[net_sales]],0 )</f>
        <v>170000</v>
      </c>
    </row>
    <row r="427" spans="1:25">
      <c r="A427" t="s">
        <v>1436</v>
      </c>
      <c r="B427" s="9">
        <v>45774</v>
      </c>
      <c r="C427" t="s">
        <v>468</v>
      </c>
      <c r="D427" t="s">
        <v>783</v>
      </c>
      <c r="E427">
        <v>1</v>
      </c>
      <c r="F427" s="56">
        <v>500000</v>
      </c>
      <c r="G427" s="56">
        <v>500000</v>
      </c>
      <c r="H427" t="s">
        <v>872</v>
      </c>
      <c r="I427" s="56">
        <v>0</v>
      </c>
      <c r="J427" s="56">
        <v>20000</v>
      </c>
      <c r="K427" s="56">
        <v>520000</v>
      </c>
      <c r="L427" t="s">
        <v>884</v>
      </c>
      <c r="M427" t="s">
        <v>901</v>
      </c>
      <c r="N427" t="s">
        <v>875</v>
      </c>
      <c r="O427" s="57">
        <v>45748</v>
      </c>
      <c r="P427" t="s">
        <v>877</v>
      </c>
      <c r="Q427" s="56">
        <v>500000</v>
      </c>
      <c r="R427" t="s">
        <v>784</v>
      </c>
      <c r="S427" t="s">
        <v>747</v>
      </c>
      <c r="T427" t="s">
        <v>748</v>
      </c>
      <c r="U427" t="s">
        <v>469</v>
      </c>
      <c r="V427" t="s">
        <v>23</v>
      </c>
      <c r="W427" t="s">
        <v>12</v>
      </c>
      <c r="X427" t="s">
        <v>24</v>
      </c>
      <c r="Y427" s="56">
        <f>IF(clean[[#This Row],[is_delivered]]="Yes",clean[[#This Row],[net_sales]],0 )</f>
        <v>500000</v>
      </c>
    </row>
    <row r="428" spans="1:25">
      <c r="A428" t="s">
        <v>1444</v>
      </c>
      <c r="B428" s="9">
        <v>45774</v>
      </c>
      <c r="C428" t="s">
        <v>552</v>
      </c>
      <c r="D428" t="s">
        <v>805</v>
      </c>
      <c r="E428">
        <v>2</v>
      </c>
      <c r="F428" s="56">
        <v>200000</v>
      </c>
      <c r="G428" s="56">
        <v>400000</v>
      </c>
      <c r="H428" t="s">
        <v>872</v>
      </c>
      <c r="I428" s="56">
        <v>0</v>
      </c>
      <c r="J428" s="56">
        <v>30000</v>
      </c>
      <c r="K428" s="56">
        <v>430000</v>
      </c>
      <c r="L428" t="s">
        <v>880</v>
      </c>
      <c r="M428" t="s">
        <v>874</v>
      </c>
      <c r="N428" t="s">
        <v>875</v>
      </c>
      <c r="O428" s="57">
        <v>45748</v>
      </c>
      <c r="P428" t="s">
        <v>877</v>
      </c>
      <c r="Q428" s="56">
        <v>400000</v>
      </c>
      <c r="R428" t="s">
        <v>806</v>
      </c>
      <c r="S428" t="s">
        <v>743</v>
      </c>
      <c r="T428" t="s">
        <v>744</v>
      </c>
      <c r="U428" t="s">
        <v>553</v>
      </c>
      <c r="V428" t="s">
        <v>7</v>
      </c>
      <c r="W428" t="s">
        <v>46</v>
      </c>
      <c r="X428" t="s">
        <v>24</v>
      </c>
      <c r="Y428" s="56">
        <f>IF(clean[[#This Row],[is_delivered]]="Yes",clean[[#This Row],[net_sales]],0 )</f>
        <v>400000</v>
      </c>
    </row>
    <row r="429" spans="1:25">
      <c r="A429" t="s">
        <v>1596</v>
      </c>
      <c r="B429" s="9">
        <v>45774</v>
      </c>
      <c r="C429" t="s">
        <v>416</v>
      </c>
      <c r="D429" t="s">
        <v>811</v>
      </c>
      <c r="E429">
        <v>2</v>
      </c>
      <c r="F429" s="56">
        <v>35000</v>
      </c>
      <c r="G429" s="56">
        <v>70000</v>
      </c>
      <c r="H429" t="s">
        <v>895</v>
      </c>
      <c r="I429" s="56">
        <v>10500</v>
      </c>
      <c r="J429" s="56">
        <v>25000</v>
      </c>
      <c r="K429" s="56">
        <v>84500</v>
      </c>
      <c r="L429" t="s">
        <v>873</v>
      </c>
      <c r="M429" t="s">
        <v>901</v>
      </c>
      <c r="N429" t="s">
        <v>875</v>
      </c>
      <c r="O429" s="57">
        <v>45748</v>
      </c>
      <c r="P429" t="s">
        <v>877</v>
      </c>
      <c r="Q429" s="56">
        <v>59500</v>
      </c>
      <c r="R429" t="s">
        <v>812</v>
      </c>
      <c r="S429" t="s">
        <v>731</v>
      </c>
      <c r="T429" t="s">
        <v>732</v>
      </c>
      <c r="U429" t="s">
        <v>417</v>
      </c>
      <c r="V429" t="s">
        <v>23</v>
      </c>
      <c r="W429" t="s">
        <v>39</v>
      </c>
      <c r="X429" t="s">
        <v>15</v>
      </c>
      <c r="Y429" s="56">
        <f>IF(clean[[#This Row],[is_delivered]]="Yes",clean[[#This Row],[net_sales]],0 )</f>
        <v>59500</v>
      </c>
    </row>
    <row r="430" spans="1:25">
      <c r="A430" t="s">
        <v>1602</v>
      </c>
      <c r="B430" s="9">
        <v>45774</v>
      </c>
      <c r="C430" t="s">
        <v>276</v>
      </c>
      <c r="D430" t="s">
        <v>781</v>
      </c>
      <c r="E430">
        <v>1</v>
      </c>
      <c r="F430" s="56">
        <v>50000</v>
      </c>
      <c r="G430" s="56">
        <v>50000</v>
      </c>
      <c r="H430" t="s">
        <v>883</v>
      </c>
      <c r="I430" s="56">
        <v>5000</v>
      </c>
      <c r="J430" s="56">
        <v>30000</v>
      </c>
      <c r="K430" s="56">
        <v>75000</v>
      </c>
      <c r="L430" t="s">
        <v>884</v>
      </c>
      <c r="M430" t="s">
        <v>901</v>
      </c>
      <c r="N430" t="s">
        <v>875</v>
      </c>
      <c r="O430" s="57">
        <v>45748</v>
      </c>
      <c r="P430" t="s">
        <v>877</v>
      </c>
      <c r="Q430" s="56">
        <v>45000</v>
      </c>
      <c r="R430" t="s">
        <v>782</v>
      </c>
      <c r="S430" t="s">
        <v>743</v>
      </c>
      <c r="T430" t="s">
        <v>744</v>
      </c>
      <c r="U430" t="s">
        <v>277</v>
      </c>
      <c r="V430" t="s">
        <v>7</v>
      </c>
      <c r="W430" t="s">
        <v>137</v>
      </c>
      <c r="X430" t="s">
        <v>15</v>
      </c>
      <c r="Y430" s="56">
        <f>IF(clean[[#This Row],[is_delivered]]="Yes",clean[[#This Row],[net_sales]],0 )</f>
        <v>45000</v>
      </c>
    </row>
    <row r="431" spans="1:25">
      <c r="A431" t="s">
        <v>1610</v>
      </c>
      <c r="B431" s="9">
        <v>45774</v>
      </c>
      <c r="C431" t="s">
        <v>346</v>
      </c>
      <c r="D431" t="s">
        <v>799</v>
      </c>
      <c r="E431">
        <v>2</v>
      </c>
      <c r="F431" s="56">
        <v>35000</v>
      </c>
      <c r="G431" s="56">
        <v>70000</v>
      </c>
      <c r="H431" t="s">
        <v>872</v>
      </c>
      <c r="I431" s="56">
        <v>0</v>
      </c>
      <c r="J431" s="56">
        <v>25000</v>
      </c>
      <c r="K431" s="56">
        <v>95000</v>
      </c>
      <c r="L431" t="s">
        <v>884</v>
      </c>
      <c r="M431" t="s">
        <v>881</v>
      </c>
      <c r="N431" t="s">
        <v>875</v>
      </c>
      <c r="O431" s="57">
        <v>45748</v>
      </c>
      <c r="P431" t="s">
        <v>877</v>
      </c>
      <c r="Q431" s="56">
        <v>70000</v>
      </c>
      <c r="R431" t="s">
        <v>800</v>
      </c>
      <c r="S431" t="s">
        <v>731</v>
      </c>
      <c r="T431" t="s">
        <v>732</v>
      </c>
      <c r="U431" t="s">
        <v>347</v>
      </c>
      <c r="V431" t="s">
        <v>23</v>
      </c>
      <c r="W431" t="s">
        <v>46</v>
      </c>
      <c r="X431" t="s">
        <v>9</v>
      </c>
      <c r="Y431" s="56">
        <f>IF(clean[[#This Row],[is_delivered]]="Yes",clean[[#This Row],[net_sales]],0 )</f>
        <v>70000</v>
      </c>
    </row>
    <row r="432" spans="1:25">
      <c r="A432" t="s">
        <v>1774</v>
      </c>
      <c r="B432" s="9">
        <v>45774</v>
      </c>
      <c r="C432" t="s">
        <v>616</v>
      </c>
      <c r="D432" t="s">
        <v>775</v>
      </c>
      <c r="E432">
        <v>2</v>
      </c>
      <c r="F432" s="56">
        <v>75000</v>
      </c>
      <c r="G432" s="56">
        <v>150000</v>
      </c>
      <c r="H432" t="s">
        <v>895</v>
      </c>
      <c r="I432" s="56">
        <v>22500</v>
      </c>
      <c r="J432" s="56">
        <v>10000</v>
      </c>
      <c r="K432" s="56">
        <v>137500</v>
      </c>
      <c r="L432" t="s">
        <v>889</v>
      </c>
      <c r="M432" t="s">
        <v>903</v>
      </c>
      <c r="N432" t="s">
        <v>911</v>
      </c>
      <c r="O432" s="57">
        <v>45748</v>
      </c>
      <c r="P432" t="s">
        <v>892</v>
      </c>
      <c r="Q432" s="56">
        <v>127500</v>
      </c>
      <c r="R432" t="s">
        <v>776</v>
      </c>
      <c r="S432" t="s">
        <v>731</v>
      </c>
      <c r="T432" t="s">
        <v>732</v>
      </c>
      <c r="U432" t="s">
        <v>617</v>
      </c>
      <c r="V432" t="s">
        <v>7</v>
      </c>
      <c r="W432" t="s">
        <v>39</v>
      </c>
      <c r="X432" t="s">
        <v>9</v>
      </c>
      <c r="Y432" s="56">
        <f>IF(clean[[#This Row],[is_delivered]]="Yes",clean[[#This Row],[net_sales]],0 )</f>
        <v>0</v>
      </c>
    </row>
    <row r="433" spans="1:25">
      <c r="A433" t="s">
        <v>1194</v>
      </c>
      <c r="B433" s="9">
        <v>45773</v>
      </c>
      <c r="C433" t="s">
        <v>716</v>
      </c>
      <c r="D433" t="s">
        <v>775</v>
      </c>
      <c r="E433">
        <v>2</v>
      </c>
      <c r="F433" s="56">
        <v>75000</v>
      </c>
      <c r="G433" s="56">
        <v>150000</v>
      </c>
      <c r="H433" t="s">
        <v>879</v>
      </c>
      <c r="I433" s="56">
        <v>30000</v>
      </c>
      <c r="J433" s="56">
        <v>15000</v>
      </c>
      <c r="K433" s="56">
        <v>135000</v>
      </c>
      <c r="L433" t="s">
        <v>873</v>
      </c>
      <c r="M433" t="s">
        <v>903</v>
      </c>
      <c r="N433" t="s">
        <v>875</v>
      </c>
      <c r="O433" s="57">
        <v>45748</v>
      </c>
      <c r="P433" t="s">
        <v>877</v>
      </c>
      <c r="Q433" s="56">
        <v>120000</v>
      </c>
      <c r="R433" t="s">
        <v>776</v>
      </c>
      <c r="S433" t="s">
        <v>731</v>
      </c>
      <c r="T433" t="s">
        <v>732</v>
      </c>
      <c r="U433" t="s">
        <v>717</v>
      </c>
      <c r="V433" t="s">
        <v>23</v>
      </c>
      <c r="W433" t="s">
        <v>8</v>
      </c>
      <c r="X433" t="s">
        <v>9</v>
      </c>
      <c r="Y433" s="56">
        <f>IF(clean[[#This Row],[is_delivered]]="Yes",clean[[#This Row],[net_sales]],0 )</f>
        <v>120000</v>
      </c>
    </row>
    <row r="434" spans="1:25">
      <c r="A434" t="s">
        <v>1579</v>
      </c>
      <c r="B434" s="9">
        <v>45773</v>
      </c>
      <c r="C434" t="s">
        <v>342</v>
      </c>
      <c r="D434" t="s">
        <v>733</v>
      </c>
      <c r="E434">
        <v>4</v>
      </c>
      <c r="F434" s="56">
        <v>150000</v>
      </c>
      <c r="G434" s="56">
        <v>600000</v>
      </c>
      <c r="H434" t="s">
        <v>879</v>
      </c>
      <c r="I434" s="56">
        <v>120000</v>
      </c>
      <c r="J434" s="56">
        <v>25000</v>
      </c>
      <c r="K434" s="56">
        <v>505000</v>
      </c>
      <c r="L434" t="s">
        <v>884</v>
      </c>
      <c r="M434" t="s">
        <v>903</v>
      </c>
      <c r="N434" t="s">
        <v>875</v>
      </c>
      <c r="O434" s="57">
        <v>45748</v>
      </c>
      <c r="P434" t="s">
        <v>877</v>
      </c>
      <c r="Q434" s="56">
        <v>480000</v>
      </c>
      <c r="R434" t="s">
        <v>734</v>
      </c>
      <c r="S434" t="s">
        <v>735</v>
      </c>
      <c r="T434" t="s">
        <v>736</v>
      </c>
      <c r="U434" t="s">
        <v>343</v>
      </c>
      <c r="V434" t="s">
        <v>7</v>
      </c>
      <c r="W434" t="s">
        <v>137</v>
      </c>
      <c r="X434" t="s">
        <v>24</v>
      </c>
      <c r="Y434" s="56">
        <f>IF(clean[[#This Row],[is_delivered]]="Yes",clean[[#This Row],[net_sales]],0 )</f>
        <v>480000</v>
      </c>
    </row>
    <row r="435" spans="1:25">
      <c r="A435" t="s">
        <v>1656</v>
      </c>
      <c r="B435" s="9">
        <v>45773</v>
      </c>
      <c r="C435" t="s">
        <v>682</v>
      </c>
      <c r="D435" t="s">
        <v>761</v>
      </c>
      <c r="E435">
        <v>2</v>
      </c>
      <c r="F435" s="56">
        <v>75000</v>
      </c>
      <c r="G435" s="56">
        <v>150000</v>
      </c>
      <c r="H435" t="s">
        <v>872</v>
      </c>
      <c r="I435" s="56">
        <v>0</v>
      </c>
      <c r="J435" s="56">
        <v>25000</v>
      </c>
      <c r="K435" s="56">
        <v>175000</v>
      </c>
      <c r="L435" t="s">
        <v>880</v>
      </c>
      <c r="M435" t="s">
        <v>874</v>
      </c>
      <c r="N435" t="s">
        <v>875</v>
      </c>
      <c r="O435" s="57">
        <v>45748</v>
      </c>
      <c r="P435" t="s">
        <v>877</v>
      </c>
      <c r="Q435" s="56">
        <v>150000</v>
      </c>
      <c r="R435" t="s">
        <v>762</v>
      </c>
      <c r="S435" t="s">
        <v>727</v>
      </c>
      <c r="T435" t="s">
        <v>728</v>
      </c>
      <c r="U435" t="s">
        <v>683</v>
      </c>
      <c r="V435" t="s">
        <v>7</v>
      </c>
      <c r="W435" t="s">
        <v>137</v>
      </c>
      <c r="X435" t="s">
        <v>9</v>
      </c>
      <c r="Y435" s="56">
        <f>IF(clean[[#This Row],[is_delivered]]="Yes",clean[[#This Row],[net_sales]],0 )</f>
        <v>150000</v>
      </c>
    </row>
    <row r="436" spans="1:25">
      <c r="A436" t="s">
        <v>1713</v>
      </c>
      <c r="B436" s="9">
        <v>45773</v>
      </c>
      <c r="C436" t="s">
        <v>344</v>
      </c>
      <c r="D436" t="s">
        <v>803</v>
      </c>
      <c r="E436">
        <v>3</v>
      </c>
      <c r="F436" s="56">
        <v>50000</v>
      </c>
      <c r="G436" s="56">
        <v>150000</v>
      </c>
      <c r="H436" t="s">
        <v>879</v>
      </c>
      <c r="I436" s="56">
        <v>30000</v>
      </c>
      <c r="J436" s="56">
        <v>10000</v>
      </c>
      <c r="K436" s="56">
        <v>130000</v>
      </c>
      <c r="L436" t="s">
        <v>889</v>
      </c>
      <c r="M436" t="s">
        <v>901</v>
      </c>
      <c r="N436" t="s">
        <v>875</v>
      </c>
      <c r="O436" s="57">
        <v>45748</v>
      </c>
      <c r="P436" t="s">
        <v>877</v>
      </c>
      <c r="Q436" s="56">
        <v>120000</v>
      </c>
      <c r="R436" t="s">
        <v>804</v>
      </c>
      <c r="S436" t="s">
        <v>739</v>
      </c>
      <c r="T436" t="s">
        <v>740</v>
      </c>
      <c r="U436" t="s">
        <v>345</v>
      </c>
      <c r="V436" t="s">
        <v>23</v>
      </c>
      <c r="W436" t="s">
        <v>137</v>
      </c>
      <c r="X436" t="s">
        <v>24</v>
      </c>
      <c r="Y436" s="56">
        <f>IF(clean[[#This Row],[is_delivered]]="Yes",clean[[#This Row],[net_sales]],0 )</f>
        <v>120000</v>
      </c>
    </row>
    <row r="437" spans="1:25">
      <c r="A437" t="s">
        <v>1797</v>
      </c>
      <c r="B437" s="9">
        <v>45773</v>
      </c>
      <c r="C437" t="s">
        <v>652</v>
      </c>
      <c r="D437" t="s">
        <v>765</v>
      </c>
      <c r="E437">
        <v>1</v>
      </c>
      <c r="F437" s="56">
        <v>500000</v>
      </c>
      <c r="G437" s="56">
        <v>500000</v>
      </c>
      <c r="H437" t="s">
        <v>883</v>
      </c>
      <c r="I437" s="56">
        <v>50000</v>
      </c>
      <c r="J437" s="56">
        <v>10000</v>
      </c>
      <c r="K437" s="56">
        <v>460000</v>
      </c>
      <c r="L437" t="s">
        <v>889</v>
      </c>
      <c r="M437" t="s">
        <v>903</v>
      </c>
      <c r="N437" t="s">
        <v>875</v>
      </c>
      <c r="O437" s="57">
        <v>45748</v>
      </c>
      <c r="P437" t="s">
        <v>877</v>
      </c>
      <c r="Q437" s="56">
        <v>450000</v>
      </c>
      <c r="R437" t="s">
        <v>766</v>
      </c>
      <c r="S437" t="s">
        <v>735</v>
      </c>
      <c r="T437" t="s">
        <v>736</v>
      </c>
      <c r="U437" t="s">
        <v>653</v>
      </c>
      <c r="V437" t="s">
        <v>23</v>
      </c>
      <c r="W437" t="s">
        <v>137</v>
      </c>
      <c r="X437" t="s">
        <v>24</v>
      </c>
      <c r="Y437" s="56">
        <f>IF(clean[[#This Row],[is_delivered]]="Yes",clean[[#This Row],[net_sales]],0 )</f>
        <v>450000</v>
      </c>
    </row>
    <row r="438" spans="1:25">
      <c r="A438" t="s">
        <v>2057</v>
      </c>
      <c r="B438" s="9">
        <v>45773</v>
      </c>
      <c r="C438" t="s">
        <v>488</v>
      </c>
      <c r="D438" t="s">
        <v>779</v>
      </c>
      <c r="E438">
        <v>2</v>
      </c>
      <c r="F438" s="56">
        <v>150000</v>
      </c>
      <c r="G438" s="56">
        <v>300000</v>
      </c>
      <c r="H438" t="s">
        <v>886</v>
      </c>
      <c r="I438" s="56">
        <v>30000</v>
      </c>
      <c r="J438" s="56">
        <v>30000</v>
      </c>
      <c r="K438" s="56">
        <v>300000</v>
      </c>
      <c r="L438" t="s">
        <v>889</v>
      </c>
      <c r="M438" t="s">
        <v>903</v>
      </c>
      <c r="N438" t="s">
        <v>890</v>
      </c>
      <c r="O438" s="57">
        <v>45748</v>
      </c>
      <c r="P438" t="s">
        <v>892</v>
      </c>
      <c r="Q438" s="56">
        <v>270000</v>
      </c>
      <c r="R438" t="s">
        <v>780</v>
      </c>
      <c r="S438" t="s">
        <v>739</v>
      </c>
      <c r="T438" t="s">
        <v>740</v>
      </c>
      <c r="U438" t="s">
        <v>489</v>
      </c>
      <c r="V438" t="s">
        <v>23</v>
      </c>
      <c r="W438" t="s">
        <v>20</v>
      </c>
      <c r="X438" t="s">
        <v>15</v>
      </c>
      <c r="Y438" s="56">
        <f>IF(clean[[#This Row],[is_delivered]]="Yes",clean[[#This Row],[net_sales]],0 )</f>
        <v>0</v>
      </c>
    </row>
    <row r="439" spans="1:25">
      <c r="A439" t="s">
        <v>942</v>
      </c>
      <c r="B439" s="9">
        <v>45772</v>
      </c>
      <c r="C439" t="s">
        <v>390</v>
      </c>
      <c r="D439" t="s">
        <v>733</v>
      </c>
      <c r="E439">
        <v>1</v>
      </c>
      <c r="F439" s="56">
        <v>150000</v>
      </c>
      <c r="G439" s="56">
        <v>150000</v>
      </c>
      <c r="H439" t="s">
        <v>883</v>
      </c>
      <c r="I439" s="56">
        <v>15000</v>
      </c>
      <c r="J439" s="56">
        <v>20000</v>
      </c>
      <c r="K439" s="56">
        <v>155000</v>
      </c>
      <c r="L439" t="s">
        <v>880</v>
      </c>
      <c r="M439" t="s">
        <v>901</v>
      </c>
      <c r="N439" t="s">
        <v>875</v>
      </c>
      <c r="O439" s="57">
        <v>45748</v>
      </c>
      <c r="P439" t="s">
        <v>877</v>
      </c>
      <c r="Q439" s="56">
        <v>135000</v>
      </c>
      <c r="R439" t="s">
        <v>734</v>
      </c>
      <c r="S439" t="s">
        <v>735</v>
      </c>
      <c r="T439" t="s">
        <v>736</v>
      </c>
      <c r="U439" t="s">
        <v>391</v>
      </c>
      <c r="V439" t="s">
        <v>23</v>
      </c>
      <c r="W439" t="s">
        <v>56</v>
      </c>
      <c r="X439" t="s">
        <v>15</v>
      </c>
      <c r="Y439" s="56">
        <f>IF(clean[[#This Row],[is_delivered]]="Yes",clean[[#This Row],[net_sales]],0 )</f>
        <v>135000</v>
      </c>
    </row>
    <row r="440" spans="1:25">
      <c r="A440" t="s">
        <v>1074</v>
      </c>
      <c r="B440" s="9">
        <v>45772</v>
      </c>
      <c r="C440" t="s">
        <v>708</v>
      </c>
      <c r="D440" t="s">
        <v>777</v>
      </c>
      <c r="E440">
        <v>2</v>
      </c>
      <c r="F440" s="56">
        <v>200000</v>
      </c>
      <c r="G440" s="56">
        <v>400000</v>
      </c>
      <c r="H440" t="s">
        <v>895</v>
      </c>
      <c r="I440" s="56">
        <v>60000</v>
      </c>
      <c r="J440" s="56">
        <v>15000</v>
      </c>
      <c r="K440" s="56">
        <v>355000</v>
      </c>
      <c r="L440" t="s">
        <v>889</v>
      </c>
      <c r="M440" t="s">
        <v>903</v>
      </c>
      <c r="N440" t="s">
        <v>875</v>
      </c>
      <c r="O440" s="57">
        <v>45748</v>
      </c>
      <c r="P440" t="s">
        <v>877</v>
      </c>
      <c r="Q440" s="56">
        <v>340000</v>
      </c>
      <c r="R440" t="s">
        <v>778</v>
      </c>
      <c r="S440" t="s">
        <v>735</v>
      </c>
      <c r="T440" t="s">
        <v>736</v>
      </c>
      <c r="U440" t="s">
        <v>709</v>
      </c>
      <c r="V440" t="s">
        <v>23</v>
      </c>
      <c r="W440" t="s">
        <v>39</v>
      </c>
      <c r="X440" t="s">
        <v>9</v>
      </c>
      <c r="Y440" s="56">
        <f>IF(clean[[#This Row],[is_delivered]]="Yes",clean[[#This Row],[net_sales]],0 )</f>
        <v>340000</v>
      </c>
    </row>
    <row r="441" spans="1:25">
      <c r="A441" t="s">
        <v>1029</v>
      </c>
      <c r="B441" s="9">
        <v>45772</v>
      </c>
      <c r="C441" t="s">
        <v>544</v>
      </c>
      <c r="D441" t="s">
        <v>767</v>
      </c>
      <c r="E441">
        <v>2</v>
      </c>
      <c r="F441" s="56">
        <v>150000</v>
      </c>
      <c r="G441" s="56">
        <v>300000</v>
      </c>
      <c r="H441" t="s">
        <v>883</v>
      </c>
      <c r="I441" s="56">
        <v>30000</v>
      </c>
      <c r="J441" s="56">
        <v>25000</v>
      </c>
      <c r="K441" s="56">
        <v>295000</v>
      </c>
      <c r="L441" t="s">
        <v>873</v>
      </c>
      <c r="M441" t="s">
        <v>874</v>
      </c>
      <c r="N441" t="s">
        <v>875</v>
      </c>
      <c r="O441" s="57">
        <v>45748</v>
      </c>
      <c r="P441" t="s">
        <v>877</v>
      </c>
      <c r="Q441" s="56">
        <v>270000</v>
      </c>
      <c r="R441" t="s">
        <v>768</v>
      </c>
      <c r="S441" t="s">
        <v>739</v>
      </c>
      <c r="T441" t="s">
        <v>740</v>
      </c>
      <c r="U441" t="s">
        <v>545</v>
      </c>
      <c r="V441" t="s">
        <v>23</v>
      </c>
      <c r="W441" t="s">
        <v>46</v>
      </c>
      <c r="X441" t="s">
        <v>15</v>
      </c>
      <c r="Y441" s="56">
        <f>IF(clean[[#This Row],[is_delivered]]="Yes",clean[[#This Row],[net_sales]],0 )</f>
        <v>270000</v>
      </c>
    </row>
    <row r="442" spans="1:25">
      <c r="A442" t="s">
        <v>1511</v>
      </c>
      <c r="B442" s="9">
        <v>45772</v>
      </c>
      <c r="C442" t="s">
        <v>532</v>
      </c>
      <c r="D442" t="s">
        <v>759</v>
      </c>
      <c r="E442">
        <v>4</v>
      </c>
      <c r="F442" s="56">
        <v>300000</v>
      </c>
      <c r="G442" s="56">
        <v>1200000</v>
      </c>
      <c r="H442" t="s">
        <v>895</v>
      </c>
      <c r="I442" s="56">
        <v>180000</v>
      </c>
      <c r="J442" s="56">
        <v>10000</v>
      </c>
      <c r="K442" s="56">
        <v>1030000</v>
      </c>
      <c r="L442" t="s">
        <v>889</v>
      </c>
      <c r="M442" t="s">
        <v>903</v>
      </c>
      <c r="N442" t="s">
        <v>875</v>
      </c>
      <c r="O442" s="57">
        <v>45748</v>
      </c>
      <c r="P442" t="s">
        <v>877</v>
      </c>
      <c r="Q442" s="56">
        <v>1020000</v>
      </c>
      <c r="R442" t="s">
        <v>760</v>
      </c>
      <c r="S442" t="s">
        <v>747</v>
      </c>
      <c r="T442" t="s">
        <v>748</v>
      </c>
      <c r="U442" t="s">
        <v>533</v>
      </c>
      <c r="V442" t="s">
        <v>7</v>
      </c>
      <c r="W442" t="s">
        <v>12</v>
      </c>
      <c r="X442" t="s">
        <v>24</v>
      </c>
      <c r="Y442" s="56">
        <f>IF(clean[[#This Row],[is_delivered]]="Yes",clean[[#This Row],[net_sales]],0 )</f>
        <v>1020000</v>
      </c>
    </row>
    <row r="443" spans="1:25">
      <c r="A443" t="s">
        <v>1650</v>
      </c>
      <c r="B443" s="9">
        <v>45772</v>
      </c>
      <c r="C443" t="s">
        <v>458</v>
      </c>
      <c r="D443" t="s">
        <v>855</v>
      </c>
      <c r="E443">
        <v>4</v>
      </c>
      <c r="F443" s="56">
        <v>150000</v>
      </c>
      <c r="G443" s="56">
        <v>600000</v>
      </c>
      <c r="H443" t="s">
        <v>886</v>
      </c>
      <c r="I443" s="56">
        <v>60000</v>
      </c>
      <c r="J443" s="56">
        <v>20000</v>
      </c>
      <c r="K443" s="56">
        <v>560000</v>
      </c>
      <c r="L443" t="s">
        <v>884</v>
      </c>
      <c r="M443" t="s">
        <v>874</v>
      </c>
      <c r="N443" t="s">
        <v>875</v>
      </c>
      <c r="O443" s="57">
        <v>45748</v>
      </c>
      <c r="P443" t="s">
        <v>877</v>
      </c>
      <c r="Q443" s="56">
        <v>540000</v>
      </c>
      <c r="R443" t="s">
        <v>856</v>
      </c>
      <c r="S443" t="s">
        <v>747</v>
      </c>
      <c r="T443" t="s">
        <v>748</v>
      </c>
      <c r="U443" t="s">
        <v>459</v>
      </c>
      <c r="V443" t="s">
        <v>23</v>
      </c>
      <c r="W443" t="s">
        <v>20</v>
      </c>
      <c r="X443" t="s">
        <v>15</v>
      </c>
      <c r="Y443" s="56">
        <f>IF(clean[[#This Row],[is_delivered]]="Yes",clean[[#This Row],[net_sales]],0 )</f>
        <v>540000</v>
      </c>
    </row>
    <row r="444" spans="1:25">
      <c r="A444" t="s">
        <v>1738</v>
      </c>
      <c r="B444" s="9">
        <v>45772</v>
      </c>
      <c r="C444" t="s">
        <v>656</v>
      </c>
      <c r="D444" t="s">
        <v>833</v>
      </c>
      <c r="E444">
        <v>3</v>
      </c>
      <c r="F444" s="56">
        <v>200000</v>
      </c>
      <c r="G444" s="56">
        <v>600000</v>
      </c>
      <c r="H444" t="s">
        <v>872</v>
      </c>
      <c r="I444" s="56">
        <v>0</v>
      </c>
      <c r="J444" s="56">
        <v>30000</v>
      </c>
      <c r="K444" s="56">
        <v>630000</v>
      </c>
      <c r="L444" t="s">
        <v>880</v>
      </c>
      <c r="M444" t="s">
        <v>874</v>
      </c>
      <c r="N444" t="s">
        <v>875</v>
      </c>
      <c r="O444" s="57">
        <v>45748</v>
      </c>
      <c r="P444" t="s">
        <v>877</v>
      </c>
      <c r="Q444" s="56">
        <v>600000</v>
      </c>
      <c r="R444" t="s">
        <v>834</v>
      </c>
      <c r="S444" t="s">
        <v>727</v>
      </c>
      <c r="T444" t="s">
        <v>728</v>
      </c>
      <c r="U444" t="s">
        <v>657</v>
      </c>
      <c r="V444" t="s">
        <v>23</v>
      </c>
      <c r="W444" t="s">
        <v>51</v>
      </c>
      <c r="X444" t="s">
        <v>9</v>
      </c>
      <c r="Y444" s="56">
        <f>IF(clean[[#This Row],[is_delivered]]="Yes",clean[[#This Row],[net_sales]],0 )</f>
        <v>600000</v>
      </c>
    </row>
    <row r="445" spans="1:25">
      <c r="A445" t="s">
        <v>1940</v>
      </c>
      <c r="B445" s="9">
        <v>45772</v>
      </c>
      <c r="C445" t="s">
        <v>334</v>
      </c>
      <c r="D445" t="s">
        <v>733</v>
      </c>
      <c r="E445">
        <v>1</v>
      </c>
      <c r="F445" s="56">
        <v>150000</v>
      </c>
      <c r="G445" s="56">
        <v>150000</v>
      </c>
      <c r="H445" t="s">
        <v>879</v>
      </c>
      <c r="I445" s="56">
        <v>30000</v>
      </c>
      <c r="J445" s="56">
        <v>30000</v>
      </c>
      <c r="K445" s="56">
        <v>150000</v>
      </c>
      <c r="L445" t="s">
        <v>880</v>
      </c>
      <c r="M445" t="s">
        <v>901</v>
      </c>
      <c r="N445" t="s">
        <v>875</v>
      </c>
      <c r="O445" s="57">
        <v>45748</v>
      </c>
      <c r="P445" t="s">
        <v>877</v>
      </c>
      <c r="Q445" s="56">
        <v>120000</v>
      </c>
      <c r="R445" t="s">
        <v>734</v>
      </c>
      <c r="S445" t="s">
        <v>735</v>
      </c>
      <c r="T445" t="s">
        <v>736</v>
      </c>
      <c r="U445" t="s">
        <v>335</v>
      </c>
      <c r="V445" t="s">
        <v>7</v>
      </c>
      <c r="W445" t="s">
        <v>46</v>
      </c>
      <c r="X445" t="s">
        <v>9</v>
      </c>
      <c r="Y445" s="56">
        <f>IF(clean[[#This Row],[is_delivered]]="Yes",clean[[#This Row],[net_sales]],0 )</f>
        <v>120000</v>
      </c>
    </row>
    <row r="446" spans="1:25">
      <c r="A446" t="s">
        <v>2078</v>
      </c>
      <c r="B446" s="9">
        <v>45772</v>
      </c>
      <c r="C446" t="s">
        <v>113</v>
      </c>
      <c r="D446" t="s">
        <v>853</v>
      </c>
      <c r="E446">
        <v>3</v>
      </c>
      <c r="F446" s="56">
        <v>75000</v>
      </c>
      <c r="G446" s="56">
        <v>225000</v>
      </c>
      <c r="H446" t="s">
        <v>872</v>
      </c>
      <c r="I446" s="56">
        <v>0</v>
      </c>
      <c r="J446" s="56">
        <v>15000</v>
      </c>
      <c r="K446" s="56">
        <v>240000</v>
      </c>
      <c r="L446" t="s">
        <v>873</v>
      </c>
      <c r="M446" t="s">
        <v>901</v>
      </c>
      <c r="N446" t="s">
        <v>875</v>
      </c>
      <c r="O446" s="57">
        <v>45748</v>
      </c>
      <c r="P446" t="s">
        <v>877</v>
      </c>
      <c r="Q446" s="56">
        <v>225000</v>
      </c>
      <c r="R446" t="s">
        <v>854</v>
      </c>
      <c r="S446" t="s">
        <v>743</v>
      </c>
      <c r="T446" t="s">
        <v>744</v>
      </c>
      <c r="U446" t="s">
        <v>114</v>
      </c>
      <c r="V446" t="s">
        <v>23</v>
      </c>
      <c r="W446" t="s">
        <v>39</v>
      </c>
      <c r="X446" t="s">
        <v>24</v>
      </c>
      <c r="Y446" s="56">
        <f>IF(clean[[#This Row],[is_delivered]]="Yes",clean[[#This Row],[net_sales]],0 )</f>
        <v>225000</v>
      </c>
    </row>
    <row r="447" spans="1:25">
      <c r="A447" t="s">
        <v>906</v>
      </c>
      <c r="B447" s="9">
        <v>45771</v>
      </c>
      <c r="C447" t="s">
        <v>248</v>
      </c>
      <c r="D447" t="s">
        <v>769</v>
      </c>
      <c r="E447">
        <v>3</v>
      </c>
      <c r="F447" s="56">
        <v>100000</v>
      </c>
      <c r="G447" s="56">
        <v>300000</v>
      </c>
      <c r="H447" t="s">
        <v>872</v>
      </c>
      <c r="I447" s="56">
        <v>0</v>
      </c>
      <c r="J447" s="56">
        <v>20000</v>
      </c>
      <c r="K447" s="56">
        <v>320000</v>
      </c>
      <c r="L447" t="s">
        <v>873</v>
      </c>
      <c r="M447" t="s">
        <v>901</v>
      </c>
      <c r="N447" t="s">
        <v>890</v>
      </c>
      <c r="O447" s="57">
        <v>45748</v>
      </c>
      <c r="P447" t="s">
        <v>892</v>
      </c>
      <c r="Q447" s="56">
        <v>300000</v>
      </c>
      <c r="R447" t="s">
        <v>770</v>
      </c>
      <c r="S447" t="s">
        <v>743</v>
      </c>
      <c r="T447" t="s">
        <v>744</v>
      </c>
      <c r="U447" t="s">
        <v>249</v>
      </c>
      <c r="V447" t="s">
        <v>23</v>
      </c>
      <c r="W447" t="s">
        <v>56</v>
      </c>
      <c r="X447" t="s">
        <v>9</v>
      </c>
      <c r="Y447" s="56">
        <f>IF(clean[[#This Row],[is_delivered]]="Yes",clean[[#This Row],[net_sales]],0 )</f>
        <v>0</v>
      </c>
    </row>
    <row r="448" spans="1:25">
      <c r="A448" t="s">
        <v>1085</v>
      </c>
      <c r="B448" s="9">
        <v>45771</v>
      </c>
      <c r="C448" t="s">
        <v>97</v>
      </c>
      <c r="D448" t="s">
        <v>811</v>
      </c>
      <c r="E448">
        <v>1</v>
      </c>
      <c r="F448" s="56">
        <v>35000</v>
      </c>
      <c r="G448" s="56">
        <v>35000</v>
      </c>
      <c r="H448" t="s">
        <v>883</v>
      </c>
      <c r="I448" s="56">
        <v>3500</v>
      </c>
      <c r="J448" s="56">
        <v>25000</v>
      </c>
      <c r="K448" s="56">
        <v>56500</v>
      </c>
      <c r="L448" t="s">
        <v>889</v>
      </c>
      <c r="M448" t="s">
        <v>874</v>
      </c>
      <c r="N448" t="s">
        <v>875</v>
      </c>
      <c r="O448" s="57">
        <v>45748</v>
      </c>
      <c r="P448" t="s">
        <v>877</v>
      </c>
      <c r="Q448" s="56">
        <v>31500</v>
      </c>
      <c r="R448" t="s">
        <v>812</v>
      </c>
      <c r="S448" t="s">
        <v>731</v>
      </c>
      <c r="T448" t="s">
        <v>732</v>
      </c>
      <c r="U448" t="s">
        <v>98</v>
      </c>
      <c r="V448" t="s">
        <v>7</v>
      </c>
      <c r="W448" t="s">
        <v>39</v>
      </c>
      <c r="X448" t="s">
        <v>9</v>
      </c>
      <c r="Y448" s="56">
        <f>IF(clean[[#This Row],[is_delivered]]="Yes",clean[[#This Row],[net_sales]],0 )</f>
        <v>31500</v>
      </c>
    </row>
    <row r="449" spans="1:25">
      <c r="A449" t="s">
        <v>1240</v>
      </c>
      <c r="B449" s="9">
        <v>45771</v>
      </c>
      <c r="C449" t="s">
        <v>522</v>
      </c>
      <c r="D449" t="s">
        <v>821</v>
      </c>
      <c r="E449">
        <v>2</v>
      </c>
      <c r="F449" s="56">
        <v>50000</v>
      </c>
      <c r="G449" s="56">
        <v>100000</v>
      </c>
      <c r="H449" t="s">
        <v>872</v>
      </c>
      <c r="I449" s="56">
        <v>0</v>
      </c>
      <c r="J449" s="56">
        <v>20000</v>
      </c>
      <c r="K449" s="56">
        <v>120000</v>
      </c>
      <c r="L449" t="s">
        <v>884</v>
      </c>
      <c r="M449" t="s">
        <v>881</v>
      </c>
      <c r="N449" t="s">
        <v>890</v>
      </c>
      <c r="O449" s="57">
        <v>45748</v>
      </c>
      <c r="P449" t="s">
        <v>892</v>
      </c>
      <c r="Q449" s="56">
        <v>100000</v>
      </c>
      <c r="R449" t="s">
        <v>822</v>
      </c>
      <c r="S449" t="s">
        <v>727</v>
      </c>
      <c r="T449" t="s">
        <v>728</v>
      </c>
      <c r="U449" t="s">
        <v>523</v>
      </c>
      <c r="V449" t="s">
        <v>7</v>
      </c>
      <c r="W449" t="s">
        <v>8</v>
      </c>
      <c r="X449" t="s">
        <v>24</v>
      </c>
      <c r="Y449" s="56">
        <f>IF(clean[[#This Row],[is_delivered]]="Yes",clean[[#This Row],[net_sales]],0 )</f>
        <v>0</v>
      </c>
    </row>
    <row r="450" spans="1:25">
      <c r="A450" t="s">
        <v>1046</v>
      </c>
      <c r="B450" s="9">
        <v>45771</v>
      </c>
      <c r="C450" t="s">
        <v>574</v>
      </c>
      <c r="D450" t="s">
        <v>839</v>
      </c>
      <c r="E450">
        <v>3</v>
      </c>
      <c r="F450" s="56">
        <v>200000</v>
      </c>
      <c r="G450" s="56">
        <v>600000</v>
      </c>
      <c r="H450" t="s">
        <v>883</v>
      </c>
      <c r="I450" s="56">
        <v>60000</v>
      </c>
      <c r="J450" s="56">
        <v>30000</v>
      </c>
      <c r="K450" s="56">
        <v>570000</v>
      </c>
      <c r="L450" t="s">
        <v>873</v>
      </c>
      <c r="M450" t="s">
        <v>881</v>
      </c>
      <c r="N450" t="s">
        <v>911</v>
      </c>
      <c r="O450" s="57">
        <v>45748</v>
      </c>
      <c r="P450" t="s">
        <v>892</v>
      </c>
      <c r="Q450" s="56">
        <v>540000</v>
      </c>
      <c r="R450" t="s">
        <v>840</v>
      </c>
      <c r="S450" t="s">
        <v>739</v>
      </c>
      <c r="T450" t="s">
        <v>740</v>
      </c>
      <c r="U450" t="s">
        <v>575</v>
      </c>
      <c r="V450" t="s">
        <v>7</v>
      </c>
      <c r="W450" t="s">
        <v>46</v>
      </c>
      <c r="X450" t="s">
        <v>24</v>
      </c>
      <c r="Y450" s="56">
        <f>IF(clean[[#This Row],[is_delivered]]="Yes",clean[[#This Row],[net_sales]],0 )</f>
        <v>0</v>
      </c>
    </row>
    <row r="451" spans="1:25">
      <c r="A451" t="s">
        <v>1321</v>
      </c>
      <c r="B451" s="9">
        <v>45771</v>
      </c>
      <c r="C451" t="s">
        <v>292</v>
      </c>
      <c r="D451" t="s">
        <v>829</v>
      </c>
      <c r="E451">
        <v>2</v>
      </c>
      <c r="F451" s="56">
        <v>500000</v>
      </c>
      <c r="G451" s="56">
        <v>1000000</v>
      </c>
      <c r="H451" t="s">
        <v>872</v>
      </c>
      <c r="I451" s="56">
        <v>0</v>
      </c>
      <c r="J451" s="56">
        <v>15000</v>
      </c>
      <c r="K451" s="56">
        <v>1015000</v>
      </c>
      <c r="L451" t="s">
        <v>884</v>
      </c>
      <c r="M451" t="s">
        <v>901</v>
      </c>
      <c r="N451" t="s">
        <v>875</v>
      </c>
      <c r="O451" s="57">
        <v>45748</v>
      </c>
      <c r="P451" t="s">
        <v>877</v>
      </c>
      <c r="Q451" s="56">
        <v>1000000</v>
      </c>
      <c r="R451" t="s">
        <v>830</v>
      </c>
      <c r="S451" t="s">
        <v>743</v>
      </c>
      <c r="T451" t="s">
        <v>744</v>
      </c>
      <c r="U451" t="s">
        <v>293</v>
      </c>
      <c r="V451" t="s">
        <v>23</v>
      </c>
      <c r="W451" t="s">
        <v>46</v>
      </c>
      <c r="X451" t="s">
        <v>9</v>
      </c>
      <c r="Y451" s="56">
        <f>IF(clean[[#This Row],[is_delivered]]="Yes",clean[[#This Row],[net_sales]],0 )</f>
        <v>1000000</v>
      </c>
    </row>
    <row r="452" spans="1:25">
      <c r="A452" t="s">
        <v>1424</v>
      </c>
      <c r="B452" s="9">
        <v>45771</v>
      </c>
      <c r="C452" t="s">
        <v>368</v>
      </c>
      <c r="D452" t="s">
        <v>759</v>
      </c>
      <c r="E452">
        <v>4</v>
      </c>
      <c r="F452" s="56">
        <v>300000</v>
      </c>
      <c r="G452" s="56">
        <v>1200000</v>
      </c>
      <c r="H452" t="s">
        <v>895</v>
      </c>
      <c r="I452" s="56">
        <v>180000</v>
      </c>
      <c r="J452" s="56">
        <v>20000</v>
      </c>
      <c r="K452" s="56">
        <v>1040000</v>
      </c>
      <c r="L452" t="s">
        <v>873</v>
      </c>
      <c r="M452" t="s">
        <v>881</v>
      </c>
      <c r="N452" t="s">
        <v>875</v>
      </c>
      <c r="O452" s="57">
        <v>45748</v>
      </c>
      <c r="P452" t="s">
        <v>877</v>
      </c>
      <c r="Q452" s="56">
        <v>1020000</v>
      </c>
      <c r="R452" t="s">
        <v>760</v>
      </c>
      <c r="S452" t="s">
        <v>747</v>
      </c>
      <c r="T452" t="s">
        <v>748</v>
      </c>
      <c r="U452" t="s">
        <v>369</v>
      </c>
      <c r="V452" t="s">
        <v>23</v>
      </c>
      <c r="W452" t="s">
        <v>20</v>
      </c>
      <c r="X452" t="s">
        <v>9</v>
      </c>
      <c r="Y452" s="56">
        <f>IF(clean[[#This Row],[is_delivered]]="Yes",clean[[#This Row],[net_sales]],0 )</f>
        <v>1020000</v>
      </c>
    </row>
    <row r="453" spans="1:25">
      <c r="A453" t="s">
        <v>1705</v>
      </c>
      <c r="B453" s="9">
        <v>45771</v>
      </c>
      <c r="C453" t="s">
        <v>586</v>
      </c>
      <c r="D453" t="s">
        <v>855</v>
      </c>
      <c r="E453">
        <v>1</v>
      </c>
      <c r="F453" s="56">
        <v>150000</v>
      </c>
      <c r="G453" s="56">
        <v>150000</v>
      </c>
      <c r="H453" t="s">
        <v>883</v>
      </c>
      <c r="I453" s="56">
        <v>15000</v>
      </c>
      <c r="J453" s="56">
        <v>25000</v>
      </c>
      <c r="K453" s="56">
        <v>160000</v>
      </c>
      <c r="L453" t="s">
        <v>884</v>
      </c>
      <c r="M453" t="s">
        <v>901</v>
      </c>
      <c r="N453" t="s">
        <v>875</v>
      </c>
      <c r="O453" s="57">
        <v>45748</v>
      </c>
      <c r="P453" t="s">
        <v>877</v>
      </c>
      <c r="Q453" s="56">
        <v>135000</v>
      </c>
      <c r="R453" t="s">
        <v>856</v>
      </c>
      <c r="S453" t="s">
        <v>747</v>
      </c>
      <c r="T453" t="s">
        <v>748</v>
      </c>
      <c r="U453" t="s">
        <v>587</v>
      </c>
      <c r="V453" t="s">
        <v>23</v>
      </c>
      <c r="W453" t="s">
        <v>137</v>
      </c>
      <c r="X453" t="s">
        <v>24</v>
      </c>
      <c r="Y453" s="56">
        <f>IF(clean[[#This Row],[is_delivered]]="Yes",clean[[#This Row],[net_sales]],0 )</f>
        <v>135000</v>
      </c>
    </row>
    <row r="454" spans="1:25">
      <c r="A454" t="s">
        <v>1869</v>
      </c>
      <c r="B454" s="9">
        <v>45771</v>
      </c>
      <c r="C454" t="s">
        <v>121</v>
      </c>
      <c r="D454" t="s">
        <v>803</v>
      </c>
      <c r="E454">
        <v>1</v>
      </c>
      <c r="F454" s="56">
        <v>50000</v>
      </c>
      <c r="G454" s="56">
        <v>50000</v>
      </c>
      <c r="H454" t="s">
        <v>872</v>
      </c>
      <c r="I454" s="56">
        <v>0</v>
      </c>
      <c r="J454" s="56">
        <v>15000</v>
      </c>
      <c r="K454" s="56">
        <v>65000</v>
      </c>
      <c r="L454" t="s">
        <v>884</v>
      </c>
      <c r="M454" t="s">
        <v>874</v>
      </c>
      <c r="N454" t="s">
        <v>875</v>
      </c>
      <c r="O454" s="57">
        <v>45748</v>
      </c>
      <c r="P454" t="s">
        <v>877</v>
      </c>
      <c r="Q454" s="56">
        <v>50000</v>
      </c>
      <c r="R454" t="s">
        <v>804</v>
      </c>
      <c r="S454" t="s">
        <v>739</v>
      </c>
      <c r="T454" t="s">
        <v>740</v>
      </c>
      <c r="U454" t="s">
        <v>122</v>
      </c>
      <c r="V454" t="s">
        <v>7</v>
      </c>
      <c r="W454" t="s">
        <v>36</v>
      </c>
      <c r="X454" t="s">
        <v>9</v>
      </c>
      <c r="Y454" s="56">
        <f>IF(clean[[#This Row],[is_delivered]]="Yes",clean[[#This Row],[net_sales]],0 )</f>
        <v>50000</v>
      </c>
    </row>
    <row r="455" spans="1:25">
      <c r="A455" t="s">
        <v>1920</v>
      </c>
      <c r="B455" s="9">
        <v>45771</v>
      </c>
      <c r="C455" t="s">
        <v>464</v>
      </c>
      <c r="D455" t="s">
        <v>737</v>
      </c>
      <c r="E455">
        <v>3</v>
      </c>
      <c r="F455" s="56">
        <v>300000</v>
      </c>
      <c r="G455" s="56">
        <v>900000</v>
      </c>
      <c r="H455" t="s">
        <v>872</v>
      </c>
      <c r="I455" s="56">
        <v>0</v>
      </c>
      <c r="J455" s="56">
        <v>10000</v>
      </c>
      <c r="K455" s="56">
        <v>910000</v>
      </c>
      <c r="L455" t="s">
        <v>889</v>
      </c>
      <c r="M455" t="s">
        <v>901</v>
      </c>
      <c r="N455" t="s">
        <v>905</v>
      </c>
      <c r="O455" s="57">
        <v>45748</v>
      </c>
      <c r="P455" t="s">
        <v>892</v>
      </c>
      <c r="Q455" s="56">
        <v>900000</v>
      </c>
      <c r="R455" t="s">
        <v>738</v>
      </c>
      <c r="S455" t="s">
        <v>739</v>
      </c>
      <c r="T455" t="s">
        <v>740</v>
      </c>
      <c r="U455" t="s">
        <v>465</v>
      </c>
      <c r="V455" t="s">
        <v>23</v>
      </c>
      <c r="W455" t="s">
        <v>12</v>
      </c>
      <c r="X455" t="s">
        <v>9</v>
      </c>
      <c r="Y455" s="56">
        <f>IF(clean[[#This Row],[is_delivered]]="Yes",clean[[#This Row],[net_sales]],0 )</f>
        <v>0</v>
      </c>
    </row>
    <row r="456" spans="1:25">
      <c r="A456" t="s">
        <v>1925</v>
      </c>
      <c r="B456" s="9">
        <v>45771</v>
      </c>
      <c r="C456" t="s">
        <v>310</v>
      </c>
      <c r="D456" t="s">
        <v>737</v>
      </c>
      <c r="E456">
        <v>4</v>
      </c>
      <c r="F456" s="56">
        <v>300000</v>
      </c>
      <c r="G456" s="56">
        <v>1200000</v>
      </c>
      <c r="H456" t="s">
        <v>872</v>
      </c>
      <c r="I456" s="56">
        <v>0</v>
      </c>
      <c r="J456" s="56">
        <v>10000</v>
      </c>
      <c r="K456" s="56">
        <v>1210000</v>
      </c>
      <c r="L456" t="s">
        <v>884</v>
      </c>
      <c r="M456" t="s">
        <v>874</v>
      </c>
      <c r="N456" t="s">
        <v>875</v>
      </c>
      <c r="O456" s="57">
        <v>45748</v>
      </c>
      <c r="P456" t="s">
        <v>877</v>
      </c>
      <c r="Q456" s="56">
        <v>1200000</v>
      </c>
      <c r="R456" t="s">
        <v>738</v>
      </c>
      <c r="S456" t="s">
        <v>739</v>
      </c>
      <c r="T456" t="s">
        <v>740</v>
      </c>
      <c r="U456" t="s">
        <v>311</v>
      </c>
      <c r="V456" t="s">
        <v>7</v>
      </c>
      <c r="W456" t="s">
        <v>46</v>
      </c>
      <c r="X456" t="s">
        <v>15</v>
      </c>
      <c r="Y456" s="56">
        <f>IF(clean[[#This Row],[is_delivered]]="Yes",clean[[#This Row],[net_sales]],0 )</f>
        <v>1200000</v>
      </c>
    </row>
    <row r="457" spans="1:25">
      <c r="A457" t="s">
        <v>1950</v>
      </c>
      <c r="B457" s="9">
        <v>45771</v>
      </c>
      <c r="C457" t="s">
        <v>69</v>
      </c>
      <c r="D457" t="s">
        <v>765</v>
      </c>
      <c r="E457">
        <v>1</v>
      </c>
      <c r="F457" s="56">
        <v>500000</v>
      </c>
      <c r="G457" s="56">
        <v>500000</v>
      </c>
      <c r="H457" t="s">
        <v>872</v>
      </c>
      <c r="I457" s="56">
        <v>0</v>
      </c>
      <c r="J457" s="56">
        <v>10000</v>
      </c>
      <c r="K457" s="56">
        <v>510000</v>
      </c>
      <c r="L457" t="s">
        <v>889</v>
      </c>
      <c r="M457" t="s">
        <v>881</v>
      </c>
      <c r="N457" t="s">
        <v>875</v>
      </c>
      <c r="O457" s="57">
        <v>45748</v>
      </c>
      <c r="P457" t="s">
        <v>877</v>
      </c>
      <c r="Q457" s="56">
        <v>500000</v>
      </c>
      <c r="R457" t="s">
        <v>766</v>
      </c>
      <c r="S457" t="s">
        <v>735</v>
      </c>
      <c r="T457" t="s">
        <v>736</v>
      </c>
      <c r="U457" t="s">
        <v>70</v>
      </c>
      <c r="V457" t="s">
        <v>7</v>
      </c>
      <c r="W457" t="s">
        <v>29</v>
      </c>
      <c r="X457" t="s">
        <v>9</v>
      </c>
      <c r="Y457" s="56">
        <f>IF(clean[[#This Row],[is_delivered]]="Yes",clean[[#This Row],[net_sales]],0 )</f>
        <v>500000</v>
      </c>
    </row>
    <row r="458" spans="1:25">
      <c r="A458" t="s">
        <v>1980</v>
      </c>
      <c r="B458" s="9">
        <v>45771</v>
      </c>
      <c r="C458" t="s">
        <v>386</v>
      </c>
      <c r="D458" t="s">
        <v>783</v>
      </c>
      <c r="E458">
        <v>1</v>
      </c>
      <c r="F458" s="56">
        <v>500000</v>
      </c>
      <c r="G458" s="56">
        <v>500000</v>
      </c>
      <c r="H458" t="s">
        <v>872</v>
      </c>
      <c r="I458" s="56">
        <v>0</v>
      </c>
      <c r="J458" s="56">
        <v>30000</v>
      </c>
      <c r="K458" s="56">
        <v>530000</v>
      </c>
      <c r="L458" t="s">
        <v>884</v>
      </c>
      <c r="M458" t="s">
        <v>901</v>
      </c>
      <c r="N458" t="s">
        <v>875</v>
      </c>
      <c r="O458" s="57">
        <v>45748</v>
      </c>
      <c r="P458" t="s">
        <v>877</v>
      </c>
      <c r="Q458" s="56">
        <v>500000</v>
      </c>
      <c r="R458" t="s">
        <v>784</v>
      </c>
      <c r="S458" t="s">
        <v>747</v>
      </c>
      <c r="T458" t="s">
        <v>748</v>
      </c>
      <c r="U458" t="s">
        <v>387</v>
      </c>
      <c r="V458" t="s">
        <v>7</v>
      </c>
      <c r="W458" t="s">
        <v>36</v>
      </c>
      <c r="X458" t="s">
        <v>9</v>
      </c>
      <c r="Y458" s="56">
        <f>IF(clean[[#This Row],[is_delivered]]="Yes",clean[[#This Row],[net_sales]],0 )</f>
        <v>500000</v>
      </c>
    </row>
    <row r="459" spans="1:25">
      <c r="A459" t="s">
        <v>888</v>
      </c>
      <c r="B459" s="9">
        <v>45770</v>
      </c>
      <c r="C459" t="s">
        <v>246</v>
      </c>
      <c r="D459" t="s">
        <v>795</v>
      </c>
      <c r="E459">
        <v>3</v>
      </c>
      <c r="F459" s="56">
        <v>100000</v>
      </c>
      <c r="G459" s="56">
        <v>300000</v>
      </c>
      <c r="H459" t="s">
        <v>883</v>
      </c>
      <c r="I459" s="56">
        <v>30000</v>
      </c>
      <c r="J459" s="56">
        <v>20000</v>
      </c>
      <c r="K459" s="56">
        <v>290000</v>
      </c>
      <c r="L459" t="s">
        <v>889</v>
      </c>
      <c r="M459" t="s">
        <v>874</v>
      </c>
      <c r="N459" t="s">
        <v>890</v>
      </c>
      <c r="O459" s="57">
        <v>45748</v>
      </c>
      <c r="P459" t="s">
        <v>892</v>
      </c>
      <c r="Q459" s="56">
        <v>270000</v>
      </c>
      <c r="R459" t="s">
        <v>796</v>
      </c>
      <c r="S459" t="s">
        <v>747</v>
      </c>
      <c r="T459" t="s">
        <v>748</v>
      </c>
      <c r="U459" t="s">
        <v>247</v>
      </c>
      <c r="V459" t="s">
        <v>23</v>
      </c>
      <c r="W459" t="s">
        <v>46</v>
      </c>
      <c r="X459" t="s">
        <v>9</v>
      </c>
      <c r="Y459" s="56">
        <f>IF(clean[[#This Row],[is_delivered]]="Yes",clean[[#This Row],[net_sales]],0 )</f>
        <v>0</v>
      </c>
    </row>
    <row r="460" spans="1:25">
      <c r="A460" t="s">
        <v>1230</v>
      </c>
      <c r="B460" s="9">
        <v>45770</v>
      </c>
      <c r="C460" t="s">
        <v>620</v>
      </c>
      <c r="D460" t="s">
        <v>737</v>
      </c>
      <c r="E460">
        <v>4</v>
      </c>
      <c r="F460" s="56">
        <v>300000</v>
      </c>
      <c r="G460" s="56">
        <v>1200000</v>
      </c>
      <c r="H460" t="s">
        <v>872</v>
      </c>
      <c r="I460" s="56">
        <v>0</v>
      </c>
      <c r="J460" s="56">
        <v>10000</v>
      </c>
      <c r="K460" s="56">
        <v>1210000</v>
      </c>
      <c r="L460" t="s">
        <v>884</v>
      </c>
      <c r="M460" t="s">
        <v>901</v>
      </c>
      <c r="N460" t="s">
        <v>875</v>
      </c>
      <c r="O460" s="57">
        <v>45748</v>
      </c>
      <c r="P460" t="s">
        <v>877</v>
      </c>
      <c r="Q460" s="56">
        <v>1200000</v>
      </c>
      <c r="R460" t="s">
        <v>738</v>
      </c>
      <c r="S460" t="s">
        <v>739</v>
      </c>
      <c r="T460" t="s">
        <v>740</v>
      </c>
      <c r="U460" t="s">
        <v>621</v>
      </c>
      <c r="V460" t="s">
        <v>23</v>
      </c>
      <c r="W460" t="s">
        <v>36</v>
      </c>
      <c r="X460" t="s">
        <v>24</v>
      </c>
      <c r="Y460" s="56">
        <f>IF(clean[[#This Row],[is_delivered]]="Yes",clean[[#This Row],[net_sales]],0 )</f>
        <v>1200000</v>
      </c>
    </row>
    <row r="461" spans="1:25">
      <c r="A461" t="s">
        <v>1147</v>
      </c>
      <c r="B461" s="9">
        <v>45770</v>
      </c>
      <c r="C461" t="s">
        <v>672</v>
      </c>
      <c r="D461" t="s">
        <v>795</v>
      </c>
      <c r="E461">
        <v>4</v>
      </c>
      <c r="F461" s="56">
        <v>100000</v>
      </c>
      <c r="G461" s="56">
        <v>400000</v>
      </c>
      <c r="H461" t="s">
        <v>895</v>
      </c>
      <c r="I461" s="56">
        <v>60000</v>
      </c>
      <c r="J461" s="56">
        <v>30000</v>
      </c>
      <c r="K461" s="56">
        <v>370000</v>
      </c>
      <c r="L461" t="s">
        <v>884</v>
      </c>
      <c r="M461" t="s">
        <v>901</v>
      </c>
      <c r="N461" t="s">
        <v>875</v>
      </c>
      <c r="O461" s="57">
        <v>45748</v>
      </c>
      <c r="P461" t="s">
        <v>877</v>
      </c>
      <c r="Q461" s="56">
        <v>340000</v>
      </c>
      <c r="R461" t="s">
        <v>796</v>
      </c>
      <c r="S461" t="s">
        <v>747</v>
      </c>
      <c r="T461" t="s">
        <v>748</v>
      </c>
      <c r="U461" t="s">
        <v>673</v>
      </c>
      <c r="V461" t="s">
        <v>7</v>
      </c>
      <c r="W461" t="s">
        <v>51</v>
      </c>
      <c r="X461" t="s">
        <v>9</v>
      </c>
      <c r="Y461" s="56">
        <f>IF(clean[[#This Row],[is_delivered]]="Yes",clean[[#This Row],[net_sales]],0 )</f>
        <v>340000</v>
      </c>
    </row>
    <row r="462" spans="1:25">
      <c r="A462" t="s">
        <v>1393</v>
      </c>
      <c r="B462" s="9">
        <v>45770</v>
      </c>
      <c r="C462" t="s">
        <v>458</v>
      </c>
      <c r="D462" t="s">
        <v>725</v>
      </c>
      <c r="E462">
        <v>1</v>
      </c>
      <c r="F462" s="56">
        <v>300000</v>
      </c>
      <c r="G462" s="56">
        <v>300000</v>
      </c>
      <c r="H462" t="s">
        <v>883</v>
      </c>
      <c r="I462" s="56">
        <v>30000</v>
      </c>
      <c r="J462" s="56">
        <v>20000</v>
      </c>
      <c r="K462" s="56">
        <v>290000</v>
      </c>
      <c r="L462" t="s">
        <v>884</v>
      </c>
      <c r="M462" t="s">
        <v>903</v>
      </c>
      <c r="N462" t="s">
        <v>905</v>
      </c>
      <c r="O462" s="57">
        <v>45748</v>
      </c>
      <c r="P462" t="s">
        <v>892</v>
      </c>
      <c r="Q462" s="56">
        <v>270000</v>
      </c>
      <c r="R462" t="s">
        <v>726</v>
      </c>
      <c r="S462" t="s">
        <v>727</v>
      </c>
      <c r="T462" t="s">
        <v>728</v>
      </c>
      <c r="U462" t="s">
        <v>459</v>
      </c>
      <c r="V462" t="s">
        <v>23</v>
      </c>
      <c r="W462" t="s">
        <v>20</v>
      </c>
      <c r="X462" t="s">
        <v>15</v>
      </c>
      <c r="Y462" s="56">
        <f>IF(clean[[#This Row],[is_delivered]]="Yes",clean[[#This Row],[net_sales]],0 )</f>
        <v>0</v>
      </c>
    </row>
    <row r="463" spans="1:25">
      <c r="A463" t="s">
        <v>1768</v>
      </c>
      <c r="B463" s="9">
        <v>45770</v>
      </c>
      <c r="C463" t="s">
        <v>296</v>
      </c>
      <c r="D463" t="s">
        <v>791</v>
      </c>
      <c r="E463">
        <v>1</v>
      </c>
      <c r="F463" s="56">
        <v>50000</v>
      </c>
      <c r="G463" s="56">
        <v>50000</v>
      </c>
      <c r="H463" t="s">
        <v>895</v>
      </c>
      <c r="I463" s="56">
        <v>7500</v>
      </c>
      <c r="J463" s="56">
        <v>10000</v>
      </c>
      <c r="K463" s="56">
        <v>52500</v>
      </c>
      <c r="L463" t="s">
        <v>884</v>
      </c>
      <c r="M463" t="s">
        <v>874</v>
      </c>
      <c r="N463" t="s">
        <v>875</v>
      </c>
      <c r="O463" s="57">
        <v>45748</v>
      </c>
      <c r="P463" t="s">
        <v>877</v>
      </c>
      <c r="Q463" s="56">
        <v>42500</v>
      </c>
      <c r="R463" t="s">
        <v>792</v>
      </c>
      <c r="S463" t="s">
        <v>739</v>
      </c>
      <c r="T463" t="s">
        <v>740</v>
      </c>
      <c r="U463" t="s">
        <v>297</v>
      </c>
      <c r="V463" t="s">
        <v>7</v>
      </c>
      <c r="W463" t="s">
        <v>137</v>
      </c>
      <c r="X463" t="s">
        <v>24</v>
      </c>
      <c r="Y463" s="56">
        <f>IF(clean[[#This Row],[is_delivered]]="Yes",clean[[#This Row],[net_sales]],0 )</f>
        <v>42500</v>
      </c>
    </row>
    <row r="464" spans="1:25">
      <c r="A464" t="s">
        <v>1035</v>
      </c>
      <c r="B464" s="9">
        <v>45769</v>
      </c>
      <c r="C464" t="s">
        <v>522</v>
      </c>
      <c r="D464" t="s">
        <v>771</v>
      </c>
      <c r="E464">
        <v>1</v>
      </c>
      <c r="F464" s="56">
        <v>500000</v>
      </c>
      <c r="G464" s="56">
        <v>500000</v>
      </c>
      <c r="H464" t="s">
        <v>872</v>
      </c>
      <c r="I464" s="56">
        <v>0</v>
      </c>
      <c r="J464" s="56">
        <v>15000</v>
      </c>
      <c r="K464" s="56">
        <v>515000</v>
      </c>
      <c r="L464" t="s">
        <v>884</v>
      </c>
      <c r="M464" t="s">
        <v>903</v>
      </c>
      <c r="N464" t="s">
        <v>875</v>
      </c>
      <c r="O464" s="57">
        <v>45748</v>
      </c>
      <c r="P464" t="s">
        <v>877</v>
      </c>
      <c r="Q464" s="56">
        <v>500000</v>
      </c>
      <c r="R464" t="s">
        <v>772</v>
      </c>
      <c r="S464" t="s">
        <v>747</v>
      </c>
      <c r="T464" t="s">
        <v>748</v>
      </c>
      <c r="U464" t="s">
        <v>523</v>
      </c>
      <c r="V464" t="s">
        <v>7</v>
      </c>
      <c r="W464" t="s">
        <v>8</v>
      </c>
      <c r="X464" t="s">
        <v>24</v>
      </c>
      <c r="Y464" s="56">
        <f>IF(clean[[#This Row],[is_delivered]]="Yes",clean[[#This Row],[net_sales]],0 )</f>
        <v>500000</v>
      </c>
    </row>
    <row r="465" spans="1:25">
      <c r="A465" t="s">
        <v>1199</v>
      </c>
      <c r="B465" s="9">
        <v>45769</v>
      </c>
      <c r="C465" t="s">
        <v>312</v>
      </c>
      <c r="D465" t="s">
        <v>831</v>
      </c>
      <c r="E465">
        <v>4</v>
      </c>
      <c r="F465" s="56">
        <v>300000</v>
      </c>
      <c r="G465" s="56">
        <v>1200000</v>
      </c>
      <c r="H465" t="s">
        <v>872</v>
      </c>
      <c r="I465" s="56">
        <v>0</v>
      </c>
      <c r="J465" s="56">
        <v>20000</v>
      </c>
      <c r="K465" s="56">
        <v>1220000</v>
      </c>
      <c r="L465" t="s">
        <v>873</v>
      </c>
      <c r="M465" t="s">
        <v>881</v>
      </c>
      <c r="N465" t="s">
        <v>875</v>
      </c>
      <c r="O465" s="57">
        <v>45748</v>
      </c>
      <c r="P465" t="s">
        <v>877</v>
      </c>
      <c r="Q465" s="56">
        <v>1200000</v>
      </c>
      <c r="R465" t="s">
        <v>832</v>
      </c>
      <c r="S465" t="s">
        <v>747</v>
      </c>
      <c r="T465" t="s">
        <v>748</v>
      </c>
      <c r="U465" t="s">
        <v>313</v>
      </c>
      <c r="V465" t="s">
        <v>23</v>
      </c>
      <c r="W465" t="s">
        <v>39</v>
      </c>
      <c r="X465" t="s">
        <v>9</v>
      </c>
      <c r="Y465" s="56">
        <f>IF(clean[[#This Row],[is_delivered]]="Yes",clean[[#This Row],[net_sales]],0 )</f>
        <v>1200000</v>
      </c>
    </row>
    <row r="466" spans="1:25">
      <c r="A466" t="s">
        <v>1249</v>
      </c>
      <c r="B466" s="9">
        <v>45769</v>
      </c>
      <c r="C466" t="s">
        <v>107</v>
      </c>
      <c r="D466" t="s">
        <v>769</v>
      </c>
      <c r="E466">
        <v>4</v>
      </c>
      <c r="F466" s="56">
        <v>100000</v>
      </c>
      <c r="G466" s="56">
        <v>400000</v>
      </c>
      <c r="H466" t="s">
        <v>895</v>
      </c>
      <c r="I466" s="56">
        <v>60000</v>
      </c>
      <c r="J466" s="56">
        <v>10000</v>
      </c>
      <c r="K466" s="56">
        <v>350000</v>
      </c>
      <c r="L466" t="s">
        <v>873</v>
      </c>
      <c r="M466" t="s">
        <v>903</v>
      </c>
      <c r="N466" t="s">
        <v>875</v>
      </c>
      <c r="O466" s="57">
        <v>45748</v>
      </c>
      <c r="P466" t="s">
        <v>877</v>
      </c>
      <c r="Q466" s="56">
        <v>340000</v>
      </c>
      <c r="R466" t="s">
        <v>770</v>
      </c>
      <c r="S466" t="s">
        <v>743</v>
      </c>
      <c r="T466" t="s">
        <v>744</v>
      </c>
      <c r="U466" t="s">
        <v>108</v>
      </c>
      <c r="V466" t="s">
        <v>23</v>
      </c>
      <c r="W466" t="s">
        <v>12</v>
      </c>
      <c r="X466" t="s">
        <v>24</v>
      </c>
      <c r="Y466" s="56">
        <f>IF(clean[[#This Row],[is_delivered]]="Yes",clean[[#This Row],[net_sales]],0 )</f>
        <v>340000</v>
      </c>
    </row>
    <row r="467" spans="1:25">
      <c r="A467" t="s">
        <v>1525</v>
      </c>
      <c r="B467" s="9">
        <v>45769</v>
      </c>
      <c r="C467" t="s">
        <v>18</v>
      </c>
      <c r="D467" t="s">
        <v>787</v>
      </c>
      <c r="E467">
        <v>3</v>
      </c>
      <c r="F467" s="56">
        <v>200000</v>
      </c>
      <c r="G467" s="56">
        <v>600000</v>
      </c>
      <c r="H467" t="s">
        <v>883</v>
      </c>
      <c r="I467" s="56">
        <v>60000</v>
      </c>
      <c r="J467" s="56">
        <v>20000</v>
      </c>
      <c r="K467" s="56">
        <v>560000</v>
      </c>
      <c r="L467" t="s">
        <v>884</v>
      </c>
      <c r="M467" t="s">
        <v>881</v>
      </c>
      <c r="N467" t="s">
        <v>875</v>
      </c>
      <c r="O467" s="57">
        <v>45748</v>
      </c>
      <c r="P467" t="s">
        <v>877</v>
      </c>
      <c r="Q467" s="56">
        <v>540000</v>
      </c>
      <c r="R467" t="s">
        <v>788</v>
      </c>
      <c r="S467" t="s">
        <v>731</v>
      </c>
      <c r="T467" t="s">
        <v>732</v>
      </c>
      <c r="U467" t="s">
        <v>19</v>
      </c>
      <c r="V467" t="s">
        <v>7</v>
      </c>
      <c r="W467" t="s">
        <v>20</v>
      </c>
      <c r="X467" t="s">
        <v>9</v>
      </c>
      <c r="Y467" s="56">
        <f>IF(clean[[#This Row],[is_delivered]]="Yes",clean[[#This Row],[net_sales]],0 )</f>
        <v>540000</v>
      </c>
    </row>
    <row r="468" spans="1:25">
      <c r="A468" t="s">
        <v>1868</v>
      </c>
      <c r="B468" s="9">
        <v>45769</v>
      </c>
      <c r="C468" t="s">
        <v>109</v>
      </c>
      <c r="D468" t="s">
        <v>801</v>
      </c>
      <c r="E468">
        <v>2</v>
      </c>
      <c r="F468" s="56">
        <v>100000</v>
      </c>
      <c r="G468" s="56">
        <v>200000</v>
      </c>
      <c r="H468" t="s">
        <v>883</v>
      </c>
      <c r="I468" s="56">
        <v>20000</v>
      </c>
      <c r="J468" s="56">
        <v>20000</v>
      </c>
      <c r="K468" s="56">
        <v>200000</v>
      </c>
      <c r="L468" t="s">
        <v>889</v>
      </c>
      <c r="M468" t="s">
        <v>901</v>
      </c>
      <c r="N468" t="s">
        <v>905</v>
      </c>
      <c r="O468" s="57">
        <v>45748</v>
      </c>
      <c r="P468" t="s">
        <v>892</v>
      </c>
      <c r="Q468" s="56">
        <v>180000</v>
      </c>
      <c r="R468" t="s">
        <v>802</v>
      </c>
      <c r="S468" t="s">
        <v>735</v>
      </c>
      <c r="T468" t="s">
        <v>736</v>
      </c>
      <c r="U468" t="s">
        <v>110</v>
      </c>
      <c r="V468" t="s">
        <v>23</v>
      </c>
      <c r="W468" t="s">
        <v>46</v>
      </c>
      <c r="X468" t="s">
        <v>15</v>
      </c>
      <c r="Y468" s="56">
        <f>IF(clean[[#This Row],[is_delivered]]="Yes",clean[[#This Row],[net_sales]],0 )</f>
        <v>0</v>
      </c>
    </row>
    <row r="469" spans="1:25">
      <c r="A469" t="s">
        <v>1309</v>
      </c>
      <c r="B469" s="9">
        <v>45768</v>
      </c>
      <c r="C469" t="s">
        <v>392</v>
      </c>
      <c r="D469" t="s">
        <v>761</v>
      </c>
      <c r="E469">
        <v>4</v>
      </c>
      <c r="F469" s="56">
        <v>75000</v>
      </c>
      <c r="G469" s="56">
        <v>300000</v>
      </c>
      <c r="H469" t="s">
        <v>872</v>
      </c>
      <c r="I469" s="56">
        <v>0</v>
      </c>
      <c r="J469" s="56">
        <v>15000</v>
      </c>
      <c r="K469" s="56">
        <v>315000</v>
      </c>
      <c r="L469" t="s">
        <v>873</v>
      </c>
      <c r="M469" t="s">
        <v>901</v>
      </c>
      <c r="N469" t="s">
        <v>875</v>
      </c>
      <c r="O469" s="57">
        <v>45748</v>
      </c>
      <c r="P469" t="s">
        <v>877</v>
      </c>
      <c r="Q469" s="56">
        <v>300000</v>
      </c>
      <c r="R469" t="s">
        <v>762</v>
      </c>
      <c r="S469" t="s">
        <v>727</v>
      </c>
      <c r="T469" t="s">
        <v>728</v>
      </c>
      <c r="U469" t="s">
        <v>393</v>
      </c>
      <c r="V469" t="s">
        <v>7</v>
      </c>
      <c r="W469" t="s">
        <v>20</v>
      </c>
      <c r="X469" t="s">
        <v>9</v>
      </c>
      <c r="Y469" s="56">
        <f>IF(clean[[#This Row],[is_delivered]]="Yes",clean[[#This Row],[net_sales]],0 )</f>
        <v>300000</v>
      </c>
    </row>
    <row r="470" spans="1:25">
      <c r="A470" t="s">
        <v>1390</v>
      </c>
      <c r="B470" s="9">
        <v>45768</v>
      </c>
      <c r="C470" t="s">
        <v>702</v>
      </c>
      <c r="D470" t="s">
        <v>821</v>
      </c>
      <c r="E470">
        <v>1</v>
      </c>
      <c r="F470" s="56">
        <v>50000</v>
      </c>
      <c r="G470" s="56">
        <v>50000</v>
      </c>
      <c r="H470" t="s">
        <v>872</v>
      </c>
      <c r="I470" s="56">
        <v>0</v>
      </c>
      <c r="J470" s="56">
        <v>15000</v>
      </c>
      <c r="K470" s="56">
        <v>65000</v>
      </c>
      <c r="L470" t="s">
        <v>884</v>
      </c>
      <c r="M470" t="s">
        <v>903</v>
      </c>
      <c r="N470" t="s">
        <v>875</v>
      </c>
      <c r="O470" s="57">
        <v>45748</v>
      </c>
      <c r="P470" t="s">
        <v>877</v>
      </c>
      <c r="Q470" s="56">
        <v>50000</v>
      </c>
      <c r="R470" t="s">
        <v>822</v>
      </c>
      <c r="S470" t="s">
        <v>727</v>
      </c>
      <c r="T470" t="s">
        <v>728</v>
      </c>
      <c r="U470" t="s">
        <v>703</v>
      </c>
      <c r="V470" t="s">
        <v>23</v>
      </c>
      <c r="W470" t="s">
        <v>20</v>
      </c>
      <c r="X470" t="s">
        <v>9</v>
      </c>
      <c r="Y470" s="56">
        <f>IF(clean[[#This Row],[is_delivered]]="Yes",clean[[#This Row],[net_sales]],0 )</f>
        <v>50000</v>
      </c>
    </row>
    <row r="471" spans="1:25">
      <c r="A471" t="s">
        <v>1589</v>
      </c>
      <c r="B471" s="9">
        <v>45768</v>
      </c>
      <c r="C471" t="s">
        <v>694</v>
      </c>
      <c r="D471" t="s">
        <v>853</v>
      </c>
      <c r="E471">
        <v>1</v>
      </c>
      <c r="F471" s="56">
        <v>75000</v>
      </c>
      <c r="G471" s="56">
        <v>75000</v>
      </c>
      <c r="H471" t="s">
        <v>879</v>
      </c>
      <c r="I471" s="56">
        <v>15000</v>
      </c>
      <c r="J471" s="56">
        <v>10000</v>
      </c>
      <c r="K471" s="56">
        <v>70000</v>
      </c>
      <c r="L471" t="s">
        <v>884</v>
      </c>
      <c r="M471" t="s">
        <v>874</v>
      </c>
      <c r="N471" t="s">
        <v>875</v>
      </c>
      <c r="O471" s="57">
        <v>45748</v>
      </c>
      <c r="P471" t="s">
        <v>877</v>
      </c>
      <c r="Q471" s="56">
        <v>60000</v>
      </c>
      <c r="R471" t="s">
        <v>854</v>
      </c>
      <c r="S471" t="s">
        <v>743</v>
      </c>
      <c r="T471" t="s">
        <v>744</v>
      </c>
      <c r="U471" t="s">
        <v>695</v>
      </c>
      <c r="V471" t="s">
        <v>23</v>
      </c>
      <c r="W471" t="s">
        <v>8</v>
      </c>
      <c r="X471" t="s">
        <v>9</v>
      </c>
      <c r="Y471" s="56">
        <f>IF(clean[[#This Row],[is_delivered]]="Yes",clean[[#This Row],[net_sales]],0 )</f>
        <v>60000</v>
      </c>
    </row>
    <row r="472" spans="1:25">
      <c r="A472" t="s">
        <v>1776</v>
      </c>
      <c r="B472" s="9">
        <v>45768</v>
      </c>
      <c r="C472" t="s">
        <v>308</v>
      </c>
      <c r="D472" t="s">
        <v>773</v>
      </c>
      <c r="E472">
        <v>2</v>
      </c>
      <c r="F472" s="56">
        <v>500000</v>
      </c>
      <c r="G472" s="56">
        <v>1000000</v>
      </c>
      <c r="H472" t="s">
        <v>886</v>
      </c>
      <c r="I472" s="56">
        <v>100000</v>
      </c>
      <c r="J472" s="56">
        <v>10000</v>
      </c>
      <c r="K472" s="56">
        <v>910000</v>
      </c>
      <c r="L472" t="s">
        <v>889</v>
      </c>
      <c r="M472" t="s">
        <v>901</v>
      </c>
      <c r="N472" t="s">
        <v>875</v>
      </c>
      <c r="O472" s="57">
        <v>45748</v>
      </c>
      <c r="P472" t="s">
        <v>877</v>
      </c>
      <c r="Q472" s="56">
        <v>900000</v>
      </c>
      <c r="R472" t="s">
        <v>774</v>
      </c>
      <c r="S472" t="s">
        <v>727</v>
      </c>
      <c r="T472" t="s">
        <v>728</v>
      </c>
      <c r="U472" t="s">
        <v>309</v>
      </c>
      <c r="V472" t="s">
        <v>23</v>
      </c>
      <c r="W472" t="s">
        <v>51</v>
      </c>
      <c r="X472" t="s">
        <v>24</v>
      </c>
      <c r="Y472" s="56">
        <f>IF(clean[[#This Row],[is_delivered]]="Yes",clean[[#This Row],[net_sales]],0 )</f>
        <v>900000</v>
      </c>
    </row>
    <row r="473" spans="1:25">
      <c r="A473" t="s">
        <v>2038</v>
      </c>
      <c r="B473" s="9">
        <v>45768</v>
      </c>
      <c r="C473" t="s">
        <v>198</v>
      </c>
      <c r="D473" t="s">
        <v>853</v>
      </c>
      <c r="E473">
        <v>2</v>
      </c>
      <c r="F473" s="56">
        <v>75000</v>
      </c>
      <c r="G473" s="56">
        <v>150000</v>
      </c>
      <c r="H473" t="s">
        <v>886</v>
      </c>
      <c r="I473" s="56">
        <v>15000</v>
      </c>
      <c r="J473" s="56">
        <v>15000</v>
      </c>
      <c r="K473" s="56">
        <v>150000</v>
      </c>
      <c r="L473" t="s">
        <v>884</v>
      </c>
      <c r="M473" t="s">
        <v>901</v>
      </c>
      <c r="N473" t="s">
        <v>875</v>
      </c>
      <c r="O473" s="57">
        <v>45748</v>
      </c>
      <c r="P473" t="s">
        <v>877</v>
      </c>
      <c r="Q473" s="56">
        <v>135000</v>
      </c>
      <c r="R473" t="s">
        <v>854</v>
      </c>
      <c r="S473" t="s">
        <v>743</v>
      </c>
      <c r="T473" t="s">
        <v>744</v>
      </c>
      <c r="U473" t="s">
        <v>199</v>
      </c>
      <c r="V473" t="s">
        <v>23</v>
      </c>
      <c r="W473" t="s">
        <v>39</v>
      </c>
      <c r="X473" t="s">
        <v>15</v>
      </c>
      <c r="Y473" s="56">
        <f>IF(clean[[#This Row],[is_delivered]]="Yes",clean[[#This Row],[net_sales]],0 )</f>
        <v>135000</v>
      </c>
    </row>
    <row r="474" spans="1:25">
      <c r="A474" t="s">
        <v>2062</v>
      </c>
      <c r="B474" s="9">
        <v>45768</v>
      </c>
      <c r="C474" t="s">
        <v>438</v>
      </c>
      <c r="D474" t="s">
        <v>725</v>
      </c>
      <c r="E474">
        <v>1</v>
      </c>
      <c r="F474" s="56">
        <v>300000</v>
      </c>
      <c r="G474" s="56">
        <v>300000</v>
      </c>
      <c r="H474" t="s">
        <v>872</v>
      </c>
      <c r="I474" s="56">
        <v>0</v>
      </c>
      <c r="J474" s="56">
        <v>15000</v>
      </c>
      <c r="K474" s="56">
        <v>315000</v>
      </c>
      <c r="L474" t="s">
        <v>873</v>
      </c>
      <c r="M474" t="s">
        <v>874</v>
      </c>
      <c r="N474" t="s">
        <v>875</v>
      </c>
      <c r="O474" s="57">
        <v>45748</v>
      </c>
      <c r="P474" t="s">
        <v>877</v>
      </c>
      <c r="Q474" s="56">
        <v>300000</v>
      </c>
      <c r="R474" t="s">
        <v>726</v>
      </c>
      <c r="S474" t="s">
        <v>727</v>
      </c>
      <c r="T474" t="s">
        <v>728</v>
      </c>
      <c r="U474" t="s">
        <v>439</v>
      </c>
      <c r="V474" t="s">
        <v>7</v>
      </c>
      <c r="W474" t="s">
        <v>137</v>
      </c>
      <c r="X474" t="s">
        <v>24</v>
      </c>
      <c r="Y474" s="56">
        <f>IF(clean[[#This Row],[is_delivered]]="Yes",clean[[#This Row],[net_sales]],0 )</f>
        <v>300000</v>
      </c>
    </row>
    <row r="475" spans="1:25">
      <c r="A475" t="s">
        <v>935</v>
      </c>
      <c r="B475" s="9">
        <v>45767</v>
      </c>
      <c r="C475" t="s">
        <v>678</v>
      </c>
      <c r="D475" t="s">
        <v>821</v>
      </c>
      <c r="E475">
        <v>1</v>
      </c>
      <c r="F475" s="56">
        <v>50000</v>
      </c>
      <c r="G475" s="56">
        <v>50000</v>
      </c>
      <c r="H475" t="s">
        <v>895</v>
      </c>
      <c r="I475" s="56">
        <v>7500</v>
      </c>
      <c r="J475" s="56">
        <v>30000</v>
      </c>
      <c r="K475" s="56">
        <v>72500</v>
      </c>
      <c r="L475" t="s">
        <v>889</v>
      </c>
      <c r="M475" t="s">
        <v>903</v>
      </c>
      <c r="N475" t="s">
        <v>875</v>
      </c>
      <c r="O475" s="57">
        <v>45748</v>
      </c>
      <c r="P475" t="s">
        <v>877</v>
      </c>
      <c r="Q475" s="56">
        <v>42500</v>
      </c>
      <c r="R475" t="s">
        <v>822</v>
      </c>
      <c r="S475" t="s">
        <v>727</v>
      </c>
      <c r="T475" t="s">
        <v>728</v>
      </c>
      <c r="U475" t="s">
        <v>679</v>
      </c>
      <c r="V475" t="s">
        <v>7</v>
      </c>
      <c r="W475" t="s">
        <v>46</v>
      </c>
      <c r="X475" t="s">
        <v>9</v>
      </c>
      <c r="Y475" s="56">
        <f>IF(clean[[#This Row],[is_delivered]]="Yes",clean[[#This Row],[net_sales]],0 )</f>
        <v>42500</v>
      </c>
    </row>
    <row r="476" spans="1:25">
      <c r="A476" t="s">
        <v>961</v>
      </c>
      <c r="B476" s="9">
        <v>45767</v>
      </c>
      <c r="C476" t="s">
        <v>208</v>
      </c>
      <c r="D476" t="s">
        <v>811</v>
      </c>
      <c r="E476">
        <v>1</v>
      </c>
      <c r="F476" s="56">
        <v>35000</v>
      </c>
      <c r="G476" s="56">
        <v>35000</v>
      </c>
      <c r="H476" t="s">
        <v>879</v>
      </c>
      <c r="I476" s="56">
        <v>7000</v>
      </c>
      <c r="J476" s="56">
        <v>20000</v>
      </c>
      <c r="K476" s="56">
        <v>48000</v>
      </c>
      <c r="L476" t="s">
        <v>880</v>
      </c>
      <c r="M476" t="s">
        <v>903</v>
      </c>
      <c r="N476" t="s">
        <v>890</v>
      </c>
      <c r="O476" s="57">
        <v>45748</v>
      </c>
      <c r="P476" t="s">
        <v>892</v>
      </c>
      <c r="Q476" s="56">
        <v>28000</v>
      </c>
      <c r="R476" t="s">
        <v>812</v>
      </c>
      <c r="S476" t="s">
        <v>731</v>
      </c>
      <c r="T476" t="s">
        <v>732</v>
      </c>
      <c r="U476" t="s">
        <v>209</v>
      </c>
      <c r="V476" t="s">
        <v>7</v>
      </c>
      <c r="W476" t="s">
        <v>20</v>
      </c>
      <c r="X476" t="s">
        <v>9</v>
      </c>
      <c r="Y476" s="56">
        <f>IF(clean[[#This Row],[is_delivered]]="Yes",clean[[#This Row],[net_sales]],0 )</f>
        <v>0</v>
      </c>
    </row>
    <row r="477" spans="1:25">
      <c r="A477" t="s">
        <v>1024</v>
      </c>
      <c r="B477" s="9">
        <v>45767</v>
      </c>
      <c r="C477" t="s">
        <v>690</v>
      </c>
      <c r="D477" t="s">
        <v>843</v>
      </c>
      <c r="E477">
        <v>3</v>
      </c>
      <c r="F477" s="56">
        <v>100000</v>
      </c>
      <c r="G477" s="56">
        <v>300000</v>
      </c>
      <c r="H477" t="s">
        <v>883</v>
      </c>
      <c r="I477" s="56">
        <v>30000</v>
      </c>
      <c r="J477" s="56">
        <v>30000</v>
      </c>
      <c r="K477" s="56">
        <v>300000</v>
      </c>
      <c r="L477" t="s">
        <v>884</v>
      </c>
      <c r="M477" t="s">
        <v>901</v>
      </c>
      <c r="N477" t="s">
        <v>875</v>
      </c>
      <c r="O477" s="57">
        <v>45748</v>
      </c>
      <c r="P477" t="s">
        <v>877</v>
      </c>
      <c r="Q477" s="56">
        <v>270000</v>
      </c>
      <c r="R477" t="s">
        <v>844</v>
      </c>
      <c r="S477" t="s">
        <v>747</v>
      </c>
      <c r="T477" t="s">
        <v>748</v>
      </c>
      <c r="U477" t="s">
        <v>691</v>
      </c>
      <c r="V477" t="s">
        <v>23</v>
      </c>
      <c r="W477" t="s">
        <v>46</v>
      </c>
      <c r="X477" t="s">
        <v>9</v>
      </c>
      <c r="Y477" s="56">
        <f>IF(clean[[#This Row],[is_delivered]]="Yes",clean[[#This Row],[net_sales]],0 )</f>
        <v>270000</v>
      </c>
    </row>
    <row r="478" spans="1:25">
      <c r="A478" t="s">
        <v>1291</v>
      </c>
      <c r="B478" s="9">
        <v>45767</v>
      </c>
      <c r="C478" t="s">
        <v>570</v>
      </c>
      <c r="D478" t="s">
        <v>855</v>
      </c>
      <c r="E478">
        <v>4</v>
      </c>
      <c r="F478" s="56">
        <v>150000</v>
      </c>
      <c r="G478" s="56">
        <v>600000</v>
      </c>
      <c r="H478" t="s">
        <v>883</v>
      </c>
      <c r="I478" s="56">
        <v>60000</v>
      </c>
      <c r="J478" s="56">
        <v>30000</v>
      </c>
      <c r="K478" s="56">
        <v>570000</v>
      </c>
      <c r="L478" t="s">
        <v>884</v>
      </c>
      <c r="M478" t="s">
        <v>901</v>
      </c>
      <c r="N478" t="s">
        <v>875</v>
      </c>
      <c r="O478" s="57">
        <v>45748</v>
      </c>
      <c r="P478" t="s">
        <v>877</v>
      </c>
      <c r="Q478" s="56">
        <v>540000</v>
      </c>
      <c r="R478" t="s">
        <v>856</v>
      </c>
      <c r="S478" t="s">
        <v>747</v>
      </c>
      <c r="T478" t="s">
        <v>748</v>
      </c>
      <c r="U478" t="s">
        <v>571</v>
      </c>
      <c r="V478" t="s">
        <v>23</v>
      </c>
      <c r="W478" t="s">
        <v>56</v>
      </c>
      <c r="X478" t="s">
        <v>9</v>
      </c>
      <c r="Y478" s="56">
        <f>IF(clean[[#This Row],[is_delivered]]="Yes",clean[[#This Row],[net_sales]],0 )</f>
        <v>540000</v>
      </c>
    </row>
    <row r="479" spans="1:25">
      <c r="A479" t="s">
        <v>1327</v>
      </c>
      <c r="B479" s="9">
        <v>45767</v>
      </c>
      <c r="C479" t="s">
        <v>622</v>
      </c>
      <c r="D479" t="s">
        <v>785</v>
      </c>
      <c r="E479">
        <v>2</v>
      </c>
      <c r="F479" s="56">
        <v>100000</v>
      </c>
      <c r="G479" s="56">
        <v>200000</v>
      </c>
      <c r="H479" t="s">
        <v>879</v>
      </c>
      <c r="I479" s="56">
        <v>40000</v>
      </c>
      <c r="J479" s="56">
        <v>25000</v>
      </c>
      <c r="K479" s="56">
        <v>185000</v>
      </c>
      <c r="L479" t="s">
        <v>884</v>
      </c>
      <c r="M479" t="s">
        <v>903</v>
      </c>
      <c r="N479" t="s">
        <v>875</v>
      </c>
      <c r="O479" s="57">
        <v>45748</v>
      </c>
      <c r="P479" t="s">
        <v>877</v>
      </c>
      <c r="Q479" s="56">
        <v>160000</v>
      </c>
      <c r="R479" t="s">
        <v>786</v>
      </c>
      <c r="S479" t="s">
        <v>727</v>
      </c>
      <c r="T479" t="s">
        <v>728</v>
      </c>
      <c r="U479" t="s">
        <v>623</v>
      </c>
      <c r="V479" t="s">
        <v>7</v>
      </c>
      <c r="W479" t="s">
        <v>39</v>
      </c>
      <c r="X479" t="s">
        <v>9</v>
      </c>
      <c r="Y479" s="56">
        <f>IF(clean[[#This Row],[is_delivered]]="Yes",clean[[#This Row],[net_sales]],0 )</f>
        <v>160000</v>
      </c>
    </row>
    <row r="480" spans="1:25">
      <c r="A480" t="s">
        <v>1477</v>
      </c>
      <c r="B480" s="9">
        <v>45767</v>
      </c>
      <c r="C480" t="s">
        <v>574</v>
      </c>
      <c r="D480" t="s">
        <v>733</v>
      </c>
      <c r="E480">
        <v>4</v>
      </c>
      <c r="F480" s="56">
        <v>150000</v>
      </c>
      <c r="G480" s="56">
        <v>600000</v>
      </c>
      <c r="H480" t="s">
        <v>895</v>
      </c>
      <c r="I480" s="56">
        <v>90000</v>
      </c>
      <c r="J480" s="56">
        <v>10000</v>
      </c>
      <c r="K480" s="56">
        <v>520000</v>
      </c>
      <c r="L480" t="s">
        <v>889</v>
      </c>
      <c r="M480" t="s">
        <v>881</v>
      </c>
      <c r="N480" t="s">
        <v>875</v>
      </c>
      <c r="O480" s="57">
        <v>45748</v>
      </c>
      <c r="P480" t="s">
        <v>877</v>
      </c>
      <c r="Q480" s="56">
        <v>510000</v>
      </c>
      <c r="R480" t="s">
        <v>734</v>
      </c>
      <c r="S480" t="s">
        <v>735</v>
      </c>
      <c r="T480" t="s">
        <v>736</v>
      </c>
      <c r="U480" t="s">
        <v>575</v>
      </c>
      <c r="V480" t="s">
        <v>7</v>
      </c>
      <c r="W480" t="s">
        <v>46</v>
      </c>
      <c r="X480" t="s">
        <v>24</v>
      </c>
      <c r="Y480" s="56">
        <f>IF(clean[[#This Row],[is_delivered]]="Yes",clean[[#This Row],[net_sales]],0 )</f>
        <v>510000</v>
      </c>
    </row>
    <row r="481" spans="1:25">
      <c r="A481" t="s">
        <v>1522</v>
      </c>
      <c r="B481" s="9">
        <v>45767</v>
      </c>
      <c r="C481" t="s">
        <v>526</v>
      </c>
      <c r="D481" t="s">
        <v>783</v>
      </c>
      <c r="E481">
        <v>2</v>
      </c>
      <c r="F481" s="56">
        <v>500000</v>
      </c>
      <c r="G481" s="56">
        <v>1000000</v>
      </c>
      <c r="H481" t="s">
        <v>895</v>
      </c>
      <c r="I481" s="56">
        <v>150000</v>
      </c>
      <c r="J481" s="56">
        <v>20000</v>
      </c>
      <c r="K481" s="56">
        <v>870000</v>
      </c>
      <c r="L481" t="s">
        <v>889</v>
      </c>
      <c r="M481" t="s">
        <v>881</v>
      </c>
      <c r="N481" t="s">
        <v>911</v>
      </c>
      <c r="O481" s="57">
        <v>45748</v>
      </c>
      <c r="P481" t="s">
        <v>892</v>
      </c>
      <c r="Q481" s="56">
        <v>850000</v>
      </c>
      <c r="R481" t="s">
        <v>784</v>
      </c>
      <c r="S481" t="s">
        <v>747</v>
      </c>
      <c r="T481" t="s">
        <v>748</v>
      </c>
      <c r="U481" t="s">
        <v>527</v>
      </c>
      <c r="V481" t="s">
        <v>7</v>
      </c>
      <c r="W481" t="s">
        <v>36</v>
      </c>
      <c r="X481" t="s">
        <v>9</v>
      </c>
      <c r="Y481" s="56">
        <f>IF(clean[[#This Row],[is_delivered]]="Yes",clean[[#This Row],[net_sales]],0 )</f>
        <v>0</v>
      </c>
    </row>
    <row r="482" spans="1:25">
      <c r="A482" t="s">
        <v>1775</v>
      </c>
      <c r="B482" s="9">
        <v>45767</v>
      </c>
      <c r="C482" t="s">
        <v>248</v>
      </c>
      <c r="D482" t="s">
        <v>797</v>
      </c>
      <c r="E482">
        <v>1</v>
      </c>
      <c r="F482" s="56">
        <v>150000</v>
      </c>
      <c r="G482" s="56">
        <v>150000</v>
      </c>
      <c r="H482" t="s">
        <v>872</v>
      </c>
      <c r="I482" s="56">
        <v>0</v>
      </c>
      <c r="J482" s="56">
        <v>15000</v>
      </c>
      <c r="K482" s="56">
        <v>165000</v>
      </c>
      <c r="L482" t="s">
        <v>884</v>
      </c>
      <c r="M482" t="s">
        <v>903</v>
      </c>
      <c r="N482" t="s">
        <v>875</v>
      </c>
      <c r="O482" s="57">
        <v>45748</v>
      </c>
      <c r="P482" t="s">
        <v>877</v>
      </c>
      <c r="Q482" s="56">
        <v>150000</v>
      </c>
      <c r="R482" t="s">
        <v>798</v>
      </c>
      <c r="S482" t="s">
        <v>727</v>
      </c>
      <c r="T482" t="s">
        <v>728</v>
      </c>
      <c r="U482" t="s">
        <v>249</v>
      </c>
      <c r="V482" t="s">
        <v>23</v>
      </c>
      <c r="W482" t="s">
        <v>56</v>
      </c>
      <c r="X482" t="s">
        <v>9</v>
      </c>
      <c r="Y482" s="56">
        <f>IF(clean[[#This Row],[is_delivered]]="Yes",clean[[#This Row],[net_sales]],0 )</f>
        <v>150000</v>
      </c>
    </row>
    <row r="483" spans="1:25">
      <c r="A483" t="s">
        <v>1835</v>
      </c>
      <c r="B483" s="9">
        <v>45767</v>
      </c>
      <c r="C483" t="s">
        <v>166</v>
      </c>
      <c r="D483" t="s">
        <v>853</v>
      </c>
      <c r="E483">
        <v>3</v>
      </c>
      <c r="F483" s="56">
        <v>75000</v>
      </c>
      <c r="G483" s="56">
        <v>225000</v>
      </c>
      <c r="H483" t="s">
        <v>895</v>
      </c>
      <c r="I483" s="56">
        <v>33750</v>
      </c>
      <c r="J483" s="56">
        <v>30000</v>
      </c>
      <c r="K483" s="56">
        <v>221250</v>
      </c>
      <c r="L483" t="s">
        <v>880</v>
      </c>
      <c r="M483" t="s">
        <v>903</v>
      </c>
      <c r="N483" t="s">
        <v>875</v>
      </c>
      <c r="O483" s="57">
        <v>45748</v>
      </c>
      <c r="P483" t="s">
        <v>877</v>
      </c>
      <c r="Q483" s="56">
        <v>191250</v>
      </c>
      <c r="R483" t="s">
        <v>854</v>
      </c>
      <c r="S483" t="s">
        <v>743</v>
      </c>
      <c r="T483" t="s">
        <v>744</v>
      </c>
      <c r="U483" t="s">
        <v>167</v>
      </c>
      <c r="V483" t="s">
        <v>7</v>
      </c>
      <c r="W483" t="s">
        <v>39</v>
      </c>
      <c r="X483" t="s">
        <v>24</v>
      </c>
      <c r="Y483" s="56">
        <f>IF(clean[[#This Row],[is_delivered]]="Yes",clean[[#This Row],[net_sales]],0 )</f>
        <v>191250</v>
      </c>
    </row>
    <row r="484" spans="1:25">
      <c r="A484" t="s">
        <v>917</v>
      </c>
      <c r="B484" s="9">
        <v>45766</v>
      </c>
      <c r="C484" t="s">
        <v>420</v>
      </c>
      <c r="D484" t="s">
        <v>787</v>
      </c>
      <c r="E484">
        <v>1</v>
      </c>
      <c r="F484" s="56">
        <v>200000</v>
      </c>
      <c r="G484" s="56">
        <v>200000</v>
      </c>
      <c r="H484" t="s">
        <v>872</v>
      </c>
      <c r="I484" s="56">
        <v>0</v>
      </c>
      <c r="J484" s="56">
        <v>30000</v>
      </c>
      <c r="K484" s="56">
        <v>230000</v>
      </c>
      <c r="L484" t="s">
        <v>889</v>
      </c>
      <c r="M484" t="s">
        <v>901</v>
      </c>
      <c r="N484" t="s">
        <v>875</v>
      </c>
      <c r="O484" s="57">
        <v>45748</v>
      </c>
      <c r="P484" t="s">
        <v>877</v>
      </c>
      <c r="Q484" s="56">
        <v>200000</v>
      </c>
      <c r="R484" t="s">
        <v>788</v>
      </c>
      <c r="S484" t="s">
        <v>731</v>
      </c>
      <c r="T484" t="s">
        <v>732</v>
      </c>
      <c r="U484" t="s">
        <v>421</v>
      </c>
      <c r="V484" t="s">
        <v>7</v>
      </c>
      <c r="W484" t="s">
        <v>137</v>
      </c>
      <c r="X484" t="s">
        <v>24</v>
      </c>
      <c r="Y484" s="56">
        <f>IF(clean[[#This Row],[is_delivered]]="Yes",clean[[#This Row],[net_sales]],0 )</f>
        <v>200000</v>
      </c>
    </row>
    <row r="485" spans="1:25">
      <c r="A485" t="s">
        <v>1065</v>
      </c>
      <c r="B485" s="9">
        <v>45766</v>
      </c>
      <c r="C485" t="s">
        <v>119</v>
      </c>
      <c r="D485" t="s">
        <v>841</v>
      </c>
      <c r="E485">
        <v>1</v>
      </c>
      <c r="F485" s="56">
        <v>75000</v>
      </c>
      <c r="G485" s="56">
        <v>75000</v>
      </c>
      <c r="H485" t="s">
        <v>872</v>
      </c>
      <c r="I485" s="56">
        <v>0</v>
      </c>
      <c r="J485" s="56">
        <v>30000</v>
      </c>
      <c r="K485" s="56">
        <v>105000</v>
      </c>
      <c r="L485" t="s">
        <v>884</v>
      </c>
      <c r="M485" t="s">
        <v>881</v>
      </c>
      <c r="N485" t="s">
        <v>875</v>
      </c>
      <c r="O485" s="57">
        <v>45748</v>
      </c>
      <c r="P485" t="s">
        <v>877</v>
      </c>
      <c r="Q485" s="56">
        <v>75000</v>
      </c>
      <c r="R485" t="s">
        <v>842</v>
      </c>
      <c r="S485" t="s">
        <v>743</v>
      </c>
      <c r="T485" t="s">
        <v>744</v>
      </c>
      <c r="U485" t="s">
        <v>120</v>
      </c>
      <c r="V485" t="s">
        <v>23</v>
      </c>
      <c r="W485" t="s">
        <v>39</v>
      </c>
      <c r="X485" t="s">
        <v>24</v>
      </c>
      <c r="Y485" s="56">
        <f>IF(clean[[#This Row],[is_delivered]]="Yes",clean[[#This Row],[net_sales]],0 )</f>
        <v>75000</v>
      </c>
    </row>
    <row r="486" spans="1:25">
      <c r="A486" t="s">
        <v>1195</v>
      </c>
      <c r="B486" s="9">
        <v>45766</v>
      </c>
      <c r="C486" t="s">
        <v>250</v>
      </c>
      <c r="D486" t="s">
        <v>781</v>
      </c>
      <c r="E486">
        <v>1</v>
      </c>
      <c r="F486" s="56">
        <v>50000</v>
      </c>
      <c r="G486" s="56">
        <v>50000</v>
      </c>
      <c r="H486" t="s">
        <v>872</v>
      </c>
      <c r="I486" s="56">
        <v>0</v>
      </c>
      <c r="J486" s="56">
        <v>10000</v>
      </c>
      <c r="K486" s="56">
        <v>60000</v>
      </c>
      <c r="L486" t="s">
        <v>873</v>
      </c>
      <c r="M486" t="s">
        <v>901</v>
      </c>
      <c r="N486" t="s">
        <v>905</v>
      </c>
      <c r="O486" s="57">
        <v>45748</v>
      </c>
      <c r="P486" t="s">
        <v>892</v>
      </c>
      <c r="Q486" s="56">
        <v>50000</v>
      </c>
      <c r="R486" t="s">
        <v>782</v>
      </c>
      <c r="S486" t="s">
        <v>743</v>
      </c>
      <c r="T486" t="s">
        <v>744</v>
      </c>
      <c r="U486" t="s">
        <v>251</v>
      </c>
      <c r="V486" t="s">
        <v>23</v>
      </c>
      <c r="W486" t="s">
        <v>36</v>
      </c>
      <c r="X486" t="s">
        <v>9</v>
      </c>
      <c r="Y486" s="56">
        <f>IF(clean[[#This Row],[is_delivered]]="Yes",clean[[#This Row],[net_sales]],0 )</f>
        <v>0</v>
      </c>
    </row>
    <row r="487" spans="1:25">
      <c r="A487" t="s">
        <v>993</v>
      </c>
      <c r="B487" s="9">
        <v>45766</v>
      </c>
      <c r="C487" t="s">
        <v>680</v>
      </c>
      <c r="D487" t="s">
        <v>725</v>
      </c>
      <c r="E487">
        <v>3</v>
      </c>
      <c r="F487" s="56">
        <v>300000</v>
      </c>
      <c r="G487" s="56">
        <v>900000</v>
      </c>
      <c r="H487" t="s">
        <v>886</v>
      </c>
      <c r="I487" s="56">
        <v>90000</v>
      </c>
      <c r="J487" s="56">
        <v>15000</v>
      </c>
      <c r="K487" s="56">
        <v>825000</v>
      </c>
      <c r="L487" t="s">
        <v>889</v>
      </c>
      <c r="M487" t="s">
        <v>881</v>
      </c>
      <c r="N487" t="s">
        <v>875</v>
      </c>
      <c r="O487" s="57">
        <v>45748</v>
      </c>
      <c r="P487" t="s">
        <v>877</v>
      </c>
      <c r="Q487" s="56">
        <v>810000</v>
      </c>
      <c r="R487" t="s">
        <v>726</v>
      </c>
      <c r="S487" t="s">
        <v>727</v>
      </c>
      <c r="T487" t="s">
        <v>728</v>
      </c>
      <c r="U487" t="s">
        <v>681</v>
      </c>
      <c r="V487" t="s">
        <v>7</v>
      </c>
      <c r="W487" t="s">
        <v>29</v>
      </c>
      <c r="X487" t="s">
        <v>24</v>
      </c>
      <c r="Y487" s="56">
        <f>IF(clean[[#This Row],[is_delivered]]="Yes",clean[[#This Row],[net_sales]],0 )</f>
        <v>810000</v>
      </c>
    </row>
    <row r="488" spans="1:25">
      <c r="A488" t="s">
        <v>1276</v>
      </c>
      <c r="B488" s="9">
        <v>45766</v>
      </c>
      <c r="C488" t="s">
        <v>712</v>
      </c>
      <c r="D488" t="s">
        <v>805</v>
      </c>
      <c r="E488">
        <v>4</v>
      </c>
      <c r="F488" s="56">
        <v>200000</v>
      </c>
      <c r="G488" s="56">
        <v>800000</v>
      </c>
      <c r="H488" t="s">
        <v>879</v>
      </c>
      <c r="I488" s="56">
        <v>160000</v>
      </c>
      <c r="J488" s="56">
        <v>20000</v>
      </c>
      <c r="K488" s="56">
        <v>660000</v>
      </c>
      <c r="L488" t="s">
        <v>884</v>
      </c>
      <c r="M488" t="s">
        <v>901</v>
      </c>
      <c r="N488" t="s">
        <v>875</v>
      </c>
      <c r="O488" s="57">
        <v>45748</v>
      </c>
      <c r="P488" t="s">
        <v>877</v>
      </c>
      <c r="Q488" s="56">
        <v>640000</v>
      </c>
      <c r="R488" t="s">
        <v>806</v>
      </c>
      <c r="S488" t="s">
        <v>743</v>
      </c>
      <c r="T488" t="s">
        <v>744</v>
      </c>
      <c r="U488" t="s">
        <v>713</v>
      </c>
      <c r="V488" t="s">
        <v>23</v>
      </c>
      <c r="W488" t="s">
        <v>29</v>
      </c>
      <c r="X488" t="s">
        <v>9</v>
      </c>
      <c r="Y488" s="56">
        <f>IF(clean[[#This Row],[is_delivered]]="Yes",clean[[#This Row],[net_sales]],0 )</f>
        <v>640000</v>
      </c>
    </row>
    <row r="489" spans="1:25">
      <c r="A489" t="s">
        <v>1302</v>
      </c>
      <c r="B489" s="9">
        <v>45766</v>
      </c>
      <c r="C489" t="s">
        <v>692</v>
      </c>
      <c r="D489" t="s">
        <v>833</v>
      </c>
      <c r="E489">
        <v>2</v>
      </c>
      <c r="F489" s="56">
        <v>200000</v>
      </c>
      <c r="G489" s="56">
        <v>400000</v>
      </c>
      <c r="H489" t="s">
        <v>886</v>
      </c>
      <c r="I489" s="56">
        <v>40000</v>
      </c>
      <c r="J489" s="56">
        <v>25000</v>
      </c>
      <c r="K489" s="56">
        <v>385000</v>
      </c>
      <c r="L489" t="s">
        <v>873</v>
      </c>
      <c r="M489" t="s">
        <v>874</v>
      </c>
      <c r="N489" t="s">
        <v>875</v>
      </c>
      <c r="O489" s="57">
        <v>45748</v>
      </c>
      <c r="P489" t="s">
        <v>877</v>
      </c>
      <c r="Q489" s="56">
        <v>360000</v>
      </c>
      <c r="R489" t="s">
        <v>834</v>
      </c>
      <c r="S489" t="s">
        <v>727</v>
      </c>
      <c r="T489" t="s">
        <v>728</v>
      </c>
      <c r="U489" t="s">
        <v>693</v>
      </c>
      <c r="V489" t="s">
        <v>23</v>
      </c>
      <c r="W489" t="s">
        <v>36</v>
      </c>
      <c r="X489" t="s">
        <v>9</v>
      </c>
      <c r="Y489" s="56">
        <f>IF(clean[[#This Row],[is_delivered]]="Yes",clean[[#This Row],[net_sales]],0 )</f>
        <v>360000</v>
      </c>
    </row>
    <row r="490" spans="1:25">
      <c r="A490" t="s">
        <v>1484</v>
      </c>
      <c r="B490" s="9">
        <v>45766</v>
      </c>
      <c r="C490" t="s">
        <v>127</v>
      </c>
      <c r="D490" t="s">
        <v>789</v>
      </c>
      <c r="E490">
        <v>1</v>
      </c>
      <c r="F490" s="56">
        <v>200000</v>
      </c>
      <c r="G490" s="56">
        <v>200000</v>
      </c>
      <c r="H490" t="s">
        <v>872</v>
      </c>
      <c r="I490" s="56">
        <v>0</v>
      </c>
      <c r="J490" s="56">
        <v>30000</v>
      </c>
      <c r="K490" s="56">
        <v>230000</v>
      </c>
      <c r="L490" t="s">
        <v>884</v>
      </c>
      <c r="M490" t="s">
        <v>903</v>
      </c>
      <c r="N490" t="s">
        <v>890</v>
      </c>
      <c r="O490" s="57">
        <v>45748</v>
      </c>
      <c r="P490" t="s">
        <v>892</v>
      </c>
      <c r="Q490" s="56">
        <v>200000</v>
      </c>
      <c r="R490" t="s">
        <v>790</v>
      </c>
      <c r="S490" t="s">
        <v>735</v>
      </c>
      <c r="T490" t="s">
        <v>736</v>
      </c>
      <c r="U490" t="s">
        <v>128</v>
      </c>
      <c r="V490" t="s">
        <v>7</v>
      </c>
      <c r="W490" t="s">
        <v>39</v>
      </c>
      <c r="X490" t="s">
        <v>15</v>
      </c>
      <c r="Y490" s="56">
        <f>IF(clean[[#This Row],[is_delivered]]="Yes",clean[[#This Row],[net_sales]],0 )</f>
        <v>0</v>
      </c>
    </row>
    <row r="491" spans="1:25">
      <c r="A491" t="s">
        <v>1562</v>
      </c>
      <c r="B491" s="9">
        <v>45766</v>
      </c>
      <c r="C491" t="s">
        <v>170</v>
      </c>
      <c r="D491" t="s">
        <v>775</v>
      </c>
      <c r="E491">
        <v>1</v>
      </c>
      <c r="F491" s="56">
        <v>75000</v>
      </c>
      <c r="G491" s="56">
        <v>75000</v>
      </c>
      <c r="H491" t="s">
        <v>872</v>
      </c>
      <c r="I491" s="56">
        <v>0</v>
      </c>
      <c r="J491" s="56">
        <v>20000</v>
      </c>
      <c r="K491" s="56">
        <v>95000</v>
      </c>
      <c r="L491" t="s">
        <v>873</v>
      </c>
      <c r="M491" t="s">
        <v>903</v>
      </c>
      <c r="N491" t="s">
        <v>875</v>
      </c>
      <c r="O491" s="57">
        <v>45748</v>
      </c>
      <c r="P491" t="s">
        <v>877</v>
      </c>
      <c r="Q491" s="56">
        <v>75000</v>
      </c>
      <c r="R491" t="s">
        <v>776</v>
      </c>
      <c r="S491" t="s">
        <v>731</v>
      </c>
      <c r="T491" t="s">
        <v>732</v>
      </c>
      <c r="U491" t="s">
        <v>171</v>
      </c>
      <c r="V491" t="s">
        <v>7</v>
      </c>
      <c r="W491" t="s">
        <v>29</v>
      </c>
      <c r="X491" t="s">
        <v>9</v>
      </c>
      <c r="Y491" s="56">
        <f>IF(clean[[#This Row],[is_delivered]]="Yes",clean[[#This Row],[net_sales]],0 )</f>
        <v>75000</v>
      </c>
    </row>
    <row r="492" spans="1:25">
      <c r="A492" t="s">
        <v>1819</v>
      </c>
      <c r="B492" s="9">
        <v>45766</v>
      </c>
      <c r="C492" t="s">
        <v>548</v>
      </c>
      <c r="D492" t="s">
        <v>797</v>
      </c>
      <c r="E492">
        <v>4</v>
      </c>
      <c r="F492" s="56">
        <v>150000</v>
      </c>
      <c r="G492" s="56">
        <v>600000</v>
      </c>
      <c r="H492" t="s">
        <v>872</v>
      </c>
      <c r="I492" s="56">
        <v>0</v>
      </c>
      <c r="J492" s="56">
        <v>25000</v>
      </c>
      <c r="K492" s="56">
        <v>625000</v>
      </c>
      <c r="L492" t="s">
        <v>873</v>
      </c>
      <c r="M492" t="s">
        <v>881</v>
      </c>
      <c r="N492" t="s">
        <v>890</v>
      </c>
      <c r="O492" s="57">
        <v>45748</v>
      </c>
      <c r="P492" t="s">
        <v>892</v>
      </c>
      <c r="Q492" s="56">
        <v>600000</v>
      </c>
      <c r="R492" t="s">
        <v>798</v>
      </c>
      <c r="S492" t="s">
        <v>727</v>
      </c>
      <c r="T492" t="s">
        <v>728</v>
      </c>
      <c r="U492" t="s">
        <v>549</v>
      </c>
      <c r="V492" t="s">
        <v>23</v>
      </c>
      <c r="W492" t="s">
        <v>12</v>
      </c>
      <c r="X492" t="s">
        <v>9</v>
      </c>
      <c r="Y492" s="56">
        <f>IF(clean[[#This Row],[is_delivered]]="Yes",clean[[#This Row],[net_sales]],0 )</f>
        <v>0</v>
      </c>
    </row>
    <row r="493" spans="1:25">
      <c r="A493" t="s">
        <v>1935</v>
      </c>
      <c r="B493" s="9">
        <v>45766</v>
      </c>
      <c r="C493" t="s">
        <v>176</v>
      </c>
      <c r="D493" t="s">
        <v>745</v>
      </c>
      <c r="E493">
        <v>1</v>
      </c>
      <c r="F493" s="56">
        <v>500000</v>
      </c>
      <c r="G493" s="56">
        <v>500000</v>
      </c>
      <c r="H493" t="s">
        <v>879</v>
      </c>
      <c r="I493" s="56">
        <v>100000</v>
      </c>
      <c r="J493" s="56">
        <v>15000</v>
      </c>
      <c r="K493" s="56">
        <v>415000</v>
      </c>
      <c r="L493" t="s">
        <v>884</v>
      </c>
      <c r="M493" t="s">
        <v>901</v>
      </c>
      <c r="N493" t="s">
        <v>875</v>
      </c>
      <c r="O493" s="57">
        <v>45748</v>
      </c>
      <c r="P493" t="s">
        <v>877</v>
      </c>
      <c r="Q493" s="56">
        <v>400000</v>
      </c>
      <c r="R493" t="s">
        <v>746</v>
      </c>
      <c r="S493" t="s">
        <v>747</v>
      </c>
      <c r="T493" t="s">
        <v>748</v>
      </c>
      <c r="U493" t="s">
        <v>177</v>
      </c>
      <c r="V493" t="s">
        <v>7</v>
      </c>
      <c r="W493" t="s">
        <v>56</v>
      </c>
      <c r="X493" t="s">
        <v>9</v>
      </c>
      <c r="Y493" s="56">
        <f>IF(clean[[#This Row],[is_delivered]]="Yes",clean[[#This Row],[net_sales]],0 )</f>
        <v>400000</v>
      </c>
    </row>
    <row r="494" spans="1:25">
      <c r="A494" t="s">
        <v>1184</v>
      </c>
      <c r="B494" s="9">
        <v>45765</v>
      </c>
      <c r="C494" t="s">
        <v>340</v>
      </c>
      <c r="D494" t="s">
        <v>769</v>
      </c>
      <c r="E494">
        <v>1</v>
      </c>
      <c r="F494" s="56">
        <v>100000</v>
      </c>
      <c r="G494" s="56">
        <v>100000</v>
      </c>
      <c r="H494" t="s">
        <v>895</v>
      </c>
      <c r="I494" s="56">
        <v>15000</v>
      </c>
      <c r="J494" s="56">
        <v>10000</v>
      </c>
      <c r="K494" s="56">
        <v>95000</v>
      </c>
      <c r="L494" t="s">
        <v>880</v>
      </c>
      <c r="M494" t="s">
        <v>874</v>
      </c>
      <c r="N494" t="s">
        <v>890</v>
      </c>
      <c r="O494" s="57">
        <v>45748</v>
      </c>
      <c r="P494" t="s">
        <v>892</v>
      </c>
      <c r="Q494" s="56">
        <v>85000</v>
      </c>
      <c r="R494" t="s">
        <v>770</v>
      </c>
      <c r="S494" t="s">
        <v>743</v>
      </c>
      <c r="T494" t="s">
        <v>744</v>
      </c>
      <c r="U494" t="s">
        <v>341</v>
      </c>
      <c r="V494" t="s">
        <v>7</v>
      </c>
      <c r="W494" t="s">
        <v>46</v>
      </c>
      <c r="X494" t="s">
        <v>24</v>
      </c>
      <c r="Y494" s="56">
        <f>IF(clean[[#This Row],[is_delivered]]="Yes",clean[[#This Row],[net_sales]],0 )</f>
        <v>0</v>
      </c>
    </row>
    <row r="495" spans="1:25">
      <c r="A495" t="s">
        <v>973</v>
      </c>
      <c r="B495" s="9">
        <v>45765</v>
      </c>
      <c r="C495" t="s">
        <v>57</v>
      </c>
      <c r="D495" t="s">
        <v>855</v>
      </c>
      <c r="E495">
        <v>1</v>
      </c>
      <c r="F495" s="56">
        <v>150000</v>
      </c>
      <c r="G495" s="56">
        <v>150000</v>
      </c>
      <c r="H495" t="s">
        <v>872</v>
      </c>
      <c r="I495" s="56">
        <v>0</v>
      </c>
      <c r="J495" s="56">
        <v>15000</v>
      </c>
      <c r="K495" s="56">
        <v>165000</v>
      </c>
      <c r="L495" t="s">
        <v>884</v>
      </c>
      <c r="M495" t="s">
        <v>874</v>
      </c>
      <c r="N495" t="s">
        <v>905</v>
      </c>
      <c r="O495" s="57">
        <v>45748</v>
      </c>
      <c r="P495" t="s">
        <v>892</v>
      </c>
      <c r="Q495" s="56">
        <v>150000</v>
      </c>
      <c r="R495" t="s">
        <v>856</v>
      </c>
      <c r="S495" t="s">
        <v>747</v>
      </c>
      <c r="T495" t="s">
        <v>748</v>
      </c>
      <c r="U495" t="s">
        <v>58</v>
      </c>
      <c r="V495" t="s">
        <v>23</v>
      </c>
      <c r="W495" t="s">
        <v>8</v>
      </c>
      <c r="X495" t="s">
        <v>9</v>
      </c>
      <c r="Y495" s="56">
        <f>IF(clean[[#This Row],[is_delivered]]="Yes",clean[[#This Row],[net_sales]],0 )</f>
        <v>0</v>
      </c>
    </row>
    <row r="496" spans="1:25">
      <c r="A496" t="s">
        <v>926</v>
      </c>
      <c r="B496" s="9">
        <v>45765</v>
      </c>
      <c r="C496" t="s">
        <v>394</v>
      </c>
      <c r="D496" t="s">
        <v>825</v>
      </c>
      <c r="E496">
        <v>1</v>
      </c>
      <c r="F496" s="56">
        <v>100000</v>
      </c>
      <c r="G496" s="56">
        <v>100000</v>
      </c>
      <c r="H496" t="s">
        <v>895</v>
      </c>
      <c r="I496" s="56">
        <v>15000</v>
      </c>
      <c r="J496" s="56">
        <v>25000</v>
      </c>
      <c r="K496" s="56">
        <v>110000</v>
      </c>
      <c r="L496" t="s">
        <v>884</v>
      </c>
      <c r="M496" t="s">
        <v>903</v>
      </c>
      <c r="N496" t="s">
        <v>911</v>
      </c>
      <c r="O496" s="57">
        <v>45748</v>
      </c>
      <c r="P496" t="s">
        <v>892</v>
      </c>
      <c r="Q496" s="56">
        <v>85000</v>
      </c>
      <c r="R496" t="s">
        <v>826</v>
      </c>
      <c r="S496" t="s">
        <v>735</v>
      </c>
      <c r="T496" t="s">
        <v>736</v>
      </c>
      <c r="U496" t="s">
        <v>395</v>
      </c>
      <c r="V496" t="s">
        <v>7</v>
      </c>
      <c r="W496" t="s">
        <v>39</v>
      </c>
      <c r="X496" t="s">
        <v>9</v>
      </c>
      <c r="Y496" s="56">
        <f>IF(clean[[#This Row],[is_delivered]]="Yes",clean[[#This Row],[net_sales]],0 )</f>
        <v>0</v>
      </c>
    </row>
    <row r="497" spans="1:25">
      <c r="A497" t="s">
        <v>1124</v>
      </c>
      <c r="B497" s="9">
        <v>45765</v>
      </c>
      <c r="C497" t="s">
        <v>594</v>
      </c>
      <c r="D497" t="s">
        <v>733</v>
      </c>
      <c r="E497">
        <v>1</v>
      </c>
      <c r="F497" s="56">
        <v>150000</v>
      </c>
      <c r="G497" s="56">
        <v>150000</v>
      </c>
      <c r="H497" t="s">
        <v>872</v>
      </c>
      <c r="I497" s="56">
        <v>0</v>
      </c>
      <c r="J497" s="56">
        <v>20000</v>
      </c>
      <c r="K497" s="56">
        <v>170000</v>
      </c>
      <c r="L497" t="s">
        <v>880</v>
      </c>
      <c r="M497" t="s">
        <v>881</v>
      </c>
      <c r="N497" t="s">
        <v>905</v>
      </c>
      <c r="O497" s="57">
        <v>45748</v>
      </c>
      <c r="P497" t="s">
        <v>892</v>
      </c>
      <c r="Q497" s="56">
        <v>150000</v>
      </c>
      <c r="R497" t="s">
        <v>734</v>
      </c>
      <c r="S497" t="s">
        <v>735</v>
      </c>
      <c r="T497" t="s">
        <v>736</v>
      </c>
      <c r="U497" t="s">
        <v>595</v>
      </c>
      <c r="V497" t="s">
        <v>23</v>
      </c>
      <c r="W497" t="s">
        <v>51</v>
      </c>
      <c r="X497" t="s">
        <v>9</v>
      </c>
      <c r="Y497" s="56">
        <f>IF(clean[[#This Row],[is_delivered]]="Yes",clean[[#This Row],[net_sales]],0 )</f>
        <v>0</v>
      </c>
    </row>
    <row r="498" spans="1:25">
      <c r="A498" t="s">
        <v>1187</v>
      </c>
      <c r="B498" s="9">
        <v>45765</v>
      </c>
      <c r="C498" t="s">
        <v>588</v>
      </c>
      <c r="D498" t="s">
        <v>853</v>
      </c>
      <c r="E498">
        <v>2</v>
      </c>
      <c r="F498" s="56">
        <v>75000</v>
      </c>
      <c r="G498" s="56">
        <v>150000</v>
      </c>
      <c r="H498" t="s">
        <v>879</v>
      </c>
      <c r="I498" s="56">
        <v>30000</v>
      </c>
      <c r="J498" s="56">
        <v>15000</v>
      </c>
      <c r="K498" s="56">
        <v>135000</v>
      </c>
      <c r="L498" t="s">
        <v>880</v>
      </c>
      <c r="M498" t="s">
        <v>901</v>
      </c>
      <c r="N498" t="s">
        <v>911</v>
      </c>
      <c r="O498" s="57">
        <v>45748</v>
      </c>
      <c r="P498" t="s">
        <v>892</v>
      </c>
      <c r="Q498" s="56">
        <v>120000</v>
      </c>
      <c r="R498" t="s">
        <v>854</v>
      </c>
      <c r="S498" t="s">
        <v>743</v>
      </c>
      <c r="T498" t="s">
        <v>744</v>
      </c>
      <c r="U498" t="s">
        <v>589</v>
      </c>
      <c r="V498" t="s">
        <v>7</v>
      </c>
      <c r="W498" t="s">
        <v>39</v>
      </c>
      <c r="X498" t="s">
        <v>9</v>
      </c>
      <c r="Y498" s="56">
        <f>IF(clean[[#This Row],[is_delivered]]="Yes",clean[[#This Row],[net_sales]],0 )</f>
        <v>0</v>
      </c>
    </row>
    <row r="499" spans="1:25">
      <c r="A499" t="s">
        <v>1258</v>
      </c>
      <c r="B499" s="9">
        <v>45765</v>
      </c>
      <c r="C499" t="s">
        <v>254</v>
      </c>
      <c r="D499" t="s">
        <v>817</v>
      </c>
      <c r="E499">
        <v>4</v>
      </c>
      <c r="F499" s="56">
        <v>75000</v>
      </c>
      <c r="G499" s="56">
        <v>300000</v>
      </c>
      <c r="H499" t="s">
        <v>872</v>
      </c>
      <c r="I499" s="56">
        <v>0</v>
      </c>
      <c r="J499" s="56">
        <v>20000</v>
      </c>
      <c r="K499" s="56">
        <v>320000</v>
      </c>
      <c r="L499" t="s">
        <v>889</v>
      </c>
      <c r="M499" t="s">
        <v>903</v>
      </c>
      <c r="N499" t="s">
        <v>875</v>
      </c>
      <c r="O499" s="57">
        <v>45748</v>
      </c>
      <c r="P499" t="s">
        <v>877</v>
      </c>
      <c r="Q499" s="56">
        <v>300000</v>
      </c>
      <c r="R499" t="s">
        <v>818</v>
      </c>
      <c r="S499" t="s">
        <v>743</v>
      </c>
      <c r="T499" t="s">
        <v>744</v>
      </c>
      <c r="U499" t="s">
        <v>255</v>
      </c>
      <c r="V499" t="s">
        <v>7</v>
      </c>
      <c r="W499" t="s">
        <v>36</v>
      </c>
      <c r="X499" t="s">
        <v>9</v>
      </c>
      <c r="Y499" s="56">
        <f>IF(clean[[#This Row],[is_delivered]]="Yes",clean[[#This Row],[net_sales]],0 )</f>
        <v>300000</v>
      </c>
    </row>
    <row r="500" spans="1:25">
      <c r="A500" t="s">
        <v>1312</v>
      </c>
      <c r="B500" s="9">
        <v>45765</v>
      </c>
      <c r="C500" t="s">
        <v>123</v>
      </c>
      <c r="D500" t="s">
        <v>781</v>
      </c>
      <c r="E500">
        <v>2</v>
      </c>
      <c r="F500" s="56">
        <v>50000</v>
      </c>
      <c r="G500" s="56">
        <v>100000</v>
      </c>
      <c r="H500" t="s">
        <v>883</v>
      </c>
      <c r="I500" s="56">
        <v>10000</v>
      </c>
      <c r="J500" s="56">
        <v>10000</v>
      </c>
      <c r="K500" s="56">
        <v>100000</v>
      </c>
      <c r="L500" t="s">
        <v>880</v>
      </c>
      <c r="M500" t="s">
        <v>901</v>
      </c>
      <c r="N500" t="s">
        <v>875</v>
      </c>
      <c r="O500" s="57">
        <v>45748</v>
      </c>
      <c r="P500" t="s">
        <v>877</v>
      </c>
      <c r="Q500" s="56">
        <v>90000</v>
      </c>
      <c r="R500" t="s">
        <v>782</v>
      </c>
      <c r="S500" t="s">
        <v>743</v>
      </c>
      <c r="T500" t="s">
        <v>744</v>
      </c>
      <c r="U500" t="s">
        <v>124</v>
      </c>
      <c r="V500" t="s">
        <v>23</v>
      </c>
      <c r="W500" t="s">
        <v>46</v>
      </c>
      <c r="X500" t="s">
        <v>9</v>
      </c>
      <c r="Y500" s="56">
        <f>IF(clean[[#This Row],[is_delivered]]="Yes",clean[[#This Row],[net_sales]],0 )</f>
        <v>90000</v>
      </c>
    </row>
    <row r="501" spans="1:25">
      <c r="A501" t="s">
        <v>1346</v>
      </c>
      <c r="B501" s="9">
        <v>45765</v>
      </c>
      <c r="C501" t="s">
        <v>16</v>
      </c>
      <c r="D501" t="s">
        <v>793</v>
      </c>
      <c r="E501">
        <v>4</v>
      </c>
      <c r="F501" s="56">
        <v>500000</v>
      </c>
      <c r="G501" s="56">
        <v>2000000</v>
      </c>
      <c r="H501" t="s">
        <v>886</v>
      </c>
      <c r="I501" s="56">
        <v>200000</v>
      </c>
      <c r="J501" s="56">
        <v>10000</v>
      </c>
      <c r="K501" s="56">
        <v>1810000</v>
      </c>
      <c r="L501" t="s">
        <v>884</v>
      </c>
      <c r="M501" t="s">
        <v>881</v>
      </c>
      <c r="N501" t="s">
        <v>875</v>
      </c>
      <c r="O501" s="57">
        <v>45748</v>
      </c>
      <c r="P501" t="s">
        <v>877</v>
      </c>
      <c r="Q501" s="56">
        <v>1800000</v>
      </c>
      <c r="R501" t="s">
        <v>794</v>
      </c>
      <c r="S501" t="s">
        <v>743</v>
      </c>
      <c r="T501" t="s">
        <v>744</v>
      </c>
      <c r="U501" t="s">
        <v>17</v>
      </c>
      <c r="V501" t="s">
        <v>7</v>
      </c>
      <c r="W501" t="s">
        <v>12</v>
      </c>
      <c r="X501" t="s">
        <v>15</v>
      </c>
      <c r="Y501" s="56">
        <f>IF(clean[[#This Row],[is_delivered]]="Yes",clean[[#This Row],[net_sales]],0 )</f>
        <v>1800000</v>
      </c>
    </row>
    <row r="502" spans="1:25">
      <c r="A502" t="s">
        <v>1495</v>
      </c>
      <c r="B502" s="9">
        <v>45765</v>
      </c>
      <c r="C502" t="s">
        <v>548</v>
      </c>
      <c r="D502" t="s">
        <v>761</v>
      </c>
      <c r="E502">
        <v>4</v>
      </c>
      <c r="F502" s="56">
        <v>75000</v>
      </c>
      <c r="G502" s="56">
        <v>300000</v>
      </c>
      <c r="H502" t="s">
        <v>895</v>
      </c>
      <c r="I502" s="56">
        <v>45000</v>
      </c>
      <c r="J502" s="56">
        <v>25000</v>
      </c>
      <c r="K502" s="56">
        <v>280000</v>
      </c>
      <c r="L502" t="s">
        <v>889</v>
      </c>
      <c r="M502" t="s">
        <v>881</v>
      </c>
      <c r="N502" t="s">
        <v>875</v>
      </c>
      <c r="O502" s="57">
        <v>45748</v>
      </c>
      <c r="P502" t="s">
        <v>877</v>
      </c>
      <c r="Q502" s="56">
        <v>255000</v>
      </c>
      <c r="R502" t="s">
        <v>762</v>
      </c>
      <c r="S502" t="s">
        <v>727</v>
      </c>
      <c r="T502" t="s">
        <v>728</v>
      </c>
      <c r="U502" t="s">
        <v>549</v>
      </c>
      <c r="V502" t="s">
        <v>23</v>
      </c>
      <c r="W502" t="s">
        <v>12</v>
      </c>
      <c r="X502" t="s">
        <v>9</v>
      </c>
      <c r="Y502" s="56">
        <f>IF(clean[[#This Row],[is_delivered]]="Yes",clean[[#This Row],[net_sales]],0 )</f>
        <v>255000</v>
      </c>
    </row>
    <row r="503" spans="1:25">
      <c r="A503" t="s">
        <v>1686</v>
      </c>
      <c r="B503" s="9">
        <v>45765</v>
      </c>
      <c r="C503" t="s">
        <v>242</v>
      </c>
      <c r="D503" t="s">
        <v>785</v>
      </c>
      <c r="E503">
        <v>4</v>
      </c>
      <c r="F503" s="56">
        <v>100000</v>
      </c>
      <c r="G503" s="56">
        <v>400000</v>
      </c>
      <c r="H503" t="s">
        <v>872</v>
      </c>
      <c r="I503" s="56">
        <v>0</v>
      </c>
      <c r="J503" s="56">
        <v>15000</v>
      </c>
      <c r="K503" s="56">
        <v>415000</v>
      </c>
      <c r="L503" t="s">
        <v>889</v>
      </c>
      <c r="M503" t="s">
        <v>874</v>
      </c>
      <c r="N503" t="s">
        <v>875</v>
      </c>
      <c r="O503" s="57">
        <v>45748</v>
      </c>
      <c r="P503" t="s">
        <v>877</v>
      </c>
      <c r="Q503" s="56">
        <v>400000</v>
      </c>
      <c r="R503" t="s">
        <v>786</v>
      </c>
      <c r="S503" t="s">
        <v>727</v>
      </c>
      <c r="T503" t="s">
        <v>728</v>
      </c>
      <c r="U503" t="s">
        <v>243</v>
      </c>
      <c r="V503" t="s">
        <v>7</v>
      </c>
      <c r="W503" t="s">
        <v>51</v>
      </c>
      <c r="X503" t="s">
        <v>9</v>
      </c>
      <c r="Y503" s="56">
        <f>IF(clean[[#This Row],[is_delivered]]="Yes",clean[[#This Row],[net_sales]],0 )</f>
        <v>400000</v>
      </c>
    </row>
    <row r="504" spans="1:25">
      <c r="A504" t="s">
        <v>1804</v>
      </c>
      <c r="B504" s="9">
        <v>45765</v>
      </c>
      <c r="C504" t="s">
        <v>298</v>
      </c>
      <c r="D504" t="s">
        <v>771</v>
      </c>
      <c r="E504">
        <v>3</v>
      </c>
      <c r="F504" s="56">
        <v>500000</v>
      </c>
      <c r="G504" s="56">
        <v>1500000</v>
      </c>
      <c r="H504" t="s">
        <v>872</v>
      </c>
      <c r="I504" s="56">
        <v>0</v>
      </c>
      <c r="J504" s="56">
        <v>30000</v>
      </c>
      <c r="K504" s="56">
        <v>1530000</v>
      </c>
      <c r="L504" t="s">
        <v>884</v>
      </c>
      <c r="M504" t="s">
        <v>874</v>
      </c>
      <c r="N504" t="s">
        <v>875</v>
      </c>
      <c r="O504" s="57">
        <v>45748</v>
      </c>
      <c r="P504" t="s">
        <v>877</v>
      </c>
      <c r="Q504" s="56">
        <v>1500000</v>
      </c>
      <c r="R504" t="s">
        <v>772</v>
      </c>
      <c r="S504" t="s">
        <v>747</v>
      </c>
      <c r="T504" t="s">
        <v>748</v>
      </c>
      <c r="U504" t="s">
        <v>299</v>
      </c>
      <c r="V504" t="s">
        <v>7</v>
      </c>
      <c r="W504" t="s">
        <v>137</v>
      </c>
      <c r="X504" t="s">
        <v>9</v>
      </c>
      <c r="Y504" s="56">
        <f>IF(clean[[#This Row],[is_delivered]]="Yes",clean[[#This Row],[net_sales]],0 )</f>
        <v>1500000</v>
      </c>
    </row>
    <row r="505" spans="1:25">
      <c r="A505" t="s">
        <v>2040</v>
      </c>
      <c r="B505" s="9">
        <v>45765</v>
      </c>
      <c r="C505" t="s">
        <v>105</v>
      </c>
      <c r="D505" t="s">
        <v>763</v>
      </c>
      <c r="E505">
        <v>1</v>
      </c>
      <c r="F505" s="56">
        <v>75000</v>
      </c>
      <c r="G505" s="56">
        <v>75000</v>
      </c>
      <c r="H505" t="s">
        <v>883</v>
      </c>
      <c r="I505" s="56">
        <v>7500</v>
      </c>
      <c r="J505" s="56">
        <v>15000</v>
      </c>
      <c r="K505" s="56">
        <v>82500</v>
      </c>
      <c r="L505" t="s">
        <v>884</v>
      </c>
      <c r="M505" t="s">
        <v>874</v>
      </c>
      <c r="N505" t="s">
        <v>875</v>
      </c>
      <c r="O505" s="57">
        <v>45748</v>
      </c>
      <c r="P505" t="s">
        <v>877</v>
      </c>
      <c r="Q505" s="56">
        <v>67500</v>
      </c>
      <c r="R505" t="s">
        <v>764</v>
      </c>
      <c r="S505" t="s">
        <v>731</v>
      </c>
      <c r="T505" t="s">
        <v>732</v>
      </c>
      <c r="U505" t="s">
        <v>106</v>
      </c>
      <c r="V505" t="s">
        <v>23</v>
      </c>
      <c r="W505" t="s">
        <v>8</v>
      </c>
      <c r="X505" t="s">
        <v>15</v>
      </c>
      <c r="Y505" s="56">
        <f>IF(clean[[#This Row],[is_delivered]]="Yes",clean[[#This Row],[net_sales]],0 )</f>
        <v>67500</v>
      </c>
    </row>
    <row r="506" spans="1:25">
      <c r="A506" t="s">
        <v>2048</v>
      </c>
      <c r="B506" s="9">
        <v>45765</v>
      </c>
      <c r="C506" t="s">
        <v>348</v>
      </c>
      <c r="D506" t="s">
        <v>761</v>
      </c>
      <c r="E506">
        <v>1</v>
      </c>
      <c r="F506" s="56">
        <v>75000</v>
      </c>
      <c r="G506" s="56">
        <v>75000</v>
      </c>
      <c r="H506" t="s">
        <v>895</v>
      </c>
      <c r="I506" s="56">
        <v>11250</v>
      </c>
      <c r="J506" s="56">
        <v>15000</v>
      </c>
      <c r="K506" s="56">
        <v>78750</v>
      </c>
      <c r="L506" t="s">
        <v>873</v>
      </c>
      <c r="M506" t="s">
        <v>881</v>
      </c>
      <c r="N506" t="s">
        <v>905</v>
      </c>
      <c r="O506" s="57">
        <v>45748</v>
      </c>
      <c r="P506" t="s">
        <v>892</v>
      </c>
      <c r="Q506" s="56">
        <v>63750</v>
      </c>
      <c r="R506" t="s">
        <v>762</v>
      </c>
      <c r="S506" t="s">
        <v>727</v>
      </c>
      <c r="T506" t="s">
        <v>728</v>
      </c>
      <c r="U506" t="s">
        <v>349</v>
      </c>
      <c r="V506" t="s">
        <v>23</v>
      </c>
      <c r="W506" t="s">
        <v>56</v>
      </c>
      <c r="X506" t="s">
        <v>9</v>
      </c>
      <c r="Y506" s="56">
        <f>IF(clean[[#This Row],[is_delivered]]="Yes",clean[[#This Row],[net_sales]],0 )</f>
        <v>0</v>
      </c>
    </row>
    <row r="507" spans="1:25">
      <c r="A507" t="s">
        <v>2049</v>
      </c>
      <c r="B507" s="9">
        <v>45765</v>
      </c>
      <c r="C507" t="s">
        <v>138</v>
      </c>
      <c r="D507" t="s">
        <v>803</v>
      </c>
      <c r="E507">
        <v>1</v>
      </c>
      <c r="F507" s="56">
        <v>50000</v>
      </c>
      <c r="G507" s="56">
        <v>50000</v>
      </c>
      <c r="H507" t="s">
        <v>883</v>
      </c>
      <c r="I507" s="56">
        <v>5000</v>
      </c>
      <c r="J507" s="56">
        <v>10000</v>
      </c>
      <c r="K507" s="56">
        <v>55000</v>
      </c>
      <c r="L507" t="s">
        <v>873</v>
      </c>
      <c r="M507" t="s">
        <v>881</v>
      </c>
      <c r="N507" t="s">
        <v>905</v>
      </c>
      <c r="O507" s="57">
        <v>45748</v>
      </c>
      <c r="P507" t="s">
        <v>892</v>
      </c>
      <c r="Q507" s="56">
        <v>45000</v>
      </c>
      <c r="R507" t="s">
        <v>804</v>
      </c>
      <c r="S507" t="s">
        <v>739</v>
      </c>
      <c r="T507" t="s">
        <v>740</v>
      </c>
      <c r="U507" t="s">
        <v>139</v>
      </c>
      <c r="V507" t="s">
        <v>7</v>
      </c>
      <c r="W507" t="s">
        <v>29</v>
      </c>
      <c r="X507" t="s">
        <v>9</v>
      </c>
      <c r="Y507" s="56">
        <f>IF(clean[[#This Row],[is_delivered]]="Yes",clean[[#This Row],[net_sales]],0 )</f>
        <v>0</v>
      </c>
    </row>
    <row r="508" spans="1:25">
      <c r="A508" t="s">
        <v>1123</v>
      </c>
      <c r="B508" s="9">
        <v>45764</v>
      </c>
      <c r="C508" t="s">
        <v>310</v>
      </c>
      <c r="D508" t="s">
        <v>807</v>
      </c>
      <c r="E508">
        <v>1</v>
      </c>
      <c r="F508" s="56">
        <v>150000</v>
      </c>
      <c r="G508" s="56">
        <v>150000</v>
      </c>
      <c r="H508" t="s">
        <v>895</v>
      </c>
      <c r="I508" s="56">
        <v>22500</v>
      </c>
      <c r="J508" s="56">
        <v>25000</v>
      </c>
      <c r="K508" s="56">
        <v>152500</v>
      </c>
      <c r="L508" t="s">
        <v>884</v>
      </c>
      <c r="M508" t="s">
        <v>903</v>
      </c>
      <c r="N508" t="s">
        <v>875</v>
      </c>
      <c r="O508" s="57">
        <v>45748</v>
      </c>
      <c r="P508" t="s">
        <v>877</v>
      </c>
      <c r="Q508" s="56">
        <v>127500</v>
      </c>
      <c r="R508" t="s">
        <v>808</v>
      </c>
      <c r="S508" t="s">
        <v>747</v>
      </c>
      <c r="T508" t="s">
        <v>748</v>
      </c>
      <c r="U508" t="s">
        <v>311</v>
      </c>
      <c r="V508" t="s">
        <v>7</v>
      </c>
      <c r="W508" t="s">
        <v>46</v>
      </c>
      <c r="X508" t="s">
        <v>15</v>
      </c>
      <c r="Y508" s="56">
        <f>IF(clean[[#This Row],[is_delivered]]="Yes",clean[[#This Row],[net_sales]],0 )</f>
        <v>127500</v>
      </c>
    </row>
    <row r="509" spans="1:25">
      <c r="A509" t="s">
        <v>1918</v>
      </c>
      <c r="B509" s="9">
        <v>45764</v>
      </c>
      <c r="C509" t="s">
        <v>400</v>
      </c>
      <c r="D509" t="s">
        <v>799</v>
      </c>
      <c r="E509">
        <v>1</v>
      </c>
      <c r="F509" s="56">
        <v>35000</v>
      </c>
      <c r="G509" s="56">
        <v>35000</v>
      </c>
      <c r="H509" t="s">
        <v>886</v>
      </c>
      <c r="I509" s="56">
        <v>3500</v>
      </c>
      <c r="J509" s="56">
        <v>20000</v>
      </c>
      <c r="K509" s="56">
        <v>51500</v>
      </c>
      <c r="L509" t="s">
        <v>884</v>
      </c>
      <c r="M509" t="s">
        <v>903</v>
      </c>
      <c r="N509" t="s">
        <v>875</v>
      </c>
      <c r="O509" s="57">
        <v>45748</v>
      </c>
      <c r="P509" t="s">
        <v>877</v>
      </c>
      <c r="Q509" s="56">
        <v>31500</v>
      </c>
      <c r="R509" t="s">
        <v>800</v>
      </c>
      <c r="S509" t="s">
        <v>731</v>
      </c>
      <c r="T509" t="s">
        <v>732</v>
      </c>
      <c r="U509" t="s">
        <v>401</v>
      </c>
      <c r="V509" t="s">
        <v>23</v>
      </c>
      <c r="W509" t="s">
        <v>20</v>
      </c>
      <c r="X509" t="s">
        <v>9</v>
      </c>
      <c r="Y509" s="56">
        <f>IF(clean[[#This Row],[is_delivered]]="Yes",clean[[#This Row],[net_sales]],0 )</f>
        <v>31500</v>
      </c>
    </row>
    <row r="510" spans="1:25">
      <c r="A510" t="s">
        <v>1924</v>
      </c>
      <c r="B510" s="9">
        <v>45764</v>
      </c>
      <c r="C510" t="s">
        <v>464</v>
      </c>
      <c r="D510" t="s">
        <v>767</v>
      </c>
      <c r="E510">
        <v>1</v>
      </c>
      <c r="F510" s="56">
        <v>150000</v>
      </c>
      <c r="G510" s="56">
        <v>150000</v>
      </c>
      <c r="H510" t="s">
        <v>872</v>
      </c>
      <c r="I510" s="56">
        <v>0</v>
      </c>
      <c r="J510" s="56">
        <v>25000</v>
      </c>
      <c r="K510" s="56">
        <v>175000</v>
      </c>
      <c r="L510" t="s">
        <v>873</v>
      </c>
      <c r="M510" t="s">
        <v>903</v>
      </c>
      <c r="N510" t="s">
        <v>875</v>
      </c>
      <c r="O510" s="57">
        <v>45748</v>
      </c>
      <c r="P510" t="s">
        <v>877</v>
      </c>
      <c r="Q510" s="56">
        <v>150000</v>
      </c>
      <c r="R510" t="s">
        <v>768</v>
      </c>
      <c r="S510" t="s">
        <v>739</v>
      </c>
      <c r="T510" t="s">
        <v>740</v>
      </c>
      <c r="U510" t="s">
        <v>465</v>
      </c>
      <c r="V510" t="s">
        <v>23</v>
      </c>
      <c r="W510" t="s">
        <v>12</v>
      </c>
      <c r="X510" t="s">
        <v>9</v>
      </c>
      <c r="Y510" s="56">
        <f>IF(clean[[#This Row],[is_delivered]]="Yes",clean[[#This Row],[net_sales]],0 )</f>
        <v>150000</v>
      </c>
    </row>
    <row r="511" spans="1:25">
      <c r="A511" t="s">
        <v>910</v>
      </c>
      <c r="B511" s="9">
        <v>45763</v>
      </c>
      <c r="C511" t="s">
        <v>702</v>
      </c>
      <c r="D511" t="s">
        <v>777</v>
      </c>
      <c r="E511">
        <v>1</v>
      </c>
      <c r="F511" s="56">
        <v>200000</v>
      </c>
      <c r="G511" s="56">
        <v>200000</v>
      </c>
      <c r="H511" t="s">
        <v>872</v>
      </c>
      <c r="I511" s="56">
        <v>0</v>
      </c>
      <c r="J511" s="56">
        <v>30000</v>
      </c>
      <c r="K511" s="56">
        <v>230000</v>
      </c>
      <c r="L511" t="s">
        <v>880</v>
      </c>
      <c r="M511" t="s">
        <v>874</v>
      </c>
      <c r="N511" t="s">
        <v>911</v>
      </c>
      <c r="O511" s="57">
        <v>45748</v>
      </c>
      <c r="P511" t="s">
        <v>892</v>
      </c>
      <c r="Q511" s="56">
        <v>200000</v>
      </c>
      <c r="R511" t="s">
        <v>778</v>
      </c>
      <c r="S511" t="s">
        <v>735</v>
      </c>
      <c r="T511" t="s">
        <v>736</v>
      </c>
      <c r="U511" t="s">
        <v>703</v>
      </c>
      <c r="V511" t="s">
        <v>23</v>
      </c>
      <c r="W511" t="s">
        <v>20</v>
      </c>
      <c r="X511" t="s">
        <v>9</v>
      </c>
      <c r="Y511" s="56">
        <f>IF(clean[[#This Row],[is_delivered]]="Yes",clean[[#This Row],[net_sales]],0 )</f>
        <v>0</v>
      </c>
    </row>
    <row r="512" spans="1:25">
      <c r="A512" t="s">
        <v>1298</v>
      </c>
      <c r="B512" s="9">
        <v>45763</v>
      </c>
      <c r="C512" t="s">
        <v>380</v>
      </c>
      <c r="D512" t="s">
        <v>847</v>
      </c>
      <c r="E512">
        <v>1</v>
      </c>
      <c r="F512" s="56">
        <v>100000</v>
      </c>
      <c r="G512" s="56">
        <v>100000</v>
      </c>
      <c r="H512" t="s">
        <v>886</v>
      </c>
      <c r="I512" s="56">
        <v>10000</v>
      </c>
      <c r="J512" s="56">
        <v>25000</v>
      </c>
      <c r="K512" s="56">
        <v>115000</v>
      </c>
      <c r="L512" t="s">
        <v>873</v>
      </c>
      <c r="M512" t="s">
        <v>874</v>
      </c>
      <c r="N512" t="s">
        <v>875</v>
      </c>
      <c r="O512" s="57">
        <v>45748</v>
      </c>
      <c r="P512" t="s">
        <v>877</v>
      </c>
      <c r="Q512" s="56">
        <v>90000</v>
      </c>
      <c r="R512" t="s">
        <v>848</v>
      </c>
      <c r="S512" t="s">
        <v>731</v>
      </c>
      <c r="T512" t="s">
        <v>732</v>
      </c>
      <c r="U512" t="s">
        <v>381</v>
      </c>
      <c r="V512" t="s">
        <v>23</v>
      </c>
      <c r="W512" t="s">
        <v>39</v>
      </c>
      <c r="X512" t="s">
        <v>9</v>
      </c>
      <c r="Y512" s="56">
        <f>IF(clean[[#This Row],[is_delivered]]="Yes",clean[[#This Row],[net_sales]],0 )</f>
        <v>90000</v>
      </c>
    </row>
    <row r="513" spans="1:25">
      <c r="A513" t="s">
        <v>1626</v>
      </c>
      <c r="B513" s="9">
        <v>45763</v>
      </c>
      <c r="C513" t="s">
        <v>618</v>
      </c>
      <c r="D513" t="s">
        <v>755</v>
      </c>
      <c r="E513">
        <v>1</v>
      </c>
      <c r="F513" s="56">
        <v>50000</v>
      </c>
      <c r="G513" s="56">
        <v>50000</v>
      </c>
      <c r="H513" t="s">
        <v>872</v>
      </c>
      <c r="I513" s="56">
        <v>0</v>
      </c>
      <c r="J513" s="56">
        <v>20000</v>
      </c>
      <c r="K513" s="56">
        <v>70000</v>
      </c>
      <c r="L513" t="s">
        <v>873</v>
      </c>
      <c r="M513" t="s">
        <v>903</v>
      </c>
      <c r="N513" t="s">
        <v>875</v>
      </c>
      <c r="O513" s="57">
        <v>45748</v>
      </c>
      <c r="P513" t="s">
        <v>877</v>
      </c>
      <c r="Q513" s="56">
        <v>50000</v>
      </c>
      <c r="R513" t="s">
        <v>756</v>
      </c>
      <c r="S513" t="s">
        <v>739</v>
      </c>
      <c r="T513" t="s">
        <v>740</v>
      </c>
      <c r="U513" t="s">
        <v>619</v>
      </c>
      <c r="V513" t="s">
        <v>7</v>
      </c>
      <c r="W513" t="s">
        <v>29</v>
      </c>
      <c r="X513" t="s">
        <v>15</v>
      </c>
      <c r="Y513" s="56">
        <f>IF(clean[[#This Row],[is_delivered]]="Yes",clean[[#This Row],[net_sales]],0 )</f>
        <v>50000</v>
      </c>
    </row>
    <row r="514" spans="1:25">
      <c r="A514" t="s">
        <v>1688</v>
      </c>
      <c r="B514" s="9">
        <v>45763</v>
      </c>
      <c r="C514" t="s">
        <v>133</v>
      </c>
      <c r="D514" t="s">
        <v>753</v>
      </c>
      <c r="E514">
        <v>1</v>
      </c>
      <c r="F514" s="56">
        <v>300000</v>
      </c>
      <c r="G514" s="56">
        <v>300000</v>
      </c>
      <c r="H514" t="s">
        <v>872</v>
      </c>
      <c r="I514" s="56">
        <v>0</v>
      </c>
      <c r="J514" s="56">
        <v>25000</v>
      </c>
      <c r="K514" s="56">
        <v>325000</v>
      </c>
      <c r="L514" t="s">
        <v>889</v>
      </c>
      <c r="M514" t="s">
        <v>903</v>
      </c>
      <c r="N514" t="s">
        <v>875</v>
      </c>
      <c r="O514" s="57">
        <v>45748</v>
      </c>
      <c r="P514" t="s">
        <v>877</v>
      </c>
      <c r="Q514" s="56">
        <v>300000</v>
      </c>
      <c r="R514" t="s">
        <v>754</v>
      </c>
      <c r="S514" t="s">
        <v>735</v>
      </c>
      <c r="T514" t="s">
        <v>736</v>
      </c>
      <c r="U514" t="s">
        <v>134</v>
      </c>
      <c r="V514" t="s">
        <v>23</v>
      </c>
      <c r="W514" t="s">
        <v>12</v>
      </c>
      <c r="X514" t="s">
        <v>24</v>
      </c>
      <c r="Y514" s="56">
        <f>IF(clean[[#This Row],[is_delivered]]="Yes",clean[[#This Row],[net_sales]],0 )</f>
        <v>300000</v>
      </c>
    </row>
    <row r="515" spans="1:25">
      <c r="A515" t="s">
        <v>1710</v>
      </c>
      <c r="B515" s="9">
        <v>45763</v>
      </c>
      <c r="C515" t="s">
        <v>146</v>
      </c>
      <c r="D515" t="s">
        <v>853</v>
      </c>
      <c r="E515">
        <v>3</v>
      </c>
      <c r="F515" s="56">
        <v>75000</v>
      </c>
      <c r="G515" s="56">
        <v>225000</v>
      </c>
      <c r="H515" t="s">
        <v>895</v>
      </c>
      <c r="I515" s="56">
        <v>33750</v>
      </c>
      <c r="J515" s="56">
        <v>30000</v>
      </c>
      <c r="K515" s="56">
        <v>221250</v>
      </c>
      <c r="L515" t="s">
        <v>880</v>
      </c>
      <c r="M515" t="s">
        <v>901</v>
      </c>
      <c r="N515" t="s">
        <v>875</v>
      </c>
      <c r="O515" s="57">
        <v>45748</v>
      </c>
      <c r="P515" t="s">
        <v>877</v>
      </c>
      <c r="Q515" s="56">
        <v>191250</v>
      </c>
      <c r="R515" t="s">
        <v>854</v>
      </c>
      <c r="S515" t="s">
        <v>743</v>
      </c>
      <c r="T515" t="s">
        <v>744</v>
      </c>
      <c r="U515" t="s">
        <v>147</v>
      </c>
      <c r="V515" t="s">
        <v>7</v>
      </c>
      <c r="W515" t="s">
        <v>51</v>
      </c>
      <c r="X515" t="s">
        <v>24</v>
      </c>
      <c r="Y515" s="56">
        <f>IF(clean[[#This Row],[is_delivered]]="Yes",clean[[#This Row],[net_sales]],0 )</f>
        <v>191250</v>
      </c>
    </row>
    <row r="516" spans="1:25">
      <c r="A516" t="s">
        <v>1742</v>
      </c>
      <c r="B516" s="9">
        <v>45763</v>
      </c>
      <c r="C516" t="s">
        <v>404</v>
      </c>
      <c r="D516" t="s">
        <v>855</v>
      </c>
      <c r="E516">
        <v>3</v>
      </c>
      <c r="F516" s="56">
        <v>150000</v>
      </c>
      <c r="G516" s="56">
        <v>450000</v>
      </c>
      <c r="H516" t="s">
        <v>872</v>
      </c>
      <c r="I516" s="56">
        <v>0</v>
      </c>
      <c r="J516" s="56">
        <v>15000</v>
      </c>
      <c r="K516" s="56">
        <v>465000</v>
      </c>
      <c r="L516" t="s">
        <v>880</v>
      </c>
      <c r="M516" t="s">
        <v>881</v>
      </c>
      <c r="N516" t="s">
        <v>875</v>
      </c>
      <c r="O516" s="57">
        <v>45748</v>
      </c>
      <c r="P516" t="s">
        <v>877</v>
      </c>
      <c r="Q516" s="56">
        <v>450000</v>
      </c>
      <c r="R516" t="s">
        <v>856</v>
      </c>
      <c r="S516" t="s">
        <v>747</v>
      </c>
      <c r="T516" t="s">
        <v>748</v>
      </c>
      <c r="U516" t="s">
        <v>405</v>
      </c>
      <c r="V516" t="s">
        <v>23</v>
      </c>
      <c r="W516" t="s">
        <v>39</v>
      </c>
      <c r="X516" t="s">
        <v>15</v>
      </c>
      <c r="Y516" s="56">
        <f>IF(clean[[#This Row],[is_delivered]]="Yes",clean[[#This Row],[net_sales]],0 )</f>
        <v>450000</v>
      </c>
    </row>
    <row r="517" spans="1:25">
      <c r="A517" t="s">
        <v>1810</v>
      </c>
      <c r="B517" s="9">
        <v>45763</v>
      </c>
      <c r="C517" t="s">
        <v>204</v>
      </c>
      <c r="D517" t="s">
        <v>725</v>
      </c>
      <c r="E517">
        <v>2</v>
      </c>
      <c r="F517" s="56">
        <v>300000</v>
      </c>
      <c r="G517" s="56">
        <v>600000</v>
      </c>
      <c r="H517" t="s">
        <v>886</v>
      </c>
      <c r="I517" s="56">
        <v>60000</v>
      </c>
      <c r="J517" s="56">
        <v>25000</v>
      </c>
      <c r="K517" s="56">
        <v>565000</v>
      </c>
      <c r="L517" t="s">
        <v>873</v>
      </c>
      <c r="M517" t="s">
        <v>901</v>
      </c>
      <c r="N517" t="s">
        <v>875</v>
      </c>
      <c r="O517" s="57">
        <v>45748</v>
      </c>
      <c r="P517" t="s">
        <v>877</v>
      </c>
      <c r="Q517" s="56">
        <v>540000</v>
      </c>
      <c r="R517" t="s">
        <v>726</v>
      </c>
      <c r="S517" t="s">
        <v>727</v>
      </c>
      <c r="T517" t="s">
        <v>728</v>
      </c>
      <c r="U517" t="s">
        <v>205</v>
      </c>
      <c r="V517" t="s">
        <v>7</v>
      </c>
      <c r="W517" t="s">
        <v>56</v>
      </c>
      <c r="X517" t="s">
        <v>9</v>
      </c>
      <c r="Y517" s="56">
        <f>IF(clean[[#This Row],[is_delivered]]="Yes",clean[[#This Row],[net_sales]],0 )</f>
        <v>540000</v>
      </c>
    </row>
    <row r="518" spans="1:25">
      <c r="A518" t="s">
        <v>1165</v>
      </c>
      <c r="B518" s="9">
        <v>45762</v>
      </c>
      <c r="C518" t="s">
        <v>40</v>
      </c>
      <c r="D518" t="s">
        <v>771</v>
      </c>
      <c r="E518">
        <v>2</v>
      </c>
      <c r="F518" s="56">
        <v>500000</v>
      </c>
      <c r="G518" s="56">
        <v>1000000</v>
      </c>
      <c r="H518" t="s">
        <v>872</v>
      </c>
      <c r="I518" s="56">
        <v>0</v>
      </c>
      <c r="J518" s="56">
        <v>20000</v>
      </c>
      <c r="K518" s="56">
        <v>1020000</v>
      </c>
      <c r="L518" t="s">
        <v>880</v>
      </c>
      <c r="M518" t="s">
        <v>874</v>
      </c>
      <c r="N518" t="s">
        <v>905</v>
      </c>
      <c r="O518" s="57">
        <v>45748</v>
      </c>
      <c r="P518" t="s">
        <v>892</v>
      </c>
      <c r="Q518" s="56">
        <v>1000000</v>
      </c>
      <c r="R518" t="s">
        <v>772</v>
      </c>
      <c r="S518" t="s">
        <v>747</v>
      </c>
      <c r="T518" t="s">
        <v>748</v>
      </c>
      <c r="U518" t="s">
        <v>41</v>
      </c>
      <c r="V518" t="s">
        <v>7</v>
      </c>
      <c r="W518" t="s">
        <v>36</v>
      </c>
      <c r="X518" t="s">
        <v>15</v>
      </c>
      <c r="Y518" s="56">
        <f>IF(clean[[#This Row],[is_delivered]]="Yes",clean[[#This Row],[net_sales]],0 )</f>
        <v>0</v>
      </c>
    </row>
    <row r="519" spans="1:25">
      <c r="A519" t="s">
        <v>1019</v>
      </c>
      <c r="B519" s="9">
        <v>45762</v>
      </c>
      <c r="C519" t="s">
        <v>700</v>
      </c>
      <c r="D519" t="s">
        <v>729</v>
      </c>
      <c r="E519">
        <v>1</v>
      </c>
      <c r="F519" s="56">
        <v>100000</v>
      </c>
      <c r="G519" s="56">
        <v>100000</v>
      </c>
      <c r="H519" t="s">
        <v>872</v>
      </c>
      <c r="I519" s="56">
        <v>0</v>
      </c>
      <c r="J519" s="56">
        <v>15000</v>
      </c>
      <c r="K519" s="56">
        <v>115000</v>
      </c>
      <c r="L519" t="s">
        <v>884</v>
      </c>
      <c r="M519" t="s">
        <v>881</v>
      </c>
      <c r="N519" t="s">
        <v>875</v>
      </c>
      <c r="O519" s="57">
        <v>45748</v>
      </c>
      <c r="P519" t="s">
        <v>877</v>
      </c>
      <c r="Q519" s="56">
        <v>100000</v>
      </c>
      <c r="R519" t="s">
        <v>730</v>
      </c>
      <c r="S519" t="s">
        <v>731</v>
      </c>
      <c r="T519" t="s">
        <v>732</v>
      </c>
      <c r="U519" t="s">
        <v>701</v>
      </c>
      <c r="V519" t="s">
        <v>23</v>
      </c>
      <c r="W519" t="s">
        <v>12</v>
      </c>
      <c r="X519" t="s">
        <v>9</v>
      </c>
      <c r="Y519" s="56">
        <f>IF(clean[[#This Row],[is_delivered]]="Yes",clean[[#This Row],[net_sales]],0 )</f>
        <v>100000</v>
      </c>
    </row>
    <row r="520" spans="1:25">
      <c r="A520" t="s">
        <v>1461</v>
      </c>
      <c r="B520" s="9">
        <v>45762</v>
      </c>
      <c r="C520" t="s">
        <v>396</v>
      </c>
      <c r="D520" t="s">
        <v>799</v>
      </c>
      <c r="E520">
        <v>3</v>
      </c>
      <c r="F520" s="56">
        <v>35000</v>
      </c>
      <c r="G520" s="56">
        <v>105000</v>
      </c>
      <c r="H520" t="s">
        <v>872</v>
      </c>
      <c r="I520" s="56">
        <v>0</v>
      </c>
      <c r="J520" s="56">
        <v>25000</v>
      </c>
      <c r="K520" s="56">
        <v>130000</v>
      </c>
      <c r="L520" t="s">
        <v>889</v>
      </c>
      <c r="M520" t="s">
        <v>903</v>
      </c>
      <c r="N520" t="s">
        <v>911</v>
      </c>
      <c r="O520" s="57">
        <v>45748</v>
      </c>
      <c r="P520" t="s">
        <v>892</v>
      </c>
      <c r="Q520" s="56">
        <v>105000</v>
      </c>
      <c r="R520" t="s">
        <v>800</v>
      </c>
      <c r="S520" t="s">
        <v>731</v>
      </c>
      <c r="T520" t="s">
        <v>732</v>
      </c>
      <c r="U520" t="s">
        <v>397</v>
      </c>
      <c r="V520" t="s">
        <v>7</v>
      </c>
      <c r="W520" t="s">
        <v>36</v>
      </c>
      <c r="X520" t="s">
        <v>9</v>
      </c>
      <c r="Y520" s="56">
        <f>IF(clean[[#This Row],[is_delivered]]="Yes",clean[[#This Row],[net_sales]],0 )</f>
        <v>0</v>
      </c>
    </row>
    <row r="521" spans="1:25">
      <c r="A521" t="s">
        <v>1605</v>
      </c>
      <c r="B521" s="9">
        <v>45762</v>
      </c>
      <c r="C521" t="s">
        <v>536</v>
      </c>
      <c r="D521" t="s">
        <v>827</v>
      </c>
      <c r="E521">
        <v>4</v>
      </c>
      <c r="F521" s="56">
        <v>100000</v>
      </c>
      <c r="G521" s="56">
        <v>400000</v>
      </c>
      <c r="H521" t="s">
        <v>872</v>
      </c>
      <c r="I521" s="56">
        <v>0</v>
      </c>
      <c r="J521" s="56">
        <v>30000</v>
      </c>
      <c r="K521" s="56">
        <v>430000</v>
      </c>
      <c r="L521" t="s">
        <v>889</v>
      </c>
      <c r="M521" t="s">
        <v>874</v>
      </c>
      <c r="N521" t="s">
        <v>875</v>
      </c>
      <c r="O521" s="57">
        <v>45748</v>
      </c>
      <c r="P521" t="s">
        <v>877</v>
      </c>
      <c r="Q521" s="56">
        <v>400000</v>
      </c>
      <c r="R521" t="s">
        <v>828</v>
      </c>
      <c r="S521" t="s">
        <v>739</v>
      </c>
      <c r="T521" t="s">
        <v>740</v>
      </c>
      <c r="U521" t="s">
        <v>537</v>
      </c>
      <c r="V521" t="s">
        <v>7</v>
      </c>
      <c r="W521" t="s">
        <v>36</v>
      </c>
      <c r="X521" t="s">
        <v>9</v>
      </c>
      <c r="Y521" s="56">
        <f>IF(clean[[#This Row],[is_delivered]]="Yes",clean[[#This Row],[net_sales]],0 )</f>
        <v>400000</v>
      </c>
    </row>
    <row r="522" spans="1:25">
      <c r="A522" t="s">
        <v>1936</v>
      </c>
      <c r="B522" s="9">
        <v>45762</v>
      </c>
      <c r="C522" t="s">
        <v>490</v>
      </c>
      <c r="D522" t="s">
        <v>825</v>
      </c>
      <c r="E522">
        <v>3</v>
      </c>
      <c r="F522" s="56">
        <v>100000</v>
      </c>
      <c r="G522" s="56">
        <v>300000</v>
      </c>
      <c r="H522" t="s">
        <v>872</v>
      </c>
      <c r="I522" s="56">
        <v>0</v>
      </c>
      <c r="J522" s="56">
        <v>25000</v>
      </c>
      <c r="K522" s="56">
        <v>325000</v>
      </c>
      <c r="L522" t="s">
        <v>873</v>
      </c>
      <c r="M522" t="s">
        <v>881</v>
      </c>
      <c r="N522" t="s">
        <v>921</v>
      </c>
      <c r="O522" s="57">
        <v>45748</v>
      </c>
      <c r="P522" t="s">
        <v>892</v>
      </c>
      <c r="Q522" s="56">
        <v>300000</v>
      </c>
      <c r="R522" t="s">
        <v>826</v>
      </c>
      <c r="S522" t="s">
        <v>735</v>
      </c>
      <c r="T522" t="s">
        <v>736</v>
      </c>
      <c r="U522" t="s">
        <v>491</v>
      </c>
      <c r="V522" t="s">
        <v>23</v>
      </c>
      <c r="W522" t="s">
        <v>39</v>
      </c>
      <c r="X522" t="s">
        <v>9</v>
      </c>
      <c r="Y522" s="56">
        <f>IF(clean[[#This Row],[is_delivered]]="Yes",clean[[#This Row],[net_sales]],0 )</f>
        <v>0</v>
      </c>
    </row>
    <row r="523" spans="1:25">
      <c r="A523" t="s">
        <v>1149</v>
      </c>
      <c r="B523" s="9">
        <v>45761</v>
      </c>
      <c r="C523" t="s">
        <v>63</v>
      </c>
      <c r="D523" t="s">
        <v>753</v>
      </c>
      <c r="E523">
        <v>1</v>
      </c>
      <c r="F523" s="56">
        <v>300000</v>
      </c>
      <c r="G523" s="56">
        <v>300000</v>
      </c>
      <c r="H523" t="s">
        <v>872</v>
      </c>
      <c r="I523" s="56">
        <v>0</v>
      </c>
      <c r="J523" s="56">
        <v>20000</v>
      </c>
      <c r="K523" s="56">
        <v>320000</v>
      </c>
      <c r="L523" t="s">
        <v>884</v>
      </c>
      <c r="M523" t="s">
        <v>903</v>
      </c>
      <c r="N523" t="s">
        <v>875</v>
      </c>
      <c r="O523" s="57">
        <v>45748</v>
      </c>
      <c r="P523" t="s">
        <v>877</v>
      </c>
      <c r="Q523" s="56">
        <v>300000</v>
      </c>
      <c r="R523" t="s">
        <v>754</v>
      </c>
      <c r="S523" t="s">
        <v>735</v>
      </c>
      <c r="T523" t="s">
        <v>736</v>
      </c>
      <c r="U523" t="s">
        <v>64</v>
      </c>
      <c r="V523" t="s">
        <v>7</v>
      </c>
      <c r="W523" t="s">
        <v>8</v>
      </c>
      <c r="X523" t="s">
        <v>15</v>
      </c>
      <c r="Y523" s="56">
        <f>IF(clean[[#This Row],[is_delivered]]="Yes",clean[[#This Row],[net_sales]],0 )</f>
        <v>300000</v>
      </c>
    </row>
    <row r="524" spans="1:25">
      <c r="A524" t="s">
        <v>1172</v>
      </c>
      <c r="B524" s="9">
        <v>45761</v>
      </c>
      <c r="C524" t="s">
        <v>202</v>
      </c>
      <c r="D524" t="s">
        <v>851</v>
      </c>
      <c r="E524">
        <v>2</v>
      </c>
      <c r="F524" s="56">
        <v>35000</v>
      </c>
      <c r="G524" s="56">
        <v>70000</v>
      </c>
      <c r="H524" t="s">
        <v>872</v>
      </c>
      <c r="I524" s="56">
        <v>0</v>
      </c>
      <c r="J524" s="56">
        <v>10000</v>
      </c>
      <c r="K524" s="56">
        <v>80000</v>
      </c>
      <c r="L524" t="s">
        <v>889</v>
      </c>
      <c r="M524" t="s">
        <v>881</v>
      </c>
      <c r="N524" t="s">
        <v>875</v>
      </c>
      <c r="O524" s="57">
        <v>45748</v>
      </c>
      <c r="P524" t="s">
        <v>877</v>
      </c>
      <c r="Q524" s="56">
        <v>70000</v>
      </c>
      <c r="R524" t="s">
        <v>852</v>
      </c>
      <c r="S524" t="s">
        <v>739</v>
      </c>
      <c r="T524" t="s">
        <v>740</v>
      </c>
      <c r="U524" t="s">
        <v>203</v>
      </c>
      <c r="V524" t="s">
        <v>7</v>
      </c>
      <c r="W524" t="s">
        <v>8</v>
      </c>
      <c r="X524" t="s">
        <v>15</v>
      </c>
      <c r="Y524" s="56">
        <f>IF(clean[[#This Row],[is_delivered]]="Yes",clean[[#This Row],[net_sales]],0 )</f>
        <v>70000</v>
      </c>
    </row>
    <row r="525" spans="1:25">
      <c r="A525" t="s">
        <v>1017</v>
      </c>
      <c r="B525" s="9">
        <v>45761</v>
      </c>
      <c r="C525" t="s">
        <v>514</v>
      </c>
      <c r="D525" t="s">
        <v>823</v>
      </c>
      <c r="E525">
        <v>1</v>
      </c>
      <c r="F525" s="56">
        <v>500000</v>
      </c>
      <c r="G525" s="56">
        <v>500000</v>
      </c>
      <c r="H525" t="s">
        <v>872</v>
      </c>
      <c r="I525" s="56">
        <v>0</v>
      </c>
      <c r="J525" s="56">
        <v>10000</v>
      </c>
      <c r="K525" s="56">
        <v>510000</v>
      </c>
      <c r="L525" t="s">
        <v>884</v>
      </c>
      <c r="M525" t="s">
        <v>903</v>
      </c>
      <c r="N525" t="s">
        <v>905</v>
      </c>
      <c r="O525" s="57">
        <v>45748</v>
      </c>
      <c r="P525" t="s">
        <v>892</v>
      </c>
      <c r="Q525" s="56">
        <v>500000</v>
      </c>
      <c r="R525" t="s">
        <v>824</v>
      </c>
      <c r="S525" t="s">
        <v>731</v>
      </c>
      <c r="T525" t="s">
        <v>732</v>
      </c>
      <c r="U525" t="s">
        <v>515</v>
      </c>
      <c r="V525" t="s">
        <v>23</v>
      </c>
      <c r="W525" t="s">
        <v>39</v>
      </c>
      <c r="X525" t="s">
        <v>9</v>
      </c>
      <c r="Y525" s="56">
        <f>IF(clean[[#This Row],[is_delivered]]="Yes",clean[[#This Row],[net_sales]],0 )</f>
        <v>0</v>
      </c>
    </row>
    <row r="526" spans="1:25">
      <c r="A526" t="s">
        <v>1210</v>
      </c>
      <c r="B526" s="9">
        <v>45761</v>
      </c>
      <c r="C526" t="s">
        <v>560</v>
      </c>
      <c r="D526" t="s">
        <v>799</v>
      </c>
      <c r="E526">
        <v>4</v>
      </c>
      <c r="F526" s="56">
        <v>35000</v>
      </c>
      <c r="G526" s="56">
        <v>140000</v>
      </c>
      <c r="H526" t="s">
        <v>872</v>
      </c>
      <c r="I526" s="56">
        <v>0</v>
      </c>
      <c r="J526" s="56">
        <v>30000</v>
      </c>
      <c r="K526" s="56">
        <v>170000</v>
      </c>
      <c r="L526" t="s">
        <v>880</v>
      </c>
      <c r="M526" t="s">
        <v>881</v>
      </c>
      <c r="N526" t="s">
        <v>875</v>
      </c>
      <c r="O526" s="57">
        <v>45748</v>
      </c>
      <c r="P526" t="s">
        <v>877</v>
      </c>
      <c r="Q526" s="56">
        <v>140000</v>
      </c>
      <c r="R526" t="s">
        <v>800</v>
      </c>
      <c r="S526" t="s">
        <v>731</v>
      </c>
      <c r="T526" t="s">
        <v>732</v>
      </c>
      <c r="U526" t="s">
        <v>561</v>
      </c>
      <c r="V526" t="s">
        <v>7</v>
      </c>
      <c r="W526" t="s">
        <v>12</v>
      </c>
      <c r="X526" t="s">
        <v>24</v>
      </c>
      <c r="Y526" s="56">
        <f>IF(clean[[#This Row],[is_delivered]]="Yes",clean[[#This Row],[net_sales]],0 )</f>
        <v>140000</v>
      </c>
    </row>
    <row r="527" spans="1:25">
      <c r="A527" t="s">
        <v>1260</v>
      </c>
      <c r="B527" s="9">
        <v>45761</v>
      </c>
      <c r="C527" t="s">
        <v>602</v>
      </c>
      <c r="D527" t="s">
        <v>765</v>
      </c>
      <c r="E527">
        <v>2</v>
      </c>
      <c r="F527" s="56">
        <v>500000</v>
      </c>
      <c r="G527" s="56">
        <v>1000000</v>
      </c>
      <c r="H527" t="s">
        <v>872</v>
      </c>
      <c r="I527" s="56">
        <v>0</v>
      </c>
      <c r="J527" s="56">
        <v>30000</v>
      </c>
      <c r="K527" s="56">
        <v>1030000</v>
      </c>
      <c r="L527" t="s">
        <v>880</v>
      </c>
      <c r="M527" t="s">
        <v>903</v>
      </c>
      <c r="N527" t="s">
        <v>875</v>
      </c>
      <c r="O527" s="57">
        <v>45748</v>
      </c>
      <c r="P527" t="s">
        <v>877</v>
      </c>
      <c r="Q527" s="56">
        <v>1000000</v>
      </c>
      <c r="R527" t="s">
        <v>766</v>
      </c>
      <c r="S527" t="s">
        <v>735</v>
      </c>
      <c r="T527" t="s">
        <v>736</v>
      </c>
      <c r="U527" t="s">
        <v>603</v>
      </c>
      <c r="V527" t="s">
        <v>7</v>
      </c>
      <c r="W527" t="s">
        <v>137</v>
      </c>
      <c r="X527" t="s">
        <v>24</v>
      </c>
      <c r="Y527" s="56">
        <f>IF(clean[[#This Row],[is_delivered]]="Yes",clean[[#This Row],[net_sales]],0 )</f>
        <v>1000000</v>
      </c>
    </row>
    <row r="528" spans="1:25">
      <c r="A528" t="s">
        <v>1331</v>
      </c>
      <c r="B528" s="9">
        <v>45761</v>
      </c>
      <c r="C528" t="s">
        <v>394</v>
      </c>
      <c r="D528" t="s">
        <v>837</v>
      </c>
      <c r="E528">
        <v>3</v>
      </c>
      <c r="F528" s="56">
        <v>300000</v>
      </c>
      <c r="G528" s="56">
        <v>900000</v>
      </c>
      <c r="H528" t="s">
        <v>872</v>
      </c>
      <c r="I528" s="56">
        <v>0</v>
      </c>
      <c r="J528" s="56">
        <v>20000</v>
      </c>
      <c r="K528" s="56">
        <v>920000</v>
      </c>
      <c r="L528" t="s">
        <v>889</v>
      </c>
      <c r="M528" t="s">
        <v>881</v>
      </c>
      <c r="N528" t="s">
        <v>905</v>
      </c>
      <c r="O528" s="57">
        <v>45748</v>
      </c>
      <c r="P528" t="s">
        <v>892</v>
      </c>
      <c r="Q528" s="56">
        <v>900000</v>
      </c>
      <c r="R528" t="s">
        <v>838</v>
      </c>
      <c r="S528" t="s">
        <v>735</v>
      </c>
      <c r="T528" t="s">
        <v>736</v>
      </c>
      <c r="U528" t="s">
        <v>395</v>
      </c>
      <c r="V528" t="s">
        <v>7</v>
      </c>
      <c r="W528" t="s">
        <v>39</v>
      </c>
      <c r="X528" t="s">
        <v>9</v>
      </c>
      <c r="Y528" s="56">
        <f>IF(clean[[#This Row],[is_delivered]]="Yes",clean[[#This Row],[net_sales]],0 )</f>
        <v>0</v>
      </c>
    </row>
    <row r="529" spans="1:25">
      <c r="A529" t="s">
        <v>1439</v>
      </c>
      <c r="B529" s="9">
        <v>45761</v>
      </c>
      <c r="C529" t="s">
        <v>85</v>
      </c>
      <c r="D529" t="s">
        <v>785</v>
      </c>
      <c r="E529">
        <v>2</v>
      </c>
      <c r="F529" s="56">
        <v>100000</v>
      </c>
      <c r="G529" s="56">
        <v>200000</v>
      </c>
      <c r="H529" t="s">
        <v>886</v>
      </c>
      <c r="I529" s="56">
        <v>20000</v>
      </c>
      <c r="J529" s="56">
        <v>20000</v>
      </c>
      <c r="K529" s="56">
        <v>200000</v>
      </c>
      <c r="L529" t="s">
        <v>884</v>
      </c>
      <c r="M529" t="s">
        <v>903</v>
      </c>
      <c r="N529" t="s">
        <v>875</v>
      </c>
      <c r="O529" s="57">
        <v>45748</v>
      </c>
      <c r="P529" t="s">
        <v>877</v>
      </c>
      <c r="Q529" s="56">
        <v>180000</v>
      </c>
      <c r="R529" t="s">
        <v>786</v>
      </c>
      <c r="S529" t="s">
        <v>727</v>
      </c>
      <c r="T529" t="s">
        <v>728</v>
      </c>
      <c r="U529" t="s">
        <v>86</v>
      </c>
      <c r="V529" t="s">
        <v>23</v>
      </c>
      <c r="W529" t="s">
        <v>39</v>
      </c>
      <c r="X529" t="s">
        <v>9</v>
      </c>
      <c r="Y529" s="56">
        <f>IF(clean[[#This Row],[is_delivered]]="Yes",clean[[#This Row],[net_sales]],0 )</f>
        <v>180000</v>
      </c>
    </row>
    <row r="530" spans="1:25">
      <c r="A530" t="s">
        <v>1456</v>
      </c>
      <c r="B530" s="9">
        <v>45761</v>
      </c>
      <c r="C530" t="s">
        <v>25</v>
      </c>
      <c r="D530" t="s">
        <v>789</v>
      </c>
      <c r="E530">
        <v>1</v>
      </c>
      <c r="F530" s="56">
        <v>200000</v>
      </c>
      <c r="G530" s="56">
        <v>200000</v>
      </c>
      <c r="H530" t="s">
        <v>872</v>
      </c>
      <c r="I530" s="56">
        <v>0</v>
      </c>
      <c r="J530" s="56">
        <v>20000</v>
      </c>
      <c r="K530" s="56">
        <v>220000</v>
      </c>
      <c r="L530" t="s">
        <v>880</v>
      </c>
      <c r="M530" t="s">
        <v>874</v>
      </c>
      <c r="N530" t="s">
        <v>875</v>
      </c>
      <c r="O530" s="57">
        <v>45748</v>
      </c>
      <c r="P530" t="s">
        <v>877</v>
      </c>
      <c r="Q530" s="56">
        <v>200000</v>
      </c>
      <c r="R530" t="s">
        <v>790</v>
      </c>
      <c r="S530" t="s">
        <v>735</v>
      </c>
      <c r="T530" t="s">
        <v>736</v>
      </c>
      <c r="U530" t="s">
        <v>26</v>
      </c>
      <c r="V530" t="s">
        <v>23</v>
      </c>
      <c r="W530" t="s">
        <v>20</v>
      </c>
      <c r="X530" t="s">
        <v>9</v>
      </c>
      <c r="Y530" s="56">
        <f>IF(clean[[#This Row],[is_delivered]]="Yes",clean[[#This Row],[net_sales]],0 )</f>
        <v>200000</v>
      </c>
    </row>
    <row r="531" spans="1:25">
      <c r="A531" t="s">
        <v>1629</v>
      </c>
      <c r="B531" s="9">
        <v>45761</v>
      </c>
      <c r="C531" t="s">
        <v>109</v>
      </c>
      <c r="D531" t="s">
        <v>823</v>
      </c>
      <c r="E531">
        <v>3</v>
      </c>
      <c r="F531" s="56">
        <v>500000</v>
      </c>
      <c r="G531" s="56">
        <v>1500000</v>
      </c>
      <c r="H531" t="s">
        <v>895</v>
      </c>
      <c r="I531" s="56">
        <v>225000</v>
      </c>
      <c r="J531" s="56">
        <v>25000</v>
      </c>
      <c r="K531" s="56">
        <v>1300000</v>
      </c>
      <c r="L531" t="s">
        <v>884</v>
      </c>
      <c r="M531" t="s">
        <v>881</v>
      </c>
      <c r="N531" t="s">
        <v>875</v>
      </c>
      <c r="O531" s="57">
        <v>45748</v>
      </c>
      <c r="P531" t="s">
        <v>877</v>
      </c>
      <c r="Q531" s="56">
        <v>1275000</v>
      </c>
      <c r="R531" t="s">
        <v>824</v>
      </c>
      <c r="S531" t="s">
        <v>731</v>
      </c>
      <c r="T531" t="s">
        <v>732</v>
      </c>
      <c r="U531" t="s">
        <v>110</v>
      </c>
      <c r="V531" t="s">
        <v>23</v>
      </c>
      <c r="W531" t="s">
        <v>46</v>
      </c>
      <c r="X531" t="s">
        <v>15</v>
      </c>
      <c r="Y531" s="56">
        <f>IF(clean[[#This Row],[is_delivered]]="Yes",clean[[#This Row],[net_sales]],0 )</f>
        <v>1275000</v>
      </c>
    </row>
    <row r="532" spans="1:25">
      <c r="A532" t="s">
        <v>1777</v>
      </c>
      <c r="B532" s="9">
        <v>45761</v>
      </c>
      <c r="C532" t="s">
        <v>168</v>
      </c>
      <c r="D532" t="s">
        <v>749</v>
      </c>
      <c r="E532">
        <v>1</v>
      </c>
      <c r="F532" s="56">
        <v>150000</v>
      </c>
      <c r="G532" s="56">
        <v>150000</v>
      </c>
      <c r="H532" t="s">
        <v>872</v>
      </c>
      <c r="I532" s="56">
        <v>0</v>
      </c>
      <c r="J532" s="56">
        <v>10000</v>
      </c>
      <c r="K532" s="56">
        <v>160000</v>
      </c>
      <c r="L532" t="s">
        <v>880</v>
      </c>
      <c r="M532" t="s">
        <v>881</v>
      </c>
      <c r="N532" t="s">
        <v>875</v>
      </c>
      <c r="O532" s="57">
        <v>45748</v>
      </c>
      <c r="P532" t="s">
        <v>877</v>
      </c>
      <c r="Q532" s="56">
        <v>150000</v>
      </c>
      <c r="R532" t="s">
        <v>750</v>
      </c>
      <c r="S532" t="s">
        <v>727</v>
      </c>
      <c r="T532" t="s">
        <v>728</v>
      </c>
      <c r="U532" t="s">
        <v>169</v>
      </c>
      <c r="V532" t="s">
        <v>7</v>
      </c>
      <c r="W532" t="s">
        <v>12</v>
      </c>
      <c r="X532" t="s">
        <v>24</v>
      </c>
      <c r="Y532" s="56">
        <f>IF(clean[[#This Row],[is_delivered]]="Yes",clean[[#This Row],[net_sales]],0 )</f>
        <v>150000</v>
      </c>
    </row>
    <row r="533" spans="1:25">
      <c r="A533" t="s">
        <v>1135</v>
      </c>
      <c r="B533" s="9">
        <v>45760</v>
      </c>
      <c r="C533" t="s">
        <v>666</v>
      </c>
      <c r="D533" t="s">
        <v>837</v>
      </c>
      <c r="E533">
        <v>1</v>
      </c>
      <c r="F533" s="56">
        <v>300000</v>
      </c>
      <c r="G533" s="56">
        <v>300000</v>
      </c>
      <c r="H533" t="s">
        <v>872</v>
      </c>
      <c r="I533" s="56">
        <v>0</v>
      </c>
      <c r="J533" s="56">
        <v>15000</v>
      </c>
      <c r="K533" s="56">
        <v>315000</v>
      </c>
      <c r="L533" t="s">
        <v>889</v>
      </c>
      <c r="M533" t="s">
        <v>881</v>
      </c>
      <c r="N533" t="s">
        <v>875</v>
      </c>
      <c r="O533" s="57">
        <v>45748</v>
      </c>
      <c r="P533" t="s">
        <v>877</v>
      </c>
      <c r="Q533" s="56">
        <v>300000</v>
      </c>
      <c r="R533" t="s">
        <v>838</v>
      </c>
      <c r="S533" t="s">
        <v>735</v>
      </c>
      <c r="T533" t="s">
        <v>736</v>
      </c>
      <c r="U533" t="s">
        <v>667</v>
      </c>
      <c r="V533" t="s">
        <v>7</v>
      </c>
      <c r="W533" t="s">
        <v>12</v>
      </c>
      <c r="X533" t="s">
        <v>9</v>
      </c>
      <c r="Y533" s="56">
        <f>IF(clean[[#This Row],[is_delivered]]="Yes",clean[[#This Row],[net_sales]],0 )</f>
        <v>300000</v>
      </c>
    </row>
    <row r="534" spans="1:25">
      <c r="A534" t="s">
        <v>1116</v>
      </c>
      <c r="B534" s="9">
        <v>45760</v>
      </c>
      <c r="C534" t="s">
        <v>518</v>
      </c>
      <c r="D534" t="s">
        <v>741</v>
      </c>
      <c r="E534">
        <v>1</v>
      </c>
      <c r="F534" s="56">
        <v>75000</v>
      </c>
      <c r="G534" s="56">
        <v>75000</v>
      </c>
      <c r="H534" t="s">
        <v>883</v>
      </c>
      <c r="I534" s="56">
        <v>7500</v>
      </c>
      <c r="J534" s="56">
        <v>10000</v>
      </c>
      <c r="K534" s="56">
        <v>77500</v>
      </c>
      <c r="L534" t="s">
        <v>889</v>
      </c>
      <c r="M534" t="s">
        <v>901</v>
      </c>
      <c r="N534" t="s">
        <v>875</v>
      </c>
      <c r="O534" s="57">
        <v>45748</v>
      </c>
      <c r="P534" t="s">
        <v>877</v>
      </c>
      <c r="Q534" s="56">
        <v>67500</v>
      </c>
      <c r="R534" t="s">
        <v>742</v>
      </c>
      <c r="S534" t="s">
        <v>743</v>
      </c>
      <c r="T534" t="s">
        <v>744</v>
      </c>
      <c r="U534" t="s">
        <v>519</v>
      </c>
      <c r="V534" t="s">
        <v>23</v>
      </c>
      <c r="W534" t="s">
        <v>12</v>
      </c>
      <c r="X534" t="s">
        <v>15</v>
      </c>
      <c r="Y534" s="56">
        <f>IF(clean[[#This Row],[is_delivered]]="Yes",clean[[#This Row],[net_sales]],0 )</f>
        <v>67500</v>
      </c>
    </row>
    <row r="535" spans="1:25">
      <c r="A535" t="s">
        <v>1315</v>
      </c>
      <c r="B535" s="9">
        <v>45760</v>
      </c>
      <c r="C535" t="s">
        <v>360</v>
      </c>
      <c r="D535" t="s">
        <v>797</v>
      </c>
      <c r="E535">
        <v>1</v>
      </c>
      <c r="F535" s="56">
        <v>150000</v>
      </c>
      <c r="G535" s="56">
        <v>150000</v>
      </c>
      <c r="H535" t="s">
        <v>886</v>
      </c>
      <c r="I535" s="56">
        <v>15000</v>
      </c>
      <c r="J535" s="56">
        <v>15000</v>
      </c>
      <c r="K535" s="56">
        <v>150000</v>
      </c>
      <c r="L535" t="s">
        <v>884</v>
      </c>
      <c r="M535" t="s">
        <v>901</v>
      </c>
      <c r="N535" t="s">
        <v>875</v>
      </c>
      <c r="O535" s="57">
        <v>45748</v>
      </c>
      <c r="P535" t="s">
        <v>877</v>
      </c>
      <c r="Q535" s="56">
        <v>135000</v>
      </c>
      <c r="R535" t="s">
        <v>798</v>
      </c>
      <c r="S535" t="s">
        <v>727</v>
      </c>
      <c r="T535" t="s">
        <v>728</v>
      </c>
      <c r="U535" t="s">
        <v>361</v>
      </c>
      <c r="V535" t="s">
        <v>23</v>
      </c>
      <c r="W535" t="s">
        <v>137</v>
      </c>
      <c r="X535" t="s">
        <v>9</v>
      </c>
      <c r="Y535" s="56">
        <f>IF(clean[[#This Row],[is_delivered]]="Yes",clean[[#This Row],[net_sales]],0 )</f>
        <v>135000</v>
      </c>
    </row>
    <row r="536" spans="1:25">
      <c r="A536" t="s">
        <v>1394</v>
      </c>
      <c r="B536" s="9">
        <v>45760</v>
      </c>
      <c r="C536" t="s">
        <v>652</v>
      </c>
      <c r="D536" t="s">
        <v>737</v>
      </c>
      <c r="E536">
        <v>1</v>
      </c>
      <c r="F536" s="56">
        <v>300000</v>
      </c>
      <c r="G536" s="56">
        <v>300000</v>
      </c>
      <c r="H536" t="s">
        <v>872</v>
      </c>
      <c r="I536" s="56">
        <v>0</v>
      </c>
      <c r="J536" s="56">
        <v>30000</v>
      </c>
      <c r="K536" s="56">
        <v>330000</v>
      </c>
      <c r="L536" t="s">
        <v>873</v>
      </c>
      <c r="M536" t="s">
        <v>874</v>
      </c>
      <c r="N536" t="s">
        <v>890</v>
      </c>
      <c r="O536" s="57">
        <v>45748</v>
      </c>
      <c r="P536" t="s">
        <v>892</v>
      </c>
      <c r="Q536" s="56">
        <v>300000</v>
      </c>
      <c r="R536" t="s">
        <v>738</v>
      </c>
      <c r="S536" t="s">
        <v>739</v>
      </c>
      <c r="T536" t="s">
        <v>740</v>
      </c>
      <c r="U536" t="s">
        <v>653</v>
      </c>
      <c r="V536" t="s">
        <v>23</v>
      </c>
      <c r="W536" t="s">
        <v>137</v>
      </c>
      <c r="X536" t="s">
        <v>24</v>
      </c>
      <c r="Y536" s="56">
        <f>IF(clean[[#This Row],[is_delivered]]="Yes",clean[[#This Row],[net_sales]],0 )</f>
        <v>0</v>
      </c>
    </row>
    <row r="537" spans="1:25">
      <c r="A537" t="s">
        <v>1608</v>
      </c>
      <c r="B537" s="9">
        <v>45760</v>
      </c>
      <c r="C537" t="s">
        <v>612</v>
      </c>
      <c r="D537" t="s">
        <v>819</v>
      </c>
      <c r="E537">
        <v>1</v>
      </c>
      <c r="F537" s="56">
        <v>300000</v>
      </c>
      <c r="G537" s="56">
        <v>300000</v>
      </c>
      <c r="H537" t="s">
        <v>872</v>
      </c>
      <c r="I537" s="56">
        <v>0</v>
      </c>
      <c r="J537" s="56">
        <v>10000</v>
      </c>
      <c r="K537" s="56">
        <v>310000</v>
      </c>
      <c r="L537" t="s">
        <v>884</v>
      </c>
      <c r="M537" t="s">
        <v>881</v>
      </c>
      <c r="N537" t="s">
        <v>875</v>
      </c>
      <c r="O537" s="57">
        <v>45748</v>
      </c>
      <c r="P537" t="s">
        <v>877</v>
      </c>
      <c r="Q537" s="56">
        <v>300000</v>
      </c>
      <c r="R537" t="s">
        <v>820</v>
      </c>
      <c r="S537" t="s">
        <v>747</v>
      </c>
      <c r="T537" t="s">
        <v>748</v>
      </c>
      <c r="U537" t="s">
        <v>613</v>
      </c>
      <c r="V537" t="s">
        <v>23</v>
      </c>
      <c r="W537" t="s">
        <v>8</v>
      </c>
      <c r="X537" t="s">
        <v>9</v>
      </c>
      <c r="Y537" s="56">
        <f>IF(clean[[#This Row],[is_delivered]]="Yes",clean[[#This Row],[net_sales]],0 )</f>
        <v>300000</v>
      </c>
    </row>
    <row r="538" spans="1:25">
      <c r="A538" t="s">
        <v>1703</v>
      </c>
      <c r="B538" s="9">
        <v>45760</v>
      </c>
      <c r="C538" t="s">
        <v>25</v>
      </c>
      <c r="D538" t="s">
        <v>853</v>
      </c>
      <c r="E538">
        <v>4</v>
      </c>
      <c r="F538" s="56">
        <v>75000</v>
      </c>
      <c r="G538" s="56">
        <v>300000</v>
      </c>
      <c r="H538" t="s">
        <v>886</v>
      </c>
      <c r="I538" s="56">
        <v>30000</v>
      </c>
      <c r="J538" s="56">
        <v>10000</v>
      </c>
      <c r="K538" s="56">
        <v>280000</v>
      </c>
      <c r="L538" t="s">
        <v>884</v>
      </c>
      <c r="M538" t="s">
        <v>903</v>
      </c>
      <c r="N538" t="s">
        <v>890</v>
      </c>
      <c r="O538" s="57">
        <v>45748</v>
      </c>
      <c r="P538" t="s">
        <v>892</v>
      </c>
      <c r="Q538" s="56">
        <v>270000</v>
      </c>
      <c r="R538" t="s">
        <v>854</v>
      </c>
      <c r="S538" t="s">
        <v>743</v>
      </c>
      <c r="T538" t="s">
        <v>744</v>
      </c>
      <c r="U538" t="s">
        <v>26</v>
      </c>
      <c r="V538" t="s">
        <v>23</v>
      </c>
      <c r="W538" t="s">
        <v>20</v>
      </c>
      <c r="X538" t="s">
        <v>9</v>
      </c>
      <c r="Y538" s="56">
        <f>IF(clean[[#This Row],[is_delivered]]="Yes",clean[[#This Row],[net_sales]],0 )</f>
        <v>0</v>
      </c>
    </row>
    <row r="539" spans="1:25">
      <c r="A539" t="s">
        <v>919</v>
      </c>
      <c r="B539" s="9">
        <v>45759</v>
      </c>
      <c r="C539" t="s">
        <v>37</v>
      </c>
      <c r="D539" t="s">
        <v>773</v>
      </c>
      <c r="E539">
        <v>2</v>
      </c>
      <c r="F539" s="56">
        <v>500000</v>
      </c>
      <c r="G539" s="56">
        <v>1000000</v>
      </c>
      <c r="H539" t="s">
        <v>895</v>
      </c>
      <c r="I539" s="56">
        <v>150000</v>
      </c>
      <c r="J539" s="56">
        <v>10000</v>
      </c>
      <c r="K539" s="56">
        <v>860000</v>
      </c>
      <c r="L539" t="s">
        <v>880</v>
      </c>
      <c r="M539" t="s">
        <v>901</v>
      </c>
      <c r="N539" t="s">
        <v>875</v>
      </c>
      <c r="O539" s="57">
        <v>45748</v>
      </c>
      <c r="P539" t="s">
        <v>877</v>
      </c>
      <c r="Q539" s="56">
        <v>850000</v>
      </c>
      <c r="R539" t="s">
        <v>774</v>
      </c>
      <c r="S539" t="s">
        <v>727</v>
      </c>
      <c r="T539" t="s">
        <v>728</v>
      </c>
      <c r="U539" t="s">
        <v>38</v>
      </c>
      <c r="V539" t="s">
        <v>23</v>
      </c>
      <c r="W539" t="s">
        <v>39</v>
      </c>
      <c r="X539" t="s">
        <v>9</v>
      </c>
      <c r="Y539" s="56">
        <f>IF(clean[[#This Row],[is_delivered]]="Yes",clean[[#This Row],[net_sales]],0 )</f>
        <v>850000</v>
      </c>
    </row>
    <row r="540" spans="1:25">
      <c r="A540" t="s">
        <v>1316</v>
      </c>
      <c r="B540" s="9">
        <v>45759</v>
      </c>
      <c r="C540" t="s">
        <v>402</v>
      </c>
      <c r="D540" t="s">
        <v>837</v>
      </c>
      <c r="E540">
        <v>3</v>
      </c>
      <c r="F540" s="56">
        <v>300000</v>
      </c>
      <c r="G540" s="56">
        <v>900000</v>
      </c>
      <c r="H540" t="s">
        <v>872</v>
      </c>
      <c r="I540" s="56">
        <v>0</v>
      </c>
      <c r="J540" s="56">
        <v>10000</v>
      </c>
      <c r="K540" s="56">
        <v>910000</v>
      </c>
      <c r="L540" t="s">
        <v>884</v>
      </c>
      <c r="M540" t="s">
        <v>2106</v>
      </c>
      <c r="N540" t="s">
        <v>875</v>
      </c>
      <c r="O540" s="57">
        <v>45748</v>
      </c>
      <c r="P540" t="s">
        <v>877</v>
      </c>
      <c r="Q540" s="56">
        <v>900000</v>
      </c>
      <c r="R540" t="s">
        <v>838</v>
      </c>
      <c r="S540" t="s">
        <v>735</v>
      </c>
      <c r="T540" t="s">
        <v>736</v>
      </c>
      <c r="U540" t="s">
        <v>403</v>
      </c>
      <c r="V540" t="s">
        <v>7</v>
      </c>
      <c r="W540" t="s">
        <v>8</v>
      </c>
      <c r="X540" t="s">
        <v>9</v>
      </c>
      <c r="Y540" s="56">
        <f>IF(clean[[#This Row],[is_delivered]]="Yes",clean[[#This Row],[net_sales]],0 )</f>
        <v>900000</v>
      </c>
    </row>
    <row r="541" spans="1:25">
      <c r="A541" t="s">
        <v>1568</v>
      </c>
      <c r="B541" s="9">
        <v>45759</v>
      </c>
      <c r="C541" t="s">
        <v>310</v>
      </c>
      <c r="D541" t="s">
        <v>729</v>
      </c>
      <c r="E541">
        <v>1</v>
      </c>
      <c r="F541" s="56">
        <v>100000</v>
      </c>
      <c r="G541" s="56">
        <v>100000</v>
      </c>
      <c r="H541" t="s">
        <v>872</v>
      </c>
      <c r="I541" s="56">
        <v>0</v>
      </c>
      <c r="J541" s="56">
        <v>10000</v>
      </c>
      <c r="K541" s="56">
        <v>110000</v>
      </c>
      <c r="L541" t="s">
        <v>873</v>
      </c>
      <c r="M541" t="s">
        <v>901</v>
      </c>
      <c r="N541" t="s">
        <v>875</v>
      </c>
      <c r="O541" s="57">
        <v>45748</v>
      </c>
      <c r="P541" t="s">
        <v>877</v>
      </c>
      <c r="Q541" s="56">
        <v>100000</v>
      </c>
      <c r="R541" t="s">
        <v>730</v>
      </c>
      <c r="S541" t="s">
        <v>731</v>
      </c>
      <c r="T541" t="s">
        <v>732</v>
      </c>
      <c r="U541" t="s">
        <v>311</v>
      </c>
      <c r="V541" t="s">
        <v>7</v>
      </c>
      <c r="W541" t="s">
        <v>46</v>
      </c>
      <c r="X541" t="s">
        <v>15</v>
      </c>
      <c r="Y541" s="56">
        <f>IF(clean[[#This Row],[is_delivered]]="Yes",clean[[#This Row],[net_sales]],0 )</f>
        <v>100000</v>
      </c>
    </row>
    <row r="542" spans="1:25">
      <c r="A542" t="s">
        <v>1588</v>
      </c>
      <c r="B542" s="9">
        <v>45759</v>
      </c>
      <c r="C542" t="s">
        <v>424</v>
      </c>
      <c r="D542" t="s">
        <v>789</v>
      </c>
      <c r="E542">
        <v>1</v>
      </c>
      <c r="F542" s="56">
        <v>200000</v>
      </c>
      <c r="G542" s="56">
        <v>200000</v>
      </c>
      <c r="H542" t="s">
        <v>872</v>
      </c>
      <c r="I542" s="56">
        <v>0</v>
      </c>
      <c r="J542" s="56">
        <v>25000</v>
      </c>
      <c r="K542" s="56">
        <v>225000</v>
      </c>
      <c r="L542" t="s">
        <v>880</v>
      </c>
      <c r="M542" t="s">
        <v>903</v>
      </c>
      <c r="N542" t="s">
        <v>905</v>
      </c>
      <c r="O542" s="57">
        <v>45748</v>
      </c>
      <c r="P542" t="s">
        <v>892</v>
      </c>
      <c r="Q542" s="56">
        <v>200000</v>
      </c>
      <c r="R542" t="s">
        <v>790</v>
      </c>
      <c r="S542" t="s">
        <v>735</v>
      </c>
      <c r="T542" t="s">
        <v>736</v>
      </c>
      <c r="U542" t="s">
        <v>425</v>
      </c>
      <c r="V542" t="s">
        <v>7</v>
      </c>
      <c r="W542" t="s">
        <v>8</v>
      </c>
      <c r="X542" t="s">
        <v>24</v>
      </c>
      <c r="Y542" s="56">
        <f>IF(clean[[#This Row],[is_delivered]]="Yes",clean[[#This Row],[net_sales]],0 )</f>
        <v>0</v>
      </c>
    </row>
    <row r="543" spans="1:25">
      <c r="A543" t="s">
        <v>1828</v>
      </c>
      <c r="B543" s="9">
        <v>45759</v>
      </c>
      <c r="C543" t="s">
        <v>686</v>
      </c>
      <c r="D543" t="s">
        <v>833</v>
      </c>
      <c r="E543">
        <v>1</v>
      </c>
      <c r="F543" s="56">
        <v>200000</v>
      </c>
      <c r="G543" s="56">
        <v>200000</v>
      </c>
      <c r="H543" t="s">
        <v>872</v>
      </c>
      <c r="I543" s="56">
        <v>0</v>
      </c>
      <c r="J543" s="56">
        <v>25000</v>
      </c>
      <c r="K543" s="56">
        <v>225000</v>
      </c>
      <c r="L543" t="s">
        <v>884</v>
      </c>
      <c r="M543" t="s">
        <v>881</v>
      </c>
      <c r="N543" t="s">
        <v>875</v>
      </c>
      <c r="O543" s="57">
        <v>45748</v>
      </c>
      <c r="P543" t="s">
        <v>877</v>
      </c>
      <c r="Q543" s="56">
        <v>200000</v>
      </c>
      <c r="R543" t="s">
        <v>834</v>
      </c>
      <c r="S543" t="s">
        <v>727</v>
      </c>
      <c r="T543" t="s">
        <v>728</v>
      </c>
      <c r="U543" t="s">
        <v>687</v>
      </c>
      <c r="V543" t="s">
        <v>23</v>
      </c>
      <c r="W543" t="s">
        <v>29</v>
      </c>
      <c r="X543" t="s">
        <v>9</v>
      </c>
      <c r="Y543" s="56">
        <f>IF(clean[[#This Row],[is_delivered]]="Yes",clean[[#This Row],[net_sales]],0 )</f>
        <v>200000</v>
      </c>
    </row>
    <row r="544" spans="1:25">
      <c r="A544" t="s">
        <v>2056</v>
      </c>
      <c r="B544" s="9">
        <v>45759</v>
      </c>
      <c r="C544" t="s">
        <v>258</v>
      </c>
      <c r="D544" t="s">
        <v>785</v>
      </c>
      <c r="E544">
        <v>3</v>
      </c>
      <c r="F544" s="56">
        <v>100000</v>
      </c>
      <c r="G544" s="56">
        <v>300000</v>
      </c>
      <c r="H544" t="s">
        <v>883</v>
      </c>
      <c r="I544" s="56">
        <v>30000</v>
      </c>
      <c r="J544" s="56">
        <v>10000</v>
      </c>
      <c r="K544" s="56">
        <v>280000</v>
      </c>
      <c r="L544" t="s">
        <v>889</v>
      </c>
      <c r="M544" t="s">
        <v>901</v>
      </c>
      <c r="N544" t="s">
        <v>875</v>
      </c>
      <c r="O544" s="57">
        <v>45748</v>
      </c>
      <c r="P544" t="s">
        <v>877</v>
      </c>
      <c r="Q544" s="56">
        <v>270000</v>
      </c>
      <c r="R544" t="s">
        <v>786</v>
      </c>
      <c r="S544" t="s">
        <v>727</v>
      </c>
      <c r="T544" t="s">
        <v>728</v>
      </c>
      <c r="U544" t="s">
        <v>259</v>
      </c>
      <c r="V544" t="s">
        <v>7</v>
      </c>
      <c r="W544" t="s">
        <v>56</v>
      </c>
      <c r="X544" t="s">
        <v>9</v>
      </c>
      <c r="Y544" s="56">
        <f>IF(clean[[#This Row],[is_delivered]]="Yes",clean[[#This Row],[net_sales]],0 )</f>
        <v>270000</v>
      </c>
    </row>
    <row r="545" spans="1:25">
      <c r="A545" t="s">
        <v>1056</v>
      </c>
      <c r="B545" s="9">
        <v>45758</v>
      </c>
      <c r="C545" t="s">
        <v>390</v>
      </c>
      <c r="D545" t="s">
        <v>737</v>
      </c>
      <c r="E545">
        <v>4</v>
      </c>
      <c r="F545" s="56">
        <v>300000</v>
      </c>
      <c r="G545" s="56">
        <v>1200000</v>
      </c>
      <c r="H545" t="s">
        <v>872</v>
      </c>
      <c r="I545" s="56">
        <v>0</v>
      </c>
      <c r="J545" s="56">
        <v>15000</v>
      </c>
      <c r="K545" s="56">
        <v>1215000</v>
      </c>
      <c r="L545" t="s">
        <v>873</v>
      </c>
      <c r="M545" t="s">
        <v>2106</v>
      </c>
      <c r="N545" t="s">
        <v>875</v>
      </c>
      <c r="O545" s="57">
        <v>45748</v>
      </c>
      <c r="P545" t="s">
        <v>877</v>
      </c>
      <c r="Q545" s="56">
        <v>1200000</v>
      </c>
      <c r="R545" t="s">
        <v>738</v>
      </c>
      <c r="S545" t="s">
        <v>739</v>
      </c>
      <c r="T545" t="s">
        <v>740</v>
      </c>
      <c r="U545" t="s">
        <v>391</v>
      </c>
      <c r="V545" t="s">
        <v>23</v>
      </c>
      <c r="W545" t="s">
        <v>56</v>
      </c>
      <c r="X545" t="s">
        <v>15</v>
      </c>
      <c r="Y545" s="56">
        <f>IF(clean[[#This Row],[is_delivered]]="Yes",clean[[#This Row],[net_sales]],0 )</f>
        <v>1200000</v>
      </c>
    </row>
    <row r="546" spans="1:25">
      <c r="A546" t="s">
        <v>1209</v>
      </c>
      <c r="B546" s="9">
        <v>45758</v>
      </c>
      <c r="C546" t="s">
        <v>222</v>
      </c>
      <c r="D546" t="s">
        <v>833</v>
      </c>
      <c r="E546">
        <v>1</v>
      </c>
      <c r="F546" s="56">
        <v>200000</v>
      </c>
      <c r="G546" s="56">
        <v>200000</v>
      </c>
      <c r="H546" t="s">
        <v>879</v>
      </c>
      <c r="I546" s="56">
        <v>40000</v>
      </c>
      <c r="J546" s="56">
        <v>15000</v>
      </c>
      <c r="K546" s="56">
        <v>175000</v>
      </c>
      <c r="L546" t="s">
        <v>889</v>
      </c>
      <c r="M546" t="s">
        <v>901</v>
      </c>
      <c r="N546" t="s">
        <v>890</v>
      </c>
      <c r="O546" s="57">
        <v>45748</v>
      </c>
      <c r="P546" t="s">
        <v>892</v>
      </c>
      <c r="Q546" s="56">
        <v>160000</v>
      </c>
      <c r="R546" t="s">
        <v>834</v>
      </c>
      <c r="S546" t="s">
        <v>727</v>
      </c>
      <c r="T546" t="s">
        <v>728</v>
      </c>
      <c r="U546" t="s">
        <v>223</v>
      </c>
      <c r="V546" t="s">
        <v>7</v>
      </c>
      <c r="W546" t="s">
        <v>137</v>
      </c>
      <c r="X546" t="s">
        <v>9</v>
      </c>
      <c r="Y546" s="56">
        <f>IF(clean[[#This Row],[is_delivered]]="Yes",clean[[#This Row],[net_sales]],0 )</f>
        <v>0</v>
      </c>
    </row>
    <row r="547" spans="1:25">
      <c r="A547" t="s">
        <v>1122</v>
      </c>
      <c r="B547" s="9">
        <v>45758</v>
      </c>
      <c r="C547" t="s">
        <v>444</v>
      </c>
      <c r="D547" t="s">
        <v>833</v>
      </c>
      <c r="E547">
        <v>4</v>
      </c>
      <c r="F547" s="56">
        <v>200000</v>
      </c>
      <c r="G547" s="56">
        <v>800000</v>
      </c>
      <c r="H547" t="s">
        <v>872</v>
      </c>
      <c r="I547" s="56">
        <v>0</v>
      </c>
      <c r="J547" s="56">
        <v>30000</v>
      </c>
      <c r="K547" s="56">
        <v>830000</v>
      </c>
      <c r="L547" t="s">
        <v>873</v>
      </c>
      <c r="M547" t="s">
        <v>901</v>
      </c>
      <c r="N547" t="s">
        <v>875</v>
      </c>
      <c r="O547" s="57">
        <v>45748</v>
      </c>
      <c r="P547" t="s">
        <v>877</v>
      </c>
      <c r="Q547" s="56">
        <v>800000</v>
      </c>
      <c r="R547" t="s">
        <v>834</v>
      </c>
      <c r="S547" t="s">
        <v>727</v>
      </c>
      <c r="T547" t="s">
        <v>728</v>
      </c>
      <c r="U547" t="s">
        <v>445</v>
      </c>
      <c r="V547" t="s">
        <v>23</v>
      </c>
      <c r="W547" t="s">
        <v>20</v>
      </c>
      <c r="X547" t="s">
        <v>9</v>
      </c>
      <c r="Y547" s="56">
        <f>IF(clean[[#This Row],[is_delivered]]="Yes",clean[[#This Row],[net_sales]],0 )</f>
        <v>800000</v>
      </c>
    </row>
    <row r="548" spans="1:25">
      <c r="A548" t="s">
        <v>1164</v>
      </c>
      <c r="B548" s="9">
        <v>45758</v>
      </c>
      <c r="C548" t="s">
        <v>626</v>
      </c>
      <c r="D548" t="s">
        <v>813</v>
      </c>
      <c r="E548">
        <v>2</v>
      </c>
      <c r="F548" s="56">
        <v>35000</v>
      </c>
      <c r="G548" s="56">
        <v>70000</v>
      </c>
      <c r="H548" t="s">
        <v>872</v>
      </c>
      <c r="I548" s="56">
        <v>0</v>
      </c>
      <c r="J548" s="56">
        <v>20000</v>
      </c>
      <c r="K548" s="56">
        <v>90000</v>
      </c>
      <c r="L548" t="s">
        <v>884</v>
      </c>
      <c r="M548" t="s">
        <v>874</v>
      </c>
      <c r="N548" t="s">
        <v>905</v>
      </c>
      <c r="O548" s="57">
        <v>45748</v>
      </c>
      <c r="P548" t="s">
        <v>892</v>
      </c>
      <c r="Q548" s="56">
        <v>70000</v>
      </c>
      <c r="R548" t="s">
        <v>814</v>
      </c>
      <c r="S548" t="s">
        <v>735</v>
      </c>
      <c r="T548" t="s">
        <v>736</v>
      </c>
      <c r="U548" t="s">
        <v>627</v>
      </c>
      <c r="V548" t="s">
        <v>23</v>
      </c>
      <c r="W548" t="s">
        <v>12</v>
      </c>
      <c r="X548" t="s">
        <v>15</v>
      </c>
      <c r="Y548" s="56">
        <f>IF(clean[[#This Row],[is_delivered]]="Yes",clean[[#This Row],[net_sales]],0 )</f>
        <v>0</v>
      </c>
    </row>
    <row r="549" spans="1:25">
      <c r="A549" t="s">
        <v>1272</v>
      </c>
      <c r="B549" s="9">
        <v>45758</v>
      </c>
      <c r="C549" t="s">
        <v>698</v>
      </c>
      <c r="D549" t="s">
        <v>759</v>
      </c>
      <c r="E549">
        <v>1</v>
      </c>
      <c r="F549" s="56">
        <v>300000</v>
      </c>
      <c r="G549" s="56">
        <v>300000</v>
      </c>
      <c r="H549" t="s">
        <v>872</v>
      </c>
      <c r="I549" s="56">
        <v>0</v>
      </c>
      <c r="J549" s="56">
        <v>30000</v>
      </c>
      <c r="K549" s="56">
        <v>330000</v>
      </c>
      <c r="L549" t="s">
        <v>889</v>
      </c>
      <c r="M549" t="s">
        <v>881</v>
      </c>
      <c r="N549" t="s">
        <v>875</v>
      </c>
      <c r="O549" s="57">
        <v>45748</v>
      </c>
      <c r="P549" t="s">
        <v>877</v>
      </c>
      <c r="Q549" s="56">
        <v>300000</v>
      </c>
      <c r="R549" t="s">
        <v>760</v>
      </c>
      <c r="S549" t="s">
        <v>747</v>
      </c>
      <c r="T549" t="s">
        <v>748</v>
      </c>
      <c r="U549" t="s">
        <v>699</v>
      </c>
      <c r="V549" t="s">
        <v>7</v>
      </c>
      <c r="W549" t="s">
        <v>36</v>
      </c>
      <c r="X549" t="s">
        <v>15</v>
      </c>
      <c r="Y549" s="56">
        <f>IF(clean[[#This Row],[is_delivered]]="Yes",clean[[#This Row],[net_sales]],0 )</f>
        <v>300000</v>
      </c>
    </row>
    <row r="550" spans="1:25">
      <c r="A550" t="s">
        <v>1537</v>
      </c>
      <c r="B550" s="9">
        <v>45758</v>
      </c>
      <c r="C550" t="s">
        <v>30</v>
      </c>
      <c r="D550" t="s">
        <v>841</v>
      </c>
      <c r="E550">
        <v>1</v>
      </c>
      <c r="F550" s="56">
        <v>75000</v>
      </c>
      <c r="G550" s="56">
        <v>75000</v>
      </c>
      <c r="H550" t="s">
        <v>872</v>
      </c>
      <c r="I550" s="56">
        <v>0</v>
      </c>
      <c r="J550" s="56">
        <v>10000</v>
      </c>
      <c r="K550" s="56">
        <v>85000</v>
      </c>
      <c r="L550" t="s">
        <v>884</v>
      </c>
      <c r="M550" t="s">
        <v>901</v>
      </c>
      <c r="N550" t="s">
        <v>890</v>
      </c>
      <c r="O550" s="57">
        <v>45748</v>
      </c>
      <c r="P550" t="s">
        <v>892</v>
      </c>
      <c r="Q550" s="56">
        <v>75000</v>
      </c>
      <c r="R550" t="s">
        <v>842</v>
      </c>
      <c r="S550" t="s">
        <v>743</v>
      </c>
      <c r="T550" t="s">
        <v>744</v>
      </c>
      <c r="U550" t="s">
        <v>31</v>
      </c>
      <c r="V550" t="s">
        <v>23</v>
      </c>
      <c r="W550" t="s">
        <v>8</v>
      </c>
      <c r="X550" t="s">
        <v>9</v>
      </c>
      <c r="Y550" s="56">
        <f>IF(clean[[#This Row],[is_delivered]]="Yes",clean[[#This Row],[net_sales]],0 )</f>
        <v>0</v>
      </c>
    </row>
    <row r="551" spans="1:25">
      <c r="A551" t="s">
        <v>1570</v>
      </c>
      <c r="B551" s="9">
        <v>45758</v>
      </c>
      <c r="C551" t="s">
        <v>13</v>
      </c>
      <c r="D551" t="s">
        <v>779</v>
      </c>
      <c r="E551">
        <v>3</v>
      </c>
      <c r="F551" s="56">
        <v>150000</v>
      </c>
      <c r="G551" s="56">
        <v>450000</v>
      </c>
      <c r="H551" t="s">
        <v>886</v>
      </c>
      <c r="I551" s="56">
        <v>45000</v>
      </c>
      <c r="J551" s="56">
        <v>10000</v>
      </c>
      <c r="K551" s="56">
        <v>415000</v>
      </c>
      <c r="L551" t="s">
        <v>889</v>
      </c>
      <c r="M551" t="s">
        <v>874</v>
      </c>
      <c r="N551" t="s">
        <v>921</v>
      </c>
      <c r="O551" s="57">
        <v>45748</v>
      </c>
      <c r="P551" t="s">
        <v>892</v>
      </c>
      <c r="Q551" s="56">
        <v>405000</v>
      </c>
      <c r="R551" t="s">
        <v>780</v>
      </c>
      <c r="S551" t="s">
        <v>739</v>
      </c>
      <c r="T551" t="s">
        <v>740</v>
      </c>
      <c r="U551" t="s">
        <v>14</v>
      </c>
      <c r="V551" t="s">
        <v>7</v>
      </c>
      <c r="W551" t="s">
        <v>8</v>
      </c>
      <c r="X551" t="s">
        <v>15</v>
      </c>
      <c r="Y551" s="56">
        <f>IF(clean[[#This Row],[is_delivered]]="Yes",clean[[#This Row],[net_sales]],0 )</f>
        <v>0</v>
      </c>
    </row>
    <row r="552" spans="1:25">
      <c r="A552" t="s">
        <v>1612</v>
      </c>
      <c r="B552" s="9">
        <v>45758</v>
      </c>
      <c r="C552" t="s">
        <v>380</v>
      </c>
      <c r="D552" t="s">
        <v>807</v>
      </c>
      <c r="E552">
        <v>2</v>
      </c>
      <c r="F552" s="56">
        <v>150000</v>
      </c>
      <c r="G552" s="56">
        <v>300000</v>
      </c>
      <c r="H552" t="s">
        <v>872</v>
      </c>
      <c r="I552" s="56">
        <v>0</v>
      </c>
      <c r="J552" s="56">
        <v>10000</v>
      </c>
      <c r="K552" s="56">
        <v>310000</v>
      </c>
      <c r="L552" t="s">
        <v>889</v>
      </c>
      <c r="M552" t="s">
        <v>903</v>
      </c>
      <c r="N552" t="s">
        <v>875</v>
      </c>
      <c r="O552" s="57">
        <v>45748</v>
      </c>
      <c r="P552" t="s">
        <v>877</v>
      </c>
      <c r="Q552" s="56">
        <v>300000</v>
      </c>
      <c r="R552" t="s">
        <v>808</v>
      </c>
      <c r="S552" t="s">
        <v>747</v>
      </c>
      <c r="T552" t="s">
        <v>748</v>
      </c>
      <c r="U552" t="s">
        <v>381</v>
      </c>
      <c r="V552" t="s">
        <v>23</v>
      </c>
      <c r="W552" t="s">
        <v>39</v>
      </c>
      <c r="X552" t="s">
        <v>9</v>
      </c>
      <c r="Y552" s="56">
        <f>IF(clean[[#This Row],[is_delivered]]="Yes",clean[[#This Row],[net_sales]],0 )</f>
        <v>300000</v>
      </c>
    </row>
    <row r="553" spans="1:25">
      <c r="A553" t="s">
        <v>1666</v>
      </c>
      <c r="B553" s="9">
        <v>45758</v>
      </c>
      <c r="C553" t="s">
        <v>414</v>
      </c>
      <c r="D553" t="s">
        <v>825</v>
      </c>
      <c r="E553">
        <v>1</v>
      </c>
      <c r="F553" s="56">
        <v>100000</v>
      </c>
      <c r="G553" s="56">
        <v>100000</v>
      </c>
      <c r="H553" t="s">
        <v>872</v>
      </c>
      <c r="I553" s="56">
        <v>0</v>
      </c>
      <c r="J553" s="56">
        <v>15000</v>
      </c>
      <c r="K553" s="56">
        <v>115000</v>
      </c>
      <c r="L553" t="s">
        <v>884</v>
      </c>
      <c r="M553" t="s">
        <v>901</v>
      </c>
      <c r="N553" t="s">
        <v>875</v>
      </c>
      <c r="O553" s="57">
        <v>45748</v>
      </c>
      <c r="P553" t="s">
        <v>877</v>
      </c>
      <c r="Q553" s="56">
        <v>100000</v>
      </c>
      <c r="R553" t="s">
        <v>826</v>
      </c>
      <c r="S553" t="s">
        <v>735</v>
      </c>
      <c r="T553" t="s">
        <v>736</v>
      </c>
      <c r="U553" t="s">
        <v>415</v>
      </c>
      <c r="V553" t="s">
        <v>23</v>
      </c>
      <c r="W553" t="s">
        <v>39</v>
      </c>
      <c r="X553" t="s">
        <v>24</v>
      </c>
      <c r="Y553" s="56">
        <f>IF(clean[[#This Row],[is_delivered]]="Yes",clean[[#This Row],[net_sales]],0 )</f>
        <v>100000</v>
      </c>
    </row>
    <row r="554" spans="1:25">
      <c r="A554" t="s">
        <v>1691</v>
      </c>
      <c r="B554" s="9">
        <v>45758</v>
      </c>
      <c r="C554" t="s">
        <v>228</v>
      </c>
      <c r="D554" t="s">
        <v>771</v>
      </c>
      <c r="E554">
        <v>1</v>
      </c>
      <c r="F554" s="56">
        <v>500000</v>
      </c>
      <c r="G554" s="56">
        <v>500000</v>
      </c>
      <c r="H554" t="s">
        <v>872</v>
      </c>
      <c r="I554" s="56">
        <v>0</v>
      </c>
      <c r="J554" s="56">
        <v>25000</v>
      </c>
      <c r="K554" s="56">
        <v>525000</v>
      </c>
      <c r="L554" t="s">
        <v>889</v>
      </c>
      <c r="M554" t="s">
        <v>903</v>
      </c>
      <c r="N554" t="s">
        <v>911</v>
      </c>
      <c r="O554" s="57">
        <v>45748</v>
      </c>
      <c r="P554" t="s">
        <v>892</v>
      </c>
      <c r="Q554" s="56">
        <v>500000</v>
      </c>
      <c r="R554" t="s">
        <v>772</v>
      </c>
      <c r="S554" t="s">
        <v>747</v>
      </c>
      <c r="T554" t="s">
        <v>748</v>
      </c>
      <c r="U554" t="s">
        <v>229</v>
      </c>
      <c r="V554" t="s">
        <v>23</v>
      </c>
      <c r="W554" t="s">
        <v>39</v>
      </c>
      <c r="X554" t="s">
        <v>9</v>
      </c>
      <c r="Y554" s="56">
        <f>IF(clean[[#This Row],[is_delivered]]="Yes",clean[[#This Row],[net_sales]],0 )</f>
        <v>0</v>
      </c>
    </row>
    <row r="555" spans="1:25">
      <c r="A555" t="s">
        <v>1706</v>
      </c>
      <c r="B555" s="9">
        <v>45758</v>
      </c>
      <c r="C555" t="s">
        <v>420</v>
      </c>
      <c r="D555" t="s">
        <v>781</v>
      </c>
      <c r="E555">
        <v>3</v>
      </c>
      <c r="F555" s="56">
        <v>50000</v>
      </c>
      <c r="G555" s="56">
        <v>150000</v>
      </c>
      <c r="H555" t="s">
        <v>886</v>
      </c>
      <c r="I555" s="56">
        <v>15000</v>
      </c>
      <c r="J555" s="56">
        <v>30000</v>
      </c>
      <c r="K555" s="56">
        <v>165000</v>
      </c>
      <c r="L555" t="s">
        <v>889</v>
      </c>
      <c r="M555" t="s">
        <v>901</v>
      </c>
      <c r="N555" t="s">
        <v>875</v>
      </c>
      <c r="O555" s="57">
        <v>45748</v>
      </c>
      <c r="P555" t="s">
        <v>877</v>
      </c>
      <c r="Q555" s="56">
        <v>135000</v>
      </c>
      <c r="R555" t="s">
        <v>782</v>
      </c>
      <c r="S555" t="s">
        <v>743</v>
      </c>
      <c r="T555" t="s">
        <v>744</v>
      </c>
      <c r="U555" t="s">
        <v>421</v>
      </c>
      <c r="V555" t="s">
        <v>7</v>
      </c>
      <c r="W555" t="s">
        <v>137</v>
      </c>
      <c r="X555" t="s">
        <v>24</v>
      </c>
      <c r="Y555" s="56">
        <f>IF(clean[[#This Row],[is_delivered]]="Yes",clean[[#This Row],[net_sales]],0 )</f>
        <v>135000</v>
      </c>
    </row>
    <row r="556" spans="1:25">
      <c r="A556" t="s">
        <v>1168</v>
      </c>
      <c r="B556" s="9">
        <v>45757</v>
      </c>
      <c r="C556" t="s">
        <v>59</v>
      </c>
      <c r="D556" t="s">
        <v>855</v>
      </c>
      <c r="E556">
        <v>1</v>
      </c>
      <c r="F556" s="56">
        <v>150000</v>
      </c>
      <c r="G556" s="56">
        <v>150000</v>
      </c>
      <c r="H556" t="s">
        <v>895</v>
      </c>
      <c r="I556" s="56">
        <v>22500</v>
      </c>
      <c r="J556" s="56">
        <v>30000</v>
      </c>
      <c r="K556" s="56">
        <v>157500</v>
      </c>
      <c r="L556" t="s">
        <v>889</v>
      </c>
      <c r="M556" t="s">
        <v>903</v>
      </c>
      <c r="N556" t="s">
        <v>875</v>
      </c>
      <c r="O556" s="57">
        <v>45748</v>
      </c>
      <c r="P556" t="s">
        <v>877</v>
      </c>
      <c r="Q556" s="56">
        <v>127500</v>
      </c>
      <c r="R556" t="s">
        <v>856</v>
      </c>
      <c r="S556" t="s">
        <v>747</v>
      </c>
      <c r="T556" t="s">
        <v>748</v>
      </c>
      <c r="U556" t="s">
        <v>60</v>
      </c>
      <c r="V556" t="s">
        <v>7</v>
      </c>
      <c r="W556" t="s">
        <v>39</v>
      </c>
      <c r="X556" t="s">
        <v>15</v>
      </c>
      <c r="Y556" s="56">
        <f>IF(clean[[#This Row],[is_delivered]]="Yes",clean[[#This Row],[net_sales]],0 )</f>
        <v>127500</v>
      </c>
    </row>
    <row r="557" spans="1:25">
      <c r="A557" t="s">
        <v>1170</v>
      </c>
      <c r="B557" s="9">
        <v>45757</v>
      </c>
      <c r="C557" t="s">
        <v>294</v>
      </c>
      <c r="D557" t="s">
        <v>805</v>
      </c>
      <c r="E557">
        <v>1</v>
      </c>
      <c r="F557" s="56">
        <v>200000</v>
      </c>
      <c r="G557" s="56">
        <v>200000</v>
      </c>
      <c r="H557" t="s">
        <v>886</v>
      </c>
      <c r="I557" s="56">
        <v>20000</v>
      </c>
      <c r="J557" s="56">
        <v>30000</v>
      </c>
      <c r="K557" s="56">
        <v>210000</v>
      </c>
      <c r="L557" t="s">
        <v>884</v>
      </c>
      <c r="M557" t="s">
        <v>874</v>
      </c>
      <c r="N557" t="s">
        <v>890</v>
      </c>
      <c r="O557" s="57">
        <v>45748</v>
      </c>
      <c r="P557" t="s">
        <v>892</v>
      </c>
      <c r="Q557" s="56">
        <v>180000</v>
      </c>
      <c r="R557" t="s">
        <v>806</v>
      </c>
      <c r="S557" t="s">
        <v>743</v>
      </c>
      <c r="T557" t="s">
        <v>744</v>
      </c>
      <c r="U557" t="s">
        <v>295</v>
      </c>
      <c r="V557" t="s">
        <v>23</v>
      </c>
      <c r="W557" t="s">
        <v>39</v>
      </c>
      <c r="X557" t="s">
        <v>9</v>
      </c>
      <c r="Y557" s="56">
        <f>IF(clean[[#This Row],[is_delivered]]="Yes",clean[[#This Row],[net_sales]],0 )</f>
        <v>0</v>
      </c>
    </row>
    <row r="558" spans="1:25">
      <c r="A558" t="s">
        <v>1271</v>
      </c>
      <c r="B558" s="9">
        <v>45757</v>
      </c>
      <c r="C558" t="s">
        <v>574</v>
      </c>
      <c r="D558" t="s">
        <v>755</v>
      </c>
      <c r="E558">
        <v>4</v>
      </c>
      <c r="F558" s="56">
        <v>50000</v>
      </c>
      <c r="G558" s="56">
        <v>200000</v>
      </c>
      <c r="H558" t="s">
        <v>895</v>
      </c>
      <c r="I558" s="56">
        <v>30000</v>
      </c>
      <c r="J558" s="56">
        <v>25000</v>
      </c>
      <c r="K558" s="56">
        <v>195000</v>
      </c>
      <c r="L558" t="s">
        <v>880</v>
      </c>
      <c r="M558" t="s">
        <v>874</v>
      </c>
      <c r="N558" t="s">
        <v>890</v>
      </c>
      <c r="O558" s="57">
        <v>45748</v>
      </c>
      <c r="P558" t="s">
        <v>892</v>
      </c>
      <c r="Q558" s="56">
        <v>170000</v>
      </c>
      <c r="R558" t="s">
        <v>756</v>
      </c>
      <c r="S558" t="s">
        <v>739</v>
      </c>
      <c r="T558" t="s">
        <v>740</v>
      </c>
      <c r="U558" t="s">
        <v>575</v>
      </c>
      <c r="V558" t="s">
        <v>7</v>
      </c>
      <c r="W558" t="s">
        <v>46</v>
      </c>
      <c r="X558" t="s">
        <v>24</v>
      </c>
      <c r="Y558" s="56">
        <f>IF(clean[[#This Row],[is_delivered]]="Yes",clean[[#This Row],[net_sales]],0 )</f>
        <v>0</v>
      </c>
    </row>
    <row r="559" spans="1:25">
      <c r="A559" t="s">
        <v>1150</v>
      </c>
      <c r="B559" s="9">
        <v>45756</v>
      </c>
      <c r="C559" t="s">
        <v>162</v>
      </c>
      <c r="D559" t="s">
        <v>733</v>
      </c>
      <c r="E559">
        <v>3</v>
      </c>
      <c r="F559" s="56">
        <v>150000</v>
      </c>
      <c r="G559" s="56">
        <v>450000</v>
      </c>
      <c r="H559" t="s">
        <v>872</v>
      </c>
      <c r="I559" s="56">
        <v>0</v>
      </c>
      <c r="J559" s="56">
        <v>20000</v>
      </c>
      <c r="K559" s="56">
        <v>470000</v>
      </c>
      <c r="L559" t="s">
        <v>880</v>
      </c>
      <c r="M559" t="s">
        <v>903</v>
      </c>
      <c r="N559" t="s">
        <v>905</v>
      </c>
      <c r="O559" s="57">
        <v>45748</v>
      </c>
      <c r="P559" t="s">
        <v>892</v>
      </c>
      <c r="Q559" s="56">
        <v>450000</v>
      </c>
      <c r="R559" t="s">
        <v>734</v>
      </c>
      <c r="S559" t="s">
        <v>735</v>
      </c>
      <c r="T559" t="s">
        <v>736</v>
      </c>
      <c r="U559" t="s">
        <v>163</v>
      </c>
      <c r="V559" t="s">
        <v>7</v>
      </c>
      <c r="W559" t="s">
        <v>39</v>
      </c>
      <c r="X559" t="s">
        <v>9</v>
      </c>
      <c r="Y559" s="56">
        <f>IF(clean[[#This Row],[is_delivered]]="Yes",clean[[#This Row],[net_sales]],0 )</f>
        <v>0</v>
      </c>
    </row>
    <row r="560" spans="1:25">
      <c r="A560" t="s">
        <v>1265</v>
      </c>
      <c r="B560" s="9">
        <v>45756</v>
      </c>
      <c r="C560" t="s">
        <v>440</v>
      </c>
      <c r="D560" t="s">
        <v>823</v>
      </c>
      <c r="E560">
        <v>2</v>
      </c>
      <c r="F560" s="56">
        <v>500000</v>
      </c>
      <c r="G560" s="56">
        <v>1000000</v>
      </c>
      <c r="H560" t="s">
        <v>883</v>
      </c>
      <c r="I560" s="56">
        <v>100000</v>
      </c>
      <c r="J560" s="56">
        <v>30000</v>
      </c>
      <c r="K560" s="56">
        <v>930000</v>
      </c>
      <c r="L560" t="s">
        <v>873</v>
      </c>
      <c r="M560" t="s">
        <v>881</v>
      </c>
      <c r="N560" t="s">
        <v>875</v>
      </c>
      <c r="O560" s="57">
        <v>45748</v>
      </c>
      <c r="P560" t="s">
        <v>877</v>
      </c>
      <c r="Q560" s="56">
        <v>900000</v>
      </c>
      <c r="R560" t="s">
        <v>824</v>
      </c>
      <c r="S560" t="s">
        <v>731</v>
      </c>
      <c r="T560" t="s">
        <v>732</v>
      </c>
      <c r="U560" t="s">
        <v>441</v>
      </c>
      <c r="V560" t="s">
        <v>23</v>
      </c>
      <c r="W560" t="s">
        <v>137</v>
      </c>
      <c r="X560" t="s">
        <v>9</v>
      </c>
      <c r="Y560" s="56">
        <f>IF(clean[[#This Row],[is_delivered]]="Yes",clean[[#This Row],[net_sales]],0 )</f>
        <v>900000</v>
      </c>
    </row>
    <row r="561" spans="1:25">
      <c r="A561" t="s">
        <v>1320</v>
      </c>
      <c r="B561" s="9">
        <v>45756</v>
      </c>
      <c r="C561" t="s">
        <v>494</v>
      </c>
      <c r="D561" t="s">
        <v>815</v>
      </c>
      <c r="E561">
        <v>1</v>
      </c>
      <c r="F561" s="56">
        <v>75000</v>
      </c>
      <c r="G561" s="56">
        <v>75000</v>
      </c>
      <c r="H561" t="s">
        <v>883</v>
      </c>
      <c r="I561" s="56">
        <v>7500</v>
      </c>
      <c r="J561" s="56">
        <v>25000</v>
      </c>
      <c r="K561" s="56">
        <v>92500</v>
      </c>
      <c r="L561" t="s">
        <v>889</v>
      </c>
      <c r="M561" t="s">
        <v>874</v>
      </c>
      <c r="N561" t="s">
        <v>905</v>
      </c>
      <c r="O561" s="57">
        <v>45748</v>
      </c>
      <c r="P561" t="s">
        <v>892</v>
      </c>
      <c r="Q561" s="56">
        <v>67500</v>
      </c>
      <c r="R561" t="s">
        <v>816</v>
      </c>
      <c r="S561" t="s">
        <v>739</v>
      </c>
      <c r="T561" t="s">
        <v>740</v>
      </c>
      <c r="U561" t="s">
        <v>495</v>
      </c>
      <c r="V561" t="s">
        <v>7</v>
      </c>
      <c r="W561" t="s">
        <v>51</v>
      </c>
      <c r="X561" t="s">
        <v>24</v>
      </c>
      <c r="Y561" s="56">
        <f>IF(clean[[#This Row],[is_delivered]]="Yes",clean[[#This Row],[net_sales]],0 )</f>
        <v>0</v>
      </c>
    </row>
    <row r="562" spans="1:25">
      <c r="A562" t="s">
        <v>1353</v>
      </c>
      <c r="B562" s="9">
        <v>45756</v>
      </c>
      <c r="C562" t="s">
        <v>34</v>
      </c>
      <c r="D562" t="s">
        <v>777</v>
      </c>
      <c r="E562">
        <v>2</v>
      </c>
      <c r="F562" s="56">
        <v>200000</v>
      </c>
      <c r="G562" s="56">
        <v>400000</v>
      </c>
      <c r="H562" t="s">
        <v>872</v>
      </c>
      <c r="I562" s="56">
        <v>0</v>
      </c>
      <c r="J562" s="56">
        <v>15000</v>
      </c>
      <c r="K562" s="56">
        <v>415000</v>
      </c>
      <c r="L562" t="s">
        <v>884</v>
      </c>
      <c r="M562" t="s">
        <v>901</v>
      </c>
      <c r="N562" t="s">
        <v>911</v>
      </c>
      <c r="O562" s="57">
        <v>45748</v>
      </c>
      <c r="P562" t="s">
        <v>892</v>
      </c>
      <c r="Q562" s="56">
        <v>400000</v>
      </c>
      <c r="R562" t="s">
        <v>778</v>
      </c>
      <c r="S562" t="s">
        <v>735</v>
      </c>
      <c r="T562" t="s">
        <v>736</v>
      </c>
      <c r="U562" t="s">
        <v>35</v>
      </c>
      <c r="V562" t="s">
        <v>23</v>
      </c>
      <c r="W562" t="s">
        <v>36</v>
      </c>
      <c r="X562" t="s">
        <v>24</v>
      </c>
      <c r="Y562" s="56">
        <f>IF(clean[[#This Row],[is_delivered]]="Yes",clean[[#This Row],[net_sales]],0 )</f>
        <v>0</v>
      </c>
    </row>
    <row r="563" spans="1:25">
      <c r="A563" t="s">
        <v>1617</v>
      </c>
      <c r="B563" s="9">
        <v>45756</v>
      </c>
      <c r="C563" t="s">
        <v>692</v>
      </c>
      <c r="D563" t="s">
        <v>851</v>
      </c>
      <c r="E563">
        <v>1</v>
      </c>
      <c r="F563" s="56">
        <v>35000</v>
      </c>
      <c r="G563" s="56">
        <v>35000</v>
      </c>
      <c r="H563" t="s">
        <v>883</v>
      </c>
      <c r="I563" s="56">
        <v>3500</v>
      </c>
      <c r="J563" s="56">
        <v>10000</v>
      </c>
      <c r="K563" s="56">
        <v>41500</v>
      </c>
      <c r="L563" t="s">
        <v>880</v>
      </c>
      <c r="M563" t="s">
        <v>901</v>
      </c>
      <c r="N563" t="s">
        <v>875</v>
      </c>
      <c r="O563" s="57">
        <v>45748</v>
      </c>
      <c r="P563" t="s">
        <v>877</v>
      </c>
      <c r="Q563" s="56">
        <v>31500</v>
      </c>
      <c r="R563" t="s">
        <v>852</v>
      </c>
      <c r="S563" t="s">
        <v>739</v>
      </c>
      <c r="T563" t="s">
        <v>740</v>
      </c>
      <c r="U563" t="s">
        <v>693</v>
      </c>
      <c r="V563" t="s">
        <v>23</v>
      </c>
      <c r="W563" t="s">
        <v>36</v>
      </c>
      <c r="X563" t="s">
        <v>9</v>
      </c>
      <c r="Y563" s="56">
        <f>IF(clean[[#This Row],[is_delivered]]="Yes",clean[[#This Row],[net_sales]],0 )</f>
        <v>31500</v>
      </c>
    </row>
    <row r="564" spans="1:25">
      <c r="A564" t="s">
        <v>2000</v>
      </c>
      <c r="B564" s="9">
        <v>45756</v>
      </c>
      <c r="C564" t="s">
        <v>502</v>
      </c>
      <c r="D564" t="s">
        <v>795</v>
      </c>
      <c r="E564">
        <v>1</v>
      </c>
      <c r="F564" s="56">
        <v>100000</v>
      </c>
      <c r="G564" s="56">
        <v>100000</v>
      </c>
      <c r="H564" t="s">
        <v>872</v>
      </c>
      <c r="I564" s="56">
        <v>0</v>
      </c>
      <c r="J564" s="56">
        <v>20000</v>
      </c>
      <c r="K564" s="56">
        <v>120000</v>
      </c>
      <c r="L564" t="s">
        <v>889</v>
      </c>
      <c r="M564" t="s">
        <v>881</v>
      </c>
      <c r="N564" t="s">
        <v>875</v>
      </c>
      <c r="O564" s="57">
        <v>45748</v>
      </c>
      <c r="P564" t="s">
        <v>877</v>
      </c>
      <c r="Q564" s="56">
        <v>100000</v>
      </c>
      <c r="R564" t="s">
        <v>796</v>
      </c>
      <c r="S564" t="s">
        <v>747</v>
      </c>
      <c r="T564" t="s">
        <v>748</v>
      </c>
      <c r="U564" t="s">
        <v>503</v>
      </c>
      <c r="V564" t="s">
        <v>7</v>
      </c>
      <c r="W564" t="s">
        <v>56</v>
      </c>
      <c r="X564" t="s">
        <v>24</v>
      </c>
      <c r="Y564" s="56">
        <f>IF(clean[[#This Row],[is_delivered]]="Yes",clean[[#This Row],[net_sales]],0 )</f>
        <v>100000</v>
      </c>
    </row>
    <row r="565" spans="1:25">
      <c r="A565" t="s">
        <v>1134</v>
      </c>
      <c r="B565" s="9">
        <v>45755</v>
      </c>
      <c r="C565" t="s">
        <v>236</v>
      </c>
      <c r="D565" t="s">
        <v>837</v>
      </c>
      <c r="E565">
        <v>1</v>
      </c>
      <c r="F565" s="56">
        <v>300000</v>
      </c>
      <c r="G565" s="56">
        <v>300000</v>
      </c>
      <c r="H565" t="s">
        <v>872</v>
      </c>
      <c r="I565" s="56">
        <v>0</v>
      </c>
      <c r="J565" s="56">
        <v>20000</v>
      </c>
      <c r="K565" s="56">
        <v>320000</v>
      </c>
      <c r="L565" t="s">
        <v>884</v>
      </c>
      <c r="M565" t="s">
        <v>874</v>
      </c>
      <c r="N565" t="s">
        <v>875</v>
      </c>
      <c r="O565" s="57">
        <v>45748</v>
      </c>
      <c r="P565" t="s">
        <v>877</v>
      </c>
      <c r="Q565" s="56">
        <v>300000</v>
      </c>
      <c r="R565" t="s">
        <v>838</v>
      </c>
      <c r="S565" t="s">
        <v>735</v>
      </c>
      <c r="T565" t="s">
        <v>736</v>
      </c>
      <c r="U565" t="s">
        <v>237</v>
      </c>
      <c r="V565" t="s">
        <v>7</v>
      </c>
      <c r="W565" t="s">
        <v>29</v>
      </c>
      <c r="X565" t="s">
        <v>15</v>
      </c>
      <c r="Y565" s="56">
        <f>IF(clean[[#This Row],[is_delivered]]="Yes",clean[[#This Row],[net_sales]],0 )</f>
        <v>300000</v>
      </c>
    </row>
    <row r="566" spans="1:25">
      <c r="A566" t="s">
        <v>1382</v>
      </c>
      <c r="B566" s="9">
        <v>45755</v>
      </c>
      <c r="C566" t="s">
        <v>540</v>
      </c>
      <c r="D566" t="s">
        <v>825</v>
      </c>
      <c r="E566">
        <v>1</v>
      </c>
      <c r="F566" s="56">
        <v>100000</v>
      </c>
      <c r="G566" s="56">
        <v>100000</v>
      </c>
      <c r="H566" t="s">
        <v>872</v>
      </c>
      <c r="I566" s="56">
        <v>0</v>
      </c>
      <c r="J566" s="56">
        <v>20000</v>
      </c>
      <c r="K566" s="56">
        <v>120000</v>
      </c>
      <c r="L566" t="s">
        <v>873</v>
      </c>
      <c r="M566" t="s">
        <v>881</v>
      </c>
      <c r="N566" t="s">
        <v>875</v>
      </c>
      <c r="O566" s="57">
        <v>45748</v>
      </c>
      <c r="P566" t="s">
        <v>877</v>
      </c>
      <c r="Q566" s="56">
        <v>100000</v>
      </c>
      <c r="R566" t="s">
        <v>826</v>
      </c>
      <c r="S566" t="s">
        <v>735</v>
      </c>
      <c r="T566" t="s">
        <v>736</v>
      </c>
      <c r="U566" t="s">
        <v>541</v>
      </c>
      <c r="V566" t="s">
        <v>23</v>
      </c>
      <c r="W566" t="s">
        <v>137</v>
      </c>
      <c r="X566" t="s">
        <v>9</v>
      </c>
      <c r="Y566" s="56">
        <f>IF(clean[[#This Row],[is_delivered]]="Yes",clean[[#This Row],[net_sales]],0 )</f>
        <v>100000</v>
      </c>
    </row>
    <row r="567" spans="1:25">
      <c r="A567" t="s">
        <v>1704</v>
      </c>
      <c r="B567" s="9">
        <v>45755</v>
      </c>
      <c r="C567" t="s">
        <v>684</v>
      </c>
      <c r="D567" t="s">
        <v>845</v>
      </c>
      <c r="E567">
        <v>4</v>
      </c>
      <c r="F567" s="56">
        <v>300000</v>
      </c>
      <c r="G567" s="56">
        <v>1200000</v>
      </c>
      <c r="H567" t="s">
        <v>886</v>
      </c>
      <c r="I567" s="56">
        <v>120000</v>
      </c>
      <c r="J567" s="56">
        <v>30000</v>
      </c>
      <c r="K567" s="56">
        <v>1110000</v>
      </c>
      <c r="L567" t="s">
        <v>884</v>
      </c>
      <c r="M567" t="s">
        <v>901</v>
      </c>
      <c r="N567" t="s">
        <v>875</v>
      </c>
      <c r="O567" s="57">
        <v>45748</v>
      </c>
      <c r="P567" t="s">
        <v>877</v>
      </c>
      <c r="Q567" s="56">
        <v>1080000</v>
      </c>
      <c r="R567" t="s">
        <v>846</v>
      </c>
      <c r="S567" t="s">
        <v>727</v>
      </c>
      <c r="T567" t="s">
        <v>728</v>
      </c>
      <c r="U567" t="s">
        <v>685</v>
      </c>
      <c r="V567" t="s">
        <v>23</v>
      </c>
      <c r="W567" t="s">
        <v>46</v>
      </c>
      <c r="X567" t="s">
        <v>9</v>
      </c>
      <c r="Y567" s="56">
        <f>IF(clean[[#This Row],[is_delivered]]="Yes",clean[[#This Row],[net_sales]],0 )</f>
        <v>1080000</v>
      </c>
    </row>
    <row r="568" spans="1:25">
      <c r="A568" t="s">
        <v>1796</v>
      </c>
      <c r="B568" s="9">
        <v>45755</v>
      </c>
      <c r="C568" t="s">
        <v>644</v>
      </c>
      <c r="D568" t="s">
        <v>781</v>
      </c>
      <c r="E568">
        <v>2</v>
      </c>
      <c r="F568" s="56">
        <v>50000</v>
      </c>
      <c r="G568" s="56">
        <v>100000</v>
      </c>
      <c r="H568" t="s">
        <v>872</v>
      </c>
      <c r="I568" s="56">
        <v>0</v>
      </c>
      <c r="J568" s="56">
        <v>30000</v>
      </c>
      <c r="K568" s="56">
        <v>130000</v>
      </c>
      <c r="L568" t="s">
        <v>884</v>
      </c>
      <c r="M568" t="s">
        <v>874</v>
      </c>
      <c r="N568" t="s">
        <v>875</v>
      </c>
      <c r="O568" s="57">
        <v>45748</v>
      </c>
      <c r="P568" t="s">
        <v>877</v>
      </c>
      <c r="Q568" s="56">
        <v>100000</v>
      </c>
      <c r="R568" t="s">
        <v>782</v>
      </c>
      <c r="S568" t="s">
        <v>743</v>
      </c>
      <c r="T568" t="s">
        <v>744</v>
      </c>
      <c r="U568" t="s">
        <v>645</v>
      </c>
      <c r="V568" t="s">
        <v>23</v>
      </c>
      <c r="W568" t="s">
        <v>8</v>
      </c>
      <c r="X568" t="s">
        <v>24</v>
      </c>
      <c r="Y568" s="56">
        <f>IF(clean[[#This Row],[is_delivered]]="Yes",clean[[#This Row],[net_sales]],0 )</f>
        <v>100000</v>
      </c>
    </row>
    <row r="569" spans="1:25">
      <c r="A569" t="s">
        <v>1037</v>
      </c>
      <c r="B569" s="9">
        <v>45754</v>
      </c>
      <c r="C569" t="s">
        <v>32</v>
      </c>
      <c r="D569" t="s">
        <v>835</v>
      </c>
      <c r="E569">
        <v>1</v>
      </c>
      <c r="F569" s="56">
        <v>200000</v>
      </c>
      <c r="G569" s="56">
        <v>200000</v>
      </c>
      <c r="H569" t="s">
        <v>886</v>
      </c>
      <c r="I569" s="56">
        <v>20000</v>
      </c>
      <c r="J569" s="56">
        <v>15000</v>
      </c>
      <c r="K569" s="56">
        <v>195000</v>
      </c>
      <c r="L569" t="s">
        <v>873</v>
      </c>
      <c r="M569" t="s">
        <v>874</v>
      </c>
      <c r="N569" t="s">
        <v>875</v>
      </c>
      <c r="O569" s="57">
        <v>45748</v>
      </c>
      <c r="P569" t="s">
        <v>877</v>
      </c>
      <c r="Q569" s="56">
        <v>180000</v>
      </c>
      <c r="R569" t="s">
        <v>836</v>
      </c>
      <c r="S569" t="s">
        <v>731</v>
      </c>
      <c r="T569" t="s">
        <v>732</v>
      </c>
      <c r="U569" t="s">
        <v>33</v>
      </c>
      <c r="V569" t="s">
        <v>23</v>
      </c>
      <c r="W569" t="s">
        <v>12</v>
      </c>
      <c r="X569" t="s">
        <v>9</v>
      </c>
      <c r="Y569" s="56">
        <f>IF(clean[[#This Row],[is_delivered]]="Yes",clean[[#This Row],[net_sales]],0 )</f>
        <v>180000</v>
      </c>
    </row>
    <row r="570" spans="1:25">
      <c r="A570" t="s">
        <v>1011</v>
      </c>
      <c r="B570" s="9">
        <v>45754</v>
      </c>
      <c r="C570" t="s">
        <v>346</v>
      </c>
      <c r="D570" t="s">
        <v>733</v>
      </c>
      <c r="E570">
        <v>1</v>
      </c>
      <c r="F570" s="56">
        <v>150000</v>
      </c>
      <c r="G570" s="56">
        <v>150000</v>
      </c>
      <c r="H570" t="s">
        <v>886</v>
      </c>
      <c r="I570" s="56">
        <v>15000</v>
      </c>
      <c r="J570" s="56">
        <v>30000</v>
      </c>
      <c r="K570" s="56">
        <v>165000</v>
      </c>
      <c r="L570" t="s">
        <v>889</v>
      </c>
      <c r="M570" t="s">
        <v>901</v>
      </c>
      <c r="N570" t="s">
        <v>875</v>
      </c>
      <c r="O570" s="57">
        <v>45748</v>
      </c>
      <c r="P570" t="s">
        <v>877</v>
      </c>
      <c r="Q570" s="56">
        <v>135000</v>
      </c>
      <c r="R570" t="s">
        <v>734</v>
      </c>
      <c r="S570" t="s">
        <v>735</v>
      </c>
      <c r="T570" t="s">
        <v>736</v>
      </c>
      <c r="U570" t="s">
        <v>347</v>
      </c>
      <c r="V570" t="s">
        <v>23</v>
      </c>
      <c r="W570" t="s">
        <v>46</v>
      </c>
      <c r="X570" t="s">
        <v>9</v>
      </c>
      <c r="Y570" s="56">
        <f>IF(clean[[#This Row],[is_delivered]]="Yes",clean[[#This Row],[net_sales]],0 )</f>
        <v>135000</v>
      </c>
    </row>
    <row r="571" spans="1:25">
      <c r="A571" t="s">
        <v>1051</v>
      </c>
      <c r="B571" s="9">
        <v>45754</v>
      </c>
      <c r="C571" t="s">
        <v>386</v>
      </c>
      <c r="D571" t="s">
        <v>733</v>
      </c>
      <c r="E571">
        <v>4</v>
      </c>
      <c r="F571" s="56">
        <v>150000</v>
      </c>
      <c r="G571" s="56">
        <v>600000</v>
      </c>
      <c r="H571" t="s">
        <v>883</v>
      </c>
      <c r="I571" s="56">
        <v>60000</v>
      </c>
      <c r="J571" s="56">
        <v>10000</v>
      </c>
      <c r="K571" s="56">
        <v>550000</v>
      </c>
      <c r="L571" t="s">
        <v>889</v>
      </c>
      <c r="M571" t="s">
        <v>903</v>
      </c>
      <c r="N571" t="s">
        <v>875</v>
      </c>
      <c r="O571" s="57">
        <v>45748</v>
      </c>
      <c r="P571" t="s">
        <v>877</v>
      </c>
      <c r="Q571" s="56">
        <v>540000</v>
      </c>
      <c r="R571" t="s">
        <v>734</v>
      </c>
      <c r="S571" t="s">
        <v>735</v>
      </c>
      <c r="T571" t="s">
        <v>736</v>
      </c>
      <c r="U571" t="s">
        <v>387</v>
      </c>
      <c r="V571" t="s">
        <v>7</v>
      </c>
      <c r="W571" t="s">
        <v>36</v>
      </c>
      <c r="X571" t="s">
        <v>9</v>
      </c>
      <c r="Y571" s="56">
        <f>IF(clean[[#This Row],[is_delivered]]="Yes",clean[[#This Row],[net_sales]],0 )</f>
        <v>540000</v>
      </c>
    </row>
    <row r="572" spans="1:25">
      <c r="A572" t="s">
        <v>1383</v>
      </c>
      <c r="B572" s="9">
        <v>45754</v>
      </c>
      <c r="C572" t="s">
        <v>508</v>
      </c>
      <c r="D572" t="s">
        <v>797</v>
      </c>
      <c r="E572">
        <v>1</v>
      </c>
      <c r="F572" s="56">
        <v>150000</v>
      </c>
      <c r="G572" s="56">
        <v>150000</v>
      </c>
      <c r="H572" t="s">
        <v>872</v>
      </c>
      <c r="I572" s="56">
        <v>0</v>
      </c>
      <c r="J572" s="56">
        <v>30000</v>
      </c>
      <c r="K572" s="56">
        <v>180000</v>
      </c>
      <c r="L572" t="s">
        <v>884</v>
      </c>
      <c r="M572" t="s">
        <v>903</v>
      </c>
      <c r="N572" t="s">
        <v>875</v>
      </c>
      <c r="O572" s="57">
        <v>45748</v>
      </c>
      <c r="P572" t="s">
        <v>877</v>
      </c>
      <c r="Q572" s="56">
        <v>150000</v>
      </c>
      <c r="R572" t="s">
        <v>798</v>
      </c>
      <c r="S572" t="s">
        <v>727</v>
      </c>
      <c r="T572" t="s">
        <v>728</v>
      </c>
      <c r="U572" t="s">
        <v>509</v>
      </c>
      <c r="V572" t="s">
        <v>23</v>
      </c>
      <c r="W572" t="s">
        <v>8</v>
      </c>
      <c r="X572" t="s">
        <v>9</v>
      </c>
      <c r="Y572" s="56">
        <f>IF(clean[[#This Row],[is_delivered]]="Yes",clean[[#This Row],[net_sales]],0 )</f>
        <v>150000</v>
      </c>
    </row>
    <row r="573" spans="1:25">
      <c r="A573" t="s">
        <v>1693</v>
      </c>
      <c r="B573" s="9">
        <v>45754</v>
      </c>
      <c r="C573" t="s">
        <v>240</v>
      </c>
      <c r="D573" t="s">
        <v>745</v>
      </c>
      <c r="E573">
        <v>2</v>
      </c>
      <c r="F573" s="56">
        <v>500000</v>
      </c>
      <c r="G573" s="56">
        <v>1000000</v>
      </c>
      <c r="H573" t="s">
        <v>895</v>
      </c>
      <c r="I573" s="56">
        <v>150000</v>
      </c>
      <c r="J573" s="56">
        <v>20000</v>
      </c>
      <c r="K573" s="56">
        <v>870000</v>
      </c>
      <c r="L573" t="s">
        <v>880</v>
      </c>
      <c r="M573" t="s">
        <v>874</v>
      </c>
      <c r="N573" t="s">
        <v>875</v>
      </c>
      <c r="O573" s="57">
        <v>45748</v>
      </c>
      <c r="P573" t="s">
        <v>877</v>
      </c>
      <c r="Q573" s="56">
        <v>850000</v>
      </c>
      <c r="R573" t="s">
        <v>746</v>
      </c>
      <c r="S573" t="s">
        <v>747</v>
      </c>
      <c r="T573" t="s">
        <v>748</v>
      </c>
      <c r="U573" t="s">
        <v>241</v>
      </c>
      <c r="V573" t="s">
        <v>23</v>
      </c>
      <c r="W573" t="s">
        <v>39</v>
      </c>
      <c r="X573" t="s">
        <v>24</v>
      </c>
      <c r="Y573" s="56">
        <f>IF(clean[[#This Row],[is_delivered]]="Yes",clean[[#This Row],[net_sales]],0 )</f>
        <v>850000</v>
      </c>
    </row>
    <row r="574" spans="1:25">
      <c r="A574" t="s">
        <v>1563</v>
      </c>
      <c r="B574" s="9">
        <v>45753</v>
      </c>
      <c r="C574" t="s">
        <v>224</v>
      </c>
      <c r="D574" t="s">
        <v>855</v>
      </c>
      <c r="E574">
        <v>3</v>
      </c>
      <c r="F574" s="56">
        <v>150000</v>
      </c>
      <c r="G574" s="56">
        <v>450000</v>
      </c>
      <c r="H574" t="s">
        <v>895</v>
      </c>
      <c r="I574" s="56">
        <v>67500</v>
      </c>
      <c r="J574" s="56">
        <v>20000</v>
      </c>
      <c r="K574" s="56">
        <v>402500</v>
      </c>
      <c r="L574" t="s">
        <v>880</v>
      </c>
      <c r="M574" t="s">
        <v>881</v>
      </c>
      <c r="N574" t="s">
        <v>875</v>
      </c>
      <c r="O574" s="57">
        <v>45748</v>
      </c>
      <c r="P574" t="s">
        <v>877</v>
      </c>
      <c r="Q574" s="56">
        <v>382500</v>
      </c>
      <c r="R574" t="s">
        <v>856</v>
      </c>
      <c r="S574" t="s">
        <v>747</v>
      </c>
      <c r="T574" t="s">
        <v>748</v>
      </c>
      <c r="U574" t="s">
        <v>225</v>
      </c>
      <c r="V574" t="s">
        <v>23</v>
      </c>
      <c r="W574" t="s">
        <v>137</v>
      </c>
      <c r="X574" t="s">
        <v>9</v>
      </c>
      <c r="Y574" s="56">
        <f>IF(clean[[#This Row],[is_delivered]]="Yes",clean[[#This Row],[net_sales]],0 )</f>
        <v>382500</v>
      </c>
    </row>
    <row r="575" spans="1:25">
      <c r="A575" t="s">
        <v>1633</v>
      </c>
      <c r="B575" s="9">
        <v>45753</v>
      </c>
      <c r="C575" t="s">
        <v>37</v>
      </c>
      <c r="D575" t="s">
        <v>751</v>
      </c>
      <c r="E575">
        <v>2</v>
      </c>
      <c r="F575" s="56">
        <v>150000</v>
      </c>
      <c r="G575" s="56">
        <v>300000</v>
      </c>
      <c r="H575" t="s">
        <v>872</v>
      </c>
      <c r="I575" s="56">
        <v>0</v>
      </c>
      <c r="J575" s="56">
        <v>30000</v>
      </c>
      <c r="K575" s="56">
        <v>330000</v>
      </c>
      <c r="L575" t="s">
        <v>889</v>
      </c>
      <c r="M575" t="s">
        <v>901</v>
      </c>
      <c r="N575" t="s">
        <v>875</v>
      </c>
      <c r="O575" s="57">
        <v>45748</v>
      </c>
      <c r="P575" t="s">
        <v>877</v>
      </c>
      <c r="Q575" s="56">
        <v>300000</v>
      </c>
      <c r="R575" t="s">
        <v>752</v>
      </c>
      <c r="S575" t="s">
        <v>731</v>
      </c>
      <c r="T575" t="s">
        <v>732</v>
      </c>
      <c r="U575" t="s">
        <v>38</v>
      </c>
      <c r="V575" t="s">
        <v>23</v>
      </c>
      <c r="W575" t="s">
        <v>39</v>
      </c>
      <c r="X575" t="s">
        <v>9</v>
      </c>
      <c r="Y575" s="56">
        <f>IF(clean[[#This Row],[is_delivered]]="Yes",clean[[#This Row],[net_sales]],0 )</f>
        <v>300000</v>
      </c>
    </row>
    <row r="576" spans="1:25">
      <c r="A576" t="s">
        <v>1714</v>
      </c>
      <c r="B576" s="9">
        <v>45753</v>
      </c>
      <c r="C576" t="s">
        <v>710</v>
      </c>
      <c r="D576" t="s">
        <v>839</v>
      </c>
      <c r="E576">
        <v>3</v>
      </c>
      <c r="F576" s="56">
        <v>200000</v>
      </c>
      <c r="G576" s="56">
        <v>600000</v>
      </c>
      <c r="H576" t="s">
        <v>886</v>
      </c>
      <c r="I576" s="56">
        <v>60000</v>
      </c>
      <c r="J576" s="56">
        <v>25000</v>
      </c>
      <c r="K576" s="56">
        <v>565000</v>
      </c>
      <c r="L576" t="s">
        <v>884</v>
      </c>
      <c r="M576" t="s">
        <v>901</v>
      </c>
      <c r="N576" t="s">
        <v>890</v>
      </c>
      <c r="O576" s="57">
        <v>45748</v>
      </c>
      <c r="P576" t="s">
        <v>892</v>
      </c>
      <c r="Q576" s="56">
        <v>540000</v>
      </c>
      <c r="R576" t="s">
        <v>840</v>
      </c>
      <c r="S576" t="s">
        <v>739</v>
      </c>
      <c r="T576" t="s">
        <v>740</v>
      </c>
      <c r="U576" t="s">
        <v>711</v>
      </c>
      <c r="V576" t="s">
        <v>23</v>
      </c>
      <c r="W576" t="s">
        <v>46</v>
      </c>
      <c r="X576" t="s">
        <v>9</v>
      </c>
      <c r="Y576" s="56">
        <f>IF(clean[[#This Row],[is_delivered]]="Yes",clean[[#This Row],[net_sales]],0 )</f>
        <v>0</v>
      </c>
    </row>
    <row r="577" spans="1:25">
      <c r="A577" t="s">
        <v>1979</v>
      </c>
      <c r="B577" s="9">
        <v>45753</v>
      </c>
      <c r="C577" t="s">
        <v>594</v>
      </c>
      <c r="D577" t="s">
        <v>841</v>
      </c>
      <c r="E577">
        <v>1</v>
      </c>
      <c r="F577" s="56">
        <v>75000</v>
      </c>
      <c r="G577" s="56">
        <v>75000</v>
      </c>
      <c r="H577" t="s">
        <v>872</v>
      </c>
      <c r="I577" s="56">
        <v>0</v>
      </c>
      <c r="J577" s="56">
        <v>10000</v>
      </c>
      <c r="K577" s="56">
        <v>85000</v>
      </c>
      <c r="L577" t="s">
        <v>889</v>
      </c>
      <c r="M577" t="s">
        <v>903</v>
      </c>
      <c r="N577" t="s">
        <v>911</v>
      </c>
      <c r="O577" s="57">
        <v>45748</v>
      </c>
      <c r="P577" t="s">
        <v>892</v>
      </c>
      <c r="Q577" s="56">
        <v>75000</v>
      </c>
      <c r="R577" t="s">
        <v>842</v>
      </c>
      <c r="S577" t="s">
        <v>743</v>
      </c>
      <c r="T577" t="s">
        <v>744</v>
      </c>
      <c r="U577" t="s">
        <v>595</v>
      </c>
      <c r="V577" t="s">
        <v>23</v>
      </c>
      <c r="W577" t="s">
        <v>51</v>
      </c>
      <c r="X577" t="s">
        <v>9</v>
      </c>
      <c r="Y577" s="56">
        <f>IF(clean[[#This Row],[is_delivered]]="Yes",clean[[#This Row],[net_sales]],0 )</f>
        <v>0</v>
      </c>
    </row>
    <row r="578" spans="1:25">
      <c r="A578" t="s">
        <v>1202</v>
      </c>
      <c r="B578" s="9">
        <v>45752</v>
      </c>
      <c r="C578" t="s">
        <v>526</v>
      </c>
      <c r="D578" t="s">
        <v>841</v>
      </c>
      <c r="E578">
        <v>3</v>
      </c>
      <c r="F578" s="56">
        <v>75000</v>
      </c>
      <c r="G578" s="56">
        <v>225000</v>
      </c>
      <c r="H578" t="s">
        <v>886</v>
      </c>
      <c r="I578" s="56">
        <v>22500</v>
      </c>
      <c r="J578" s="56">
        <v>30000</v>
      </c>
      <c r="K578" s="56">
        <v>232500</v>
      </c>
      <c r="L578" t="s">
        <v>884</v>
      </c>
      <c r="M578" t="s">
        <v>874</v>
      </c>
      <c r="N578" t="s">
        <v>875</v>
      </c>
      <c r="O578" s="57">
        <v>45748</v>
      </c>
      <c r="P578" t="s">
        <v>877</v>
      </c>
      <c r="Q578" s="56">
        <v>202500</v>
      </c>
      <c r="R578" t="s">
        <v>842</v>
      </c>
      <c r="S578" t="s">
        <v>743</v>
      </c>
      <c r="T578" t="s">
        <v>744</v>
      </c>
      <c r="U578" t="s">
        <v>527</v>
      </c>
      <c r="V578" t="s">
        <v>7</v>
      </c>
      <c r="W578" t="s">
        <v>36</v>
      </c>
      <c r="X578" t="s">
        <v>9</v>
      </c>
      <c r="Y578" s="56">
        <f>IF(clean[[#This Row],[is_delivered]]="Yes",clean[[#This Row],[net_sales]],0 )</f>
        <v>202500</v>
      </c>
    </row>
    <row r="579" spans="1:25">
      <c r="A579" t="s">
        <v>1411</v>
      </c>
      <c r="B579" s="9">
        <v>45752</v>
      </c>
      <c r="C579" t="s">
        <v>34</v>
      </c>
      <c r="D579" t="s">
        <v>737</v>
      </c>
      <c r="E579">
        <v>1</v>
      </c>
      <c r="F579" s="56">
        <v>300000</v>
      </c>
      <c r="G579" s="56">
        <v>300000</v>
      </c>
      <c r="H579" t="s">
        <v>872</v>
      </c>
      <c r="I579" s="56">
        <v>0</v>
      </c>
      <c r="J579" s="56">
        <v>15000</v>
      </c>
      <c r="K579" s="56">
        <v>315000</v>
      </c>
      <c r="L579" t="s">
        <v>884</v>
      </c>
      <c r="M579" t="s">
        <v>901</v>
      </c>
      <c r="N579" t="s">
        <v>875</v>
      </c>
      <c r="O579" s="57">
        <v>45748</v>
      </c>
      <c r="P579" t="s">
        <v>877</v>
      </c>
      <c r="Q579" s="56">
        <v>300000</v>
      </c>
      <c r="R579" t="s">
        <v>738</v>
      </c>
      <c r="S579" t="s">
        <v>739</v>
      </c>
      <c r="T579" t="s">
        <v>740</v>
      </c>
      <c r="U579" t="s">
        <v>35</v>
      </c>
      <c r="V579" t="s">
        <v>23</v>
      </c>
      <c r="W579" t="s">
        <v>36</v>
      </c>
      <c r="X579" t="s">
        <v>24</v>
      </c>
      <c r="Y579" s="56">
        <f>IF(clean[[#This Row],[is_delivered]]="Yes",clean[[#This Row],[net_sales]],0 )</f>
        <v>300000</v>
      </c>
    </row>
    <row r="580" spans="1:25">
      <c r="A580" t="s">
        <v>1750</v>
      </c>
      <c r="B580" s="9">
        <v>45752</v>
      </c>
      <c r="C580" t="s">
        <v>640</v>
      </c>
      <c r="D580" t="s">
        <v>761</v>
      </c>
      <c r="E580">
        <v>2</v>
      </c>
      <c r="F580" s="56">
        <v>75000</v>
      </c>
      <c r="G580" s="56">
        <v>150000</v>
      </c>
      <c r="H580" t="s">
        <v>872</v>
      </c>
      <c r="I580" s="56">
        <v>0</v>
      </c>
      <c r="J580" s="56">
        <v>10000</v>
      </c>
      <c r="K580" s="56">
        <v>160000</v>
      </c>
      <c r="L580" t="s">
        <v>884</v>
      </c>
      <c r="M580" t="s">
        <v>874</v>
      </c>
      <c r="N580" t="s">
        <v>875</v>
      </c>
      <c r="O580" s="57">
        <v>45748</v>
      </c>
      <c r="P580" t="s">
        <v>877</v>
      </c>
      <c r="Q580" s="56">
        <v>150000</v>
      </c>
      <c r="R580" t="s">
        <v>762</v>
      </c>
      <c r="S580" t="s">
        <v>727</v>
      </c>
      <c r="T580" t="s">
        <v>728</v>
      </c>
      <c r="U580" t="s">
        <v>641</v>
      </c>
      <c r="V580" t="s">
        <v>23</v>
      </c>
      <c r="W580" t="s">
        <v>137</v>
      </c>
      <c r="X580" t="s">
        <v>15</v>
      </c>
      <c r="Y580" s="56">
        <f>IF(clean[[#This Row],[is_delivered]]="Yes",clean[[#This Row],[net_sales]],0 )</f>
        <v>150000</v>
      </c>
    </row>
    <row r="581" spans="1:25">
      <c r="A581" t="s">
        <v>1902</v>
      </c>
      <c r="B581" s="9">
        <v>45752</v>
      </c>
      <c r="C581" t="s">
        <v>464</v>
      </c>
      <c r="D581" t="s">
        <v>753</v>
      </c>
      <c r="E581">
        <v>2</v>
      </c>
      <c r="F581" s="56">
        <v>300000</v>
      </c>
      <c r="G581" s="56">
        <v>600000</v>
      </c>
      <c r="H581" t="s">
        <v>872</v>
      </c>
      <c r="I581" s="56">
        <v>0</v>
      </c>
      <c r="J581" s="56">
        <v>30000</v>
      </c>
      <c r="K581" s="56">
        <v>630000</v>
      </c>
      <c r="L581" t="s">
        <v>884</v>
      </c>
      <c r="M581" t="s">
        <v>903</v>
      </c>
      <c r="N581" t="s">
        <v>875</v>
      </c>
      <c r="O581" s="57">
        <v>45748</v>
      </c>
      <c r="P581" t="s">
        <v>877</v>
      </c>
      <c r="Q581" s="56">
        <v>600000</v>
      </c>
      <c r="R581" t="s">
        <v>754</v>
      </c>
      <c r="S581" t="s">
        <v>735</v>
      </c>
      <c r="T581" t="s">
        <v>736</v>
      </c>
      <c r="U581" t="s">
        <v>465</v>
      </c>
      <c r="V581" t="s">
        <v>23</v>
      </c>
      <c r="W581" t="s">
        <v>12</v>
      </c>
      <c r="X581" t="s">
        <v>9</v>
      </c>
      <c r="Y581" s="56">
        <f>IF(clean[[#This Row],[is_delivered]]="Yes",clean[[#This Row],[net_sales]],0 )</f>
        <v>600000</v>
      </c>
    </row>
    <row r="582" spans="1:25">
      <c r="A582" t="s">
        <v>1968</v>
      </c>
      <c r="B582" s="9">
        <v>45752</v>
      </c>
      <c r="C582" t="s">
        <v>612</v>
      </c>
      <c r="D582" t="s">
        <v>769</v>
      </c>
      <c r="E582">
        <v>4</v>
      </c>
      <c r="F582" s="56">
        <v>100000</v>
      </c>
      <c r="G582" s="56">
        <v>400000</v>
      </c>
      <c r="H582" t="s">
        <v>895</v>
      </c>
      <c r="I582" s="56">
        <v>60000</v>
      </c>
      <c r="J582" s="56">
        <v>20000</v>
      </c>
      <c r="K582" s="56">
        <v>360000</v>
      </c>
      <c r="L582" t="s">
        <v>889</v>
      </c>
      <c r="M582" t="s">
        <v>881</v>
      </c>
      <c r="N582" t="s">
        <v>875</v>
      </c>
      <c r="O582" s="57">
        <v>45748</v>
      </c>
      <c r="P582" t="s">
        <v>877</v>
      </c>
      <c r="Q582" s="56">
        <v>340000</v>
      </c>
      <c r="R582" t="s">
        <v>770</v>
      </c>
      <c r="S582" t="s">
        <v>743</v>
      </c>
      <c r="T582" t="s">
        <v>744</v>
      </c>
      <c r="U582" t="s">
        <v>613</v>
      </c>
      <c r="V582" t="s">
        <v>23</v>
      </c>
      <c r="W582" t="s">
        <v>8</v>
      </c>
      <c r="X582" t="s">
        <v>9</v>
      </c>
      <c r="Y582" s="56">
        <f>IF(clean[[#This Row],[is_delivered]]="Yes",clean[[#This Row],[net_sales]],0 )</f>
        <v>340000</v>
      </c>
    </row>
    <row r="583" spans="1:25">
      <c r="A583" t="s">
        <v>2076</v>
      </c>
      <c r="B583" s="9">
        <v>45752</v>
      </c>
      <c r="C583" t="s">
        <v>129</v>
      </c>
      <c r="D583" t="s">
        <v>799</v>
      </c>
      <c r="E583">
        <v>2</v>
      </c>
      <c r="F583" s="56">
        <v>35000</v>
      </c>
      <c r="G583" s="56">
        <v>70000</v>
      </c>
      <c r="H583" t="s">
        <v>872</v>
      </c>
      <c r="I583" s="56">
        <v>0</v>
      </c>
      <c r="J583" s="56">
        <v>10000</v>
      </c>
      <c r="K583" s="56">
        <v>80000</v>
      </c>
      <c r="L583" t="s">
        <v>889</v>
      </c>
      <c r="M583" t="s">
        <v>901</v>
      </c>
      <c r="N583" t="s">
        <v>875</v>
      </c>
      <c r="O583" s="57">
        <v>45748</v>
      </c>
      <c r="P583" t="s">
        <v>877</v>
      </c>
      <c r="Q583" s="56">
        <v>70000</v>
      </c>
      <c r="R583" t="s">
        <v>800</v>
      </c>
      <c r="S583" t="s">
        <v>731</v>
      </c>
      <c r="T583" t="s">
        <v>732</v>
      </c>
      <c r="U583" t="s">
        <v>130</v>
      </c>
      <c r="V583" t="s">
        <v>23</v>
      </c>
      <c r="W583" t="s">
        <v>8</v>
      </c>
      <c r="X583" t="s">
        <v>24</v>
      </c>
      <c r="Y583" s="56">
        <f>IF(clean[[#This Row],[is_delivered]]="Yes",clean[[#This Row],[net_sales]],0 )</f>
        <v>70000</v>
      </c>
    </row>
    <row r="584" spans="1:25">
      <c r="A584" t="s">
        <v>1236</v>
      </c>
      <c r="B584" s="9">
        <v>45751</v>
      </c>
      <c r="C584" t="s">
        <v>626</v>
      </c>
      <c r="D584" t="s">
        <v>845</v>
      </c>
      <c r="E584">
        <v>1</v>
      </c>
      <c r="F584" s="56">
        <v>300000</v>
      </c>
      <c r="G584" s="56">
        <v>300000</v>
      </c>
      <c r="H584" t="s">
        <v>879</v>
      </c>
      <c r="I584" s="56">
        <v>60000</v>
      </c>
      <c r="J584" s="56">
        <v>30000</v>
      </c>
      <c r="K584" s="56">
        <v>270000</v>
      </c>
      <c r="L584" t="s">
        <v>884</v>
      </c>
      <c r="M584" t="s">
        <v>874</v>
      </c>
      <c r="N584" t="s">
        <v>911</v>
      </c>
      <c r="O584" s="57">
        <v>45748</v>
      </c>
      <c r="P584" t="s">
        <v>892</v>
      </c>
      <c r="Q584" s="56">
        <v>240000</v>
      </c>
      <c r="R584" t="s">
        <v>846</v>
      </c>
      <c r="S584" t="s">
        <v>727</v>
      </c>
      <c r="T584" t="s">
        <v>728</v>
      </c>
      <c r="U584" t="s">
        <v>627</v>
      </c>
      <c r="V584" t="s">
        <v>23</v>
      </c>
      <c r="W584" t="s">
        <v>12</v>
      </c>
      <c r="X584" t="s">
        <v>15</v>
      </c>
      <c r="Y584" s="56">
        <f>IF(clean[[#This Row],[is_delivered]]="Yes",clean[[#This Row],[net_sales]],0 )</f>
        <v>0</v>
      </c>
    </row>
    <row r="585" spans="1:25">
      <c r="A585" t="s">
        <v>1311</v>
      </c>
      <c r="B585" s="9">
        <v>45751</v>
      </c>
      <c r="C585" t="s">
        <v>316</v>
      </c>
      <c r="D585" t="s">
        <v>831</v>
      </c>
      <c r="E585">
        <v>4</v>
      </c>
      <c r="F585" s="56">
        <v>300000</v>
      </c>
      <c r="G585" s="56">
        <v>1200000</v>
      </c>
      <c r="H585" t="s">
        <v>879</v>
      </c>
      <c r="I585" s="56">
        <v>240000</v>
      </c>
      <c r="J585" s="56">
        <v>15000</v>
      </c>
      <c r="K585" s="56">
        <v>975000</v>
      </c>
      <c r="L585" t="s">
        <v>889</v>
      </c>
      <c r="M585" t="s">
        <v>881</v>
      </c>
      <c r="N585" t="s">
        <v>875</v>
      </c>
      <c r="O585" s="57">
        <v>45748</v>
      </c>
      <c r="P585" t="s">
        <v>877</v>
      </c>
      <c r="Q585" s="56">
        <v>960000</v>
      </c>
      <c r="R585" t="s">
        <v>832</v>
      </c>
      <c r="S585" t="s">
        <v>747</v>
      </c>
      <c r="T585" t="s">
        <v>748</v>
      </c>
      <c r="U585" t="s">
        <v>317</v>
      </c>
      <c r="V585" t="s">
        <v>23</v>
      </c>
      <c r="W585" t="s">
        <v>46</v>
      </c>
      <c r="X585" t="s">
        <v>9</v>
      </c>
      <c r="Y585" s="56">
        <f>IF(clean[[#This Row],[is_delivered]]="Yes",clean[[#This Row],[net_sales]],0 )</f>
        <v>960000</v>
      </c>
    </row>
    <row r="586" spans="1:25">
      <c r="A586" t="s">
        <v>1654</v>
      </c>
      <c r="B586" s="9">
        <v>45751</v>
      </c>
      <c r="C586" t="s">
        <v>540</v>
      </c>
      <c r="D586" t="s">
        <v>803</v>
      </c>
      <c r="E586">
        <v>3</v>
      </c>
      <c r="F586" s="56">
        <v>50000</v>
      </c>
      <c r="G586" s="56">
        <v>150000</v>
      </c>
      <c r="H586" t="s">
        <v>883</v>
      </c>
      <c r="I586" s="56">
        <v>15000</v>
      </c>
      <c r="J586" s="56">
        <v>30000</v>
      </c>
      <c r="K586" s="56">
        <v>165000</v>
      </c>
      <c r="L586" t="s">
        <v>889</v>
      </c>
      <c r="M586" t="s">
        <v>903</v>
      </c>
      <c r="N586" t="s">
        <v>875</v>
      </c>
      <c r="O586" s="57">
        <v>45748</v>
      </c>
      <c r="P586" t="s">
        <v>877</v>
      </c>
      <c r="Q586" s="56">
        <v>135000</v>
      </c>
      <c r="R586" t="s">
        <v>804</v>
      </c>
      <c r="S586" t="s">
        <v>739</v>
      </c>
      <c r="T586" t="s">
        <v>740</v>
      </c>
      <c r="U586" t="s">
        <v>541</v>
      </c>
      <c r="V586" t="s">
        <v>23</v>
      </c>
      <c r="W586" t="s">
        <v>137</v>
      </c>
      <c r="X586" t="s">
        <v>9</v>
      </c>
      <c r="Y586" s="56">
        <f>IF(clean[[#This Row],[is_delivered]]="Yes",clean[[#This Row],[net_sales]],0 )</f>
        <v>135000</v>
      </c>
    </row>
    <row r="587" spans="1:25">
      <c r="A587" t="s">
        <v>1772</v>
      </c>
      <c r="B587" s="9">
        <v>45751</v>
      </c>
      <c r="C587" t="s">
        <v>406</v>
      </c>
      <c r="D587" t="s">
        <v>799</v>
      </c>
      <c r="E587">
        <v>1</v>
      </c>
      <c r="F587" s="56">
        <v>35000</v>
      </c>
      <c r="G587" s="56">
        <v>35000</v>
      </c>
      <c r="H587" t="s">
        <v>879</v>
      </c>
      <c r="I587" s="56">
        <v>7000</v>
      </c>
      <c r="J587" s="56">
        <v>30000</v>
      </c>
      <c r="K587" s="56">
        <v>58000</v>
      </c>
      <c r="L587" t="s">
        <v>880</v>
      </c>
      <c r="M587" t="s">
        <v>874</v>
      </c>
      <c r="N587" t="s">
        <v>875</v>
      </c>
      <c r="O587" s="57">
        <v>45748</v>
      </c>
      <c r="P587" t="s">
        <v>877</v>
      </c>
      <c r="Q587" s="56">
        <v>28000</v>
      </c>
      <c r="R587" t="s">
        <v>800</v>
      </c>
      <c r="S587" t="s">
        <v>731</v>
      </c>
      <c r="T587" t="s">
        <v>732</v>
      </c>
      <c r="U587" t="s">
        <v>407</v>
      </c>
      <c r="V587" t="s">
        <v>7</v>
      </c>
      <c r="W587" t="s">
        <v>39</v>
      </c>
      <c r="X587" t="s">
        <v>15</v>
      </c>
      <c r="Y587" s="56">
        <f>IF(clean[[#This Row],[is_delivered]]="Yes",clean[[#This Row],[net_sales]],0 )</f>
        <v>28000</v>
      </c>
    </row>
    <row r="588" spans="1:25">
      <c r="A588" t="s">
        <v>1919</v>
      </c>
      <c r="B588" s="9">
        <v>45751</v>
      </c>
      <c r="C588" t="s">
        <v>170</v>
      </c>
      <c r="D588" t="s">
        <v>805</v>
      </c>
      <c r="E588">
        <v>1</v>
      </c>
      <c r="F588" s="56">
        <v>200000</v>
      </c>
      <c r="G588" s="56">
        <v>200000</v>
      </c>
      <c r="H588" t="s">
        <v>872</v>
      </c>
      <c r="I588" s="56">
        <v>0</v>
      </c>
      <c r="J588" s="56">
        <v>25000</v>
      </c>
      <c r="K588" s="56">
        <v>225000</v>
      </c>
      <c r="L588" t="s">
        <v>884</v>
      </c>
      <c r="M588" t="s">
        <v>901</v>
      </c>
      <c r="N588" t="s">
        <v>875</v>
      </c>
      <c r="O588" s="57">
        <v>45748</v>
      </c>
      <c r="P588" t="s">
        <v>877</v>
      </c>
      <c r="Q588" s="56">
        <v>200000</v>
      </c>
      <c r="R588" t="s">
        <v>806</v>
      </c>
      <c r="S588" t="s">
        <v>743</v>
      </c>
      <c r="T588" t="s">
        <v>744</v>
      </c>
      <c r="U588" t="s">
        <v>171</v>
      </c>
      <c r="V588" t="s">
        <v>7</v>
      </c>
      <c r="W588" t="s">
        <v>29</v>
      </c>
      <c r="X588" t="s">
        <v>9</v>
      </c>
      <c r="Y588" s="56">
        <f>IF(clean[[#This Row],[is_delivered]]="Yes",clean[[#This Row],[net_sales]],0 )</f>
        <v>200000</v>
      </c>
    </row>
    <row r="589" spans="1:25">
      <c r="A589" t="s">
        <v>980</v>
      </c>
      <c r="B589" s="9">
        <v>45750</v>
      </c>
      <c r="C589" t="s">
        <v>550</v>
      </c>
      <c r="D589" t="s">
        <v>759</v>
      </c>
      <c r="E589">
        <v>3</v>
      </c>
      <c r="F589" s="56">
        <v>300000</v>
      </c>
      <c r="G589" s="56">
        <v>900000</v>
      </c>
      <c r="H589" t="s">
        <v>886</v>
      </c>
      <c r="I589" s="56">
        <v>90000</v>
      </c>
      <c r="J589" s="56">
        <v>10000</v>
      </c>
      <c r="K589" s="56">
        <v>820000</v>
      </c>
      <c r="L589" t="s">
        <v>884</v>
      </c>
      <c r="M589" t="s">
        <v>874</v>
      </c>
      <c r="N589" t="s">
        <v>875</v>
      </c>
      <c r="O589" s="57">
        <v>45748</v>
      </c>
      <c r="P589" t="s">
        <v>877</v>
      </c>
      <c r="Q589" s="56">
        <v>810000</v>
      </c>
      <c r="R589" t="s">
        <v>760</v>
      </c>
      <c r="S589" t="s">
        <v>747</v>
      </c>
      <c r="T589" t="s">
        <v>748</v>
      </c>
      <c r="U589" t="s">
        <v>551</v>
      </c>
      <c r="V589" t="s">
        <v>23</v>
      </c>
      <c r="W589" t="s">
        <v>36</v>
      </c>
      <c r="X589" t="s">
        <v>15</v>
      </c>
      <c r="Y589" s="56">
        <f>IF(clean[[#This Row],[is_delivered]]="Yes",clean[[#This Row],[net_sales]],0 )</f>
        <v>810000</v>
      </c>
    </row>
    <row r="590" spans="1:25">
      <c r="A590" t="s">
        <v>957</v>
      </c>
      <c r="B590" s="9">
        <v>45750</v>
      </c>
      <c r="C590" t="s">
        <v>636</v>
      </c>
      <c r="D590" t="s">
        <v>751</v>
      </c>
      <c r="E590">
        <v>4</v>
      </c>
      <c r="F590" s="56">
        <v>150000</v>
      </c>
      <c r="G590" s="56">
        <v>600000</v>
      </c>
      <c r="H590" t="s">
        <v>886</v>
      </c>
      <c r="I590" s="56">
        <v>60000</v>
      </c>
      <c r="J590" s="56">
        <v>25000</v>
      </c>
      <c r="K590" s="56">
        <v>565000</v>
      </c>
      <c r="L590" t="s">
        <v>884</v>
      </c>
      <c r="M590" t="s">
        <v>881</v>
      </c>
      <c r="N590" t="s">
        <v>875</v>
      </c>
      <c r="O590" s="57">
        <v>45748</v>
      </c>
      <c r="P590" t="s">
        <v>877</v>
      </c>
      <c r="Q590" s="56">
        <v>540000</v>
      </c>
      <c r="R590" t="s">
        <v>752</v>
      </c>
      <c r="S590" t="s">
        <v>731</v>
      </c>
      <c r="T590" t="s">
        <v>732</v>
      </c>
      <c r="U590" t="s">
        <v>637</v>
      </c>
      <c r="V590" t="s">
        <v>7</v>
      </c>
      <c r="W590" t="s">
        <v>29</v>
      </c>
      <c r="X590" t="s">
        <v>9</v>
      </c>
      <c r="Y590" s="56">
        <f>IF(clean[[#This Row],[is_delivered]]="Yes",clean[[#This Row],[net_sales]],0 )</f>
        <v>540000</v>
      </c>
    </row>
    <row r="591" spans="1:25">
      <c r="A591" t="s">
        <v>1158</v>
      </c>
      <c r="B591" s="9">
        <v>45750</v>
      </c>
      <c r="C591" t="s">
        <v>326</v>
      </c>
      <c r="D591" t="s">
        <v>771</v>
      </c>
      <c r="E591">
        <v>3</v>
      </c>
      <c r="F591" s="56">
        <v>500000</v>
      </c>
      <c r="G591" s="56">
        <v>1500000</v>
      </c>
      <c r="H591" t="s">
        <v>886</v>
      </c>
      <c r="I591" s="56">
        <v>150000</v>
      </c>
      <c r="J591" s="56">
        <v>30000</v>
      </c>
      <c r="K591" s="56">
        <v>1380000</v>
      </c>
      <c r="L591" t="s">
        <v>889</v>
      </c>
      <c r="M591" t="s">
        <v>903</v>
      </c>
      <c r="N591" t="s">
        <v>890</v>
      </c>
      <c r="O591" s="57">
        <v>45748</v>
      </c>
      <c r="P591" t="s">
        <v>892</v>
      </c>
      <c r="Q591" s="56">
        <v>1350000</v>
      </c>
      <c r="R591" t="s">
        <v>772</v>
      </c>
      <c r="S591" t="s">
        <v>747</v>
      </c>
      <c r="T591" t="s">
        <v>748</v>
      </c>
      <c r="U591" t="s">
        <v>327</v>
      </c>
      <c r="V591" t="s">
        <v>7</v>
      </c>
      <c r="W591" t="s">
        <v>8</v>
      </c>
      <c r="X591" t="s">
        <v>9</v>
      </c>
      <c r="Y591" s="56">
        <f>IF(clean[[#This Row],[is_delivered]]="Yes",clean[[#This Row],[net_sales]],0 )</f>
        <v>0</v>
      </c>
    </row>
    <row r="592" spans="1:25">
      <c r="A592" t="s">
        <v>1254</v>
      </c>
      <c r="B592" s="9">
        <v>45750</v>
      </c>
      <c r="C592" t="s">
        <v>496</v>
      </c>
      <c r="D592" t="s">
        <v>761</v>
      </c>
      <c r="E592">
        <v>1</v>
      </c>
      <c r="F592" s="56">
        <v>75000</v>
      </c>
      <c r="G592" s="56">
        <v>75000</v>
      </c>
      <c r="H592" t="s">
        <v>872</v>
      </c>
      <c r="I592" s="56">
        <v>0</v>
      </c>
      <c r="J592" s="56">
        <v>15000</v>
      </c>
      <c r="K592" s="56">
        <v>90000</v>
      </c>
      <c r="L592" t="s">
        <v>880</v>
      </c>
      <c r="M592" t="s">
        <v>881</v>
      </c>
      <c r="N592" t="s">
        <v>875</v>
      </c>
      <c r="O592" s="57">
        <v>45748</v>
      </c>
      <c r="P592" t="s">
        <v>877</v>
      </c>
      <c r="Q592" s="56">
        <v>75000</v>
      </c>
      <c r="R592" t="s">
        <v>762</v>
      </c>
      <c r="S592" t="s">
        <v>727</v>
      </c>
      <c r="T592" t="s">
        <v>728</v>
      </c>
      <c r="U592" t="s">
        <v>497</v>
      </c>
      <c r="V592" t="s">
        <v>7</v>
      </c>
      <c r="W592" t="s">
        <v>56</v>
      </c>
      <c r="X592" t="s">
        <v>24</v>
      </c>
      <c r="Y592" s="56">
        <f>IF(clean[[#This Row],[is_delivered]]="Yes",clean[[#This Row],[net_sales]],0 )</f>
        <v>75000</v>
      </c>
    </row>
    <row r="593" spans="1:25">
      <c r="A593" t="s">
        <v>1285</v>
      </c>
      <c r="B593" s="9">
        <v>45750</v>
      </c>
      <c r="C593" t="s">
        <v>302</v>
      </c>
      <c r="D593" t="s">
        <v>835</v>
      </c>
      <c r="E593">
        <v>2</v>
      </c>
      <c r="F593" s="56">
        <v>200000</v>
      </c>
      <c r="G593" s="56">
        <v>400000</v>
      </c>
      <c r="H593" t="s">
        <v>895</v>
      </c>
      <c r="I593" s="56">
        <v>60000</v>
      </c>
      <c r="J593" s="56">
        <v>25000</v>
      </c>
      <c r="K593" s="56">
        <v>365000</v>
      </c>
      <c r="L593" t="s">
        <v>889</v>
      </c>
      <c r="M593" t="s">
        <v>881</v>
      </c>
      <c r="N593" t="s">
        <v>890</v>
      </c>
      <c r="O593" s="57">
        <v>45748</v>
      </c>
      <c r="P593" t="s">
        <v>892</v>
      </c>
      <c r="Q593" s="56">
        <v>340000</v>
      </c>
      <c r="R593" t="s">
        <v>836</v>
      </c>
      <c r="S593" t="s">
        <v>731</v>
      </c>
      <c r="T593" t="s">
        <v>732</v>
      </c>
      <c r="U593" t="s">
        <v>303</v>
      </c>
      <c r="V593" t="s">
        <v>23</v>
      </c>
      <c r="W593" t="s">
        <v>20</v>
      </c>
      <c r="X593" t="s">
        <v>24</v>
      </c>
      <c r="Y593" s="56">
        <f>IF(clean[[#This Row],[is_delivered]]="Yes",clean[[#This Row],[net_sales]],0 )</f>
        <v>0</v>
      </c>
    </row>
    <row r="594" spans="1:25">
      <c r="A594" t="s">
        <v>1599</v>
      </c>
      <c r="B594" s="9">
        <v>45750</v>
      </c>
      <c r="C594" t="s">
        <v>690</v>
      </c>
      <c r="D594" t="s">
        <v>811</v>
      </c>
      <c r="E594">
        <v>2</v>
      </c>
      <c r="F594" s="56">
        <v>35000</v>
      </c>
      <c r="G594" s="56">
        <v>70000</v>
      </c>
      <c r="H594" t="s">
        <v>872</v>
      </c>
      <c r="I594" s="56">
        <v>0</v>
      </c>
      <c r="J594" s="56">
        <v>10000</v>
      </c>
      <c r="K594" s="56">
        <v>80000</v>
      </c>
      <c r="L594" t="s">
        <v>889</v>
      </c>
      <c r="M594" t="s">
        <v>901</v>
      </c>
      <c r="N594" t="s">
        <v>875</v>
      </c>
      <c r="O594" s="57">
        <v>45748</v>
      </c>
      <c r="P594" t="s">
        <v>877</v>
      </c>
      <c r="Q594" s="56">
        <v>70000</v>
      </c>
      <c r="R594" t="s">
        <v>812</v>
      </c>
      <c r="S594" t="s">
        <v>731</v>
      </c>
      <c r="T594" t="s">
        <v>732</v>
      </c>
      <c r="U594" t="s">
        <v>691</v>
      </c>
      <c r="V594" t="s">
        <v>23</v>
      </c>
      <c r="W594" t="s">
        <v>46</v>
      </c>
      <c r="X594" t="s">
        <v>9</v>
      </c>
      <c r="Y594" s="56">
        <f>IF(clean[[#This Row],[is_delivered]]="Yes",clean[[#This Row],[net_sales]],0 )</f>
        <v>70000</v>
      </c>
    </row>
    <row r="595" spans="1:25">
      <c r="A595" t="s">
        <v>1711</v>
      </c>
      <c r="B595" s="9">
        <v>45750</v>
      </c>
      <c r="C595" t="s">
        <v>228</v>
      </c>
      <c r="D595" t="s">
        <v>807</v>
      </c>
      <c r="E595">
        <v>1</v>
      </c>
      <c r="F595" s="56">
        <v>150000</v>
      </c>
      <c r="G595" s="56">
        <v>150000</v>
      </c>
      <c r="H595" t="s">
        <v>872</v>
      </c>
      <c r="I595" s="56">
        <v>0</v>
      </c>
      <c r="J595" s="56">
        <v>10000</v>
      </c>
      <c r="K595" s="56">
        <v>160000</v>
      </c>
      <c r="L595" t="s">
        <v>889</v>
      </c>
      <c r="M595" t="s">
        <v>881</v>
      </c>
      <c r="N595" t="s">
        <v>875</v>
      </c>
      <c r="O595" s="57">
        <v>45748</v>
      </c>
      <c r="P595" t="s">
        <v>877</v>
      </c>
      <c r="Q595" s="56">
        <v>150000</v>
      </c>
      <c r="R595" t="s">
        <v>808</v>
      </c>
      <c r="S595" t="s">
        <v>747</v>
      </c>
      <c r="T595" t="s">
        <v>748</v>
      </c>
      <c r="U595" t="s">
        <v>229</v>
      </c>
      <c r="V595" t="s">
        <v>23</v>
      </c>
      <c r="W595" t="s">
        <v>39</v>
      </c>
      <c r="X595" t="s">
        <v>9</v>
      </c>
      <c r="Y595" s="56">
        <f>IF(clean[[#This Row],[is_delivered]]="Yes",clean[[#This Row],[net_sales]],0 )</f>
        <v>150000</v>
      </c>
    </row>
    <row r="596" spans="1:25">
      <c r="A596" t="s">
        <v>1724</v>
      </c>
      <c r="B596" s="9">
        <v>45750</v>
      </c>
      <c r="C596" t="s">
        <v>206</v>
      </c>
      <c r="D596" t="s">
        <v>749</v>
      </c>
      <c r="E596">
        <v>1</v>
      </c>
      <c r="F596" s="56">
        <v>150000</v>
      </c>
      <c r="G596" s="56">
        <v>150000</v>
      </c>
      <c r="H596" t="s">
        <v>872</v>
      </c>
      <c r="I596" s="56">
        <v>0</v>
      </c>
      <c r="J596" s="56">
        <v>25000</v>
      </c>
      <c r="K596" s="56">
        <v>175000</v>
      </c>
      <c r="L596" t="s">
        <v>880</v>
      </c>
      <c r="M596" t="s">
        <v>901</v>
      </c>
      <c r="N596" t="s">
        <v>921</v>
      </c>
      <c r="O596" s="57">
        <v>45748</v>
      </c>
      <c r="P596" t="s">
        <v>892</v>
      </c>
      <c r="Q596" s="56">
        <v>150000</v>
      </c>
      <c r="R596" t="s">
        <v>750</v>
      </c>
      <c r="S596" t="s">
        <v>727</v>
      </c>
      <c r="T596" t="s">
        <v>728</v>
      </c>
      <c r="U596" t="s">
        <v>207</v>
      </c>
      <c r="V596" t="s">
        <v>7</v>
      </c>
      <c r="W596" t="s">
        <v>20</v>
      </c>
      <c r="X596" t="s">
        <v>9</v>
      </c>
      <c r="Y596" s="56">
        <f>IF(clean[[#This Row],[is_delivered]]="Yes",clean[[#This Row],[net_sales]],0 )</f>
        <v>0</v>
      </c>
    </row>
    <row r="597" spans="1:25">
      <c r="A597" t="s">
        <v>1832</v>
      </c>
      <c r="B597" s="9">
        <v>45750</v>
      </c>
      <c r="C597" t="s">
        <v>224</v>
      </c>
      <c r="D597" t="s">
        <v>855</v>
      </c>
      <c r="E597">
        <v>1</v>
      </c>
      <c r="F597" s="56">
        <v>150000</v>
      </c>
      <c r="G597" s="56">
        <v>150000</v>
      </c>
      <c r="H597" t="s">
        <v>872</v>
      </c>
      <c r="I597" s="56">
        <v>0</v>
      </c>
      <c r="J597" s="56">
        <v>15000</v>
      </c>
      <c r="K597" s="56">
        <v>165000</v>
      </c>
      <c r="L597" t="s">
        <v>884</v>
      </c>
      <c r="M597" t="s">
        <v>874</v>
      </c>
      <c r="N597" t="s">
        <v>875</v>
      </c>
      <c r="O597" s="57">
        <v>45748</v>
      </c>
      <c r="P597" t="s">
        <v>877</v>
      </c>
      <c r="Q597" s="56">
        <v>150000</v>
      </c>
      <c r="R597" t="s">
        <v>856</v>
      </c>
      <c r="S597" t="s">
        <v>747</v>
      </c>
      <c r="T597" t="s">
        <v>748</v>
      </c>
      <c r="U597" t="s">
        <v>225</v>
      </c>
      <c r="V597" t="s">
        <v>23</v>
      </c>
      <c r="W597" t="s">
        <v>137</v>
      </c>
      <c r="X597" t="s">
        <v>9</v>
      </c>
      <c r="Y597" s="56">
        <f>IF(clean[[#This Row],[is_delivered]]="Yes",clean[[#This Row],[net_sales]],0 )</f>
        <v>150000</v>
      </c>
    </row>
    <row r="598" spans="1:25">
      <c r="A598" t="s">
        <v>1931</v>
      </c>
      <c r="B598" s="9">
        <v>45750</v>
      </c>
      <c r="C598" t="s">
        <v>194</v>
      </c>
      <c r="D598" t="s">
        <v>767</v>
      </c>
      <c r="E598">
        <v>1</v>
      </c>
      <c r="F598" s="56">
        <v>150000</v>
      </c>
      <c r="G598" s="56">
        <v>150000</v>
      </c>
      <c r="H598" t="s">
        <v>883</v>
      </c>
      <c r="I598" s="56">
        <v>15000</v>
      </c>
      <c r="J598" s="56">
        <v>20000</v>
      </c>
      <c r="K598" s="56">
        <v>155000</v>
      </c>
      <c r="L598" t="s">
        <v>889</v>
      </c>
      <c r="M598" t="s">
        <v>874</v>
      </c>
      <c r="N598" t="s">
        <v>905</v>
      </c>
      <c r="O598" s="57">
        <v>45748</v>
      </c>
      <c r="P598" t="s">
        <v>892</v>
      </c>
      <c r="Q598" s="56">
        <v>135000</v>
      </c>
      <c r="R598" t="s">
        <v>768</v>
      </c>
      <c r="S598" t="s">
        <v>739</v>
      </c>
      <c r="T598" t="s">
        <v>740</v>
      </c>
      <c r="U598" t="s">
        <v>195</v>
      </c>
      <c r="V598" t="s">
        <v>7</v>
      </c>
      <c r="W598" t="s">
        <v>36</v>
      </c>
      <c r="X598" t="s">
        <v>24</v>
      </c>
      <c r="Y598" s="56">
        <f>IF(clean[[#This Row],[is_delivered]]="Yes",clean[[#This Row],[net_sales]],0 )</f>
        <v>0</v>
      </c>
    </row>
    <row r="599" spans="1:25">
      <c r="A599" t="s">
        <v>1933</v>
      </c>
      <c r="B599" s="9">
        <v>45750</v>
      </c>
      <c r="C599" t="s">
        <v>506</v>
      </c>
      <c r="D599" t="s">
        <v>811</v>
      </c>
      <c r="E599">
        <v>1</v>
      </c>
      <c r="F599" s="56">
        <v>35000</v>
      </c>
      <c r="G599" s="56">
        <v>35000</v>
      </c>
      <c r="H599" t="s">
        <v>872</v>
      </c>
      <c r="I599" s="56">
        <v>0</v>
      </c>
      <c r="J599" s="56">
        <v>20000</v>
      </c>
      <c r="K599" s="56">
        <v>55000</v>
      </c>
      <c r="L599" t="s">
        <v>880</v>
      </c>
      <c r="M599" t="s">
        <v>903</v>
      </c>
      <c r="N599" t="s">
        <v>875</v>
      </c>
      <c r="O599" s="57">
        <v>45748</v>
      </c>
      <c r="P599" t="s">
        <v>877</v>
      </c>
      <c r="Q599" s="56">
        <v>35000</v>
      </c>
      <c r="R599" t="s">
        <v>812</v>
      </c>
      <c r="S599" t="s">
        <v>731</v>
      </c>
      <c r="T599" t="s">
        <v>732</v>
      </c>
      <c r="U599" t="s">
        <v>507</v>
      </c>
      <c r="V599" t="s">
        <v>23</v>
      </c>
      <c r="W599" t="s">
        <v>12</v>
      </c>
      <c r="X599" t="s">
        <v>9</v>
      </c>
      <c r="Y599" s="56">
        <f>IF(clean[[#This Row],[is_delivered]]="Yes",clean[[#This Row],[net_sales]],0 )</f>
        <v>35000</v>
      </c>
    </row>
    <row r="600" spans="1:25">
      <c r="A600" t="s">
        <v>1969</v>
      </c>
      <c r="B600" s="9">
        <v>45750</v>
      </c>
      <c r="C600" t="s">
        <v>660</v>
      </c>
      <c r="D600" t="s">
        <v>737</v>
      </c>
      <c r="E600">
        <v>2</v>
      </c>
      <c r="F600" s="56">
        <v>300000</v>
      </c>
      <c r="G600" s="56">
        <v>600000</v>
      </c>
      <c r="H600" t="s">
        <v>895</v>
      </c>
      <c r="I600" s="56">
        <v>90000</v>
      </c>
      <c r="J600" s="56">
        <v>10000</v>
      </c>
      <c r="K600" s="56">
        <v>520000</v>
      </c>
      <c r="L600" t="s">
        <v>884</v>
      </c>
      <c r="M600" t="s">
        <v>881</v>
      </c>
      <c r="N600" t="s">
        <v>905</v>
      </c>
      <c r="O600" s="57">
        <v>45748</v>
      </c>
      <c r="P600" t="s">
        <v>892</v>
      </c>
      <c r="Q600" s="56">
        <v>510000</v>
      </c>
      <c r="R600" t="s">
        <v>738</v>
      </c>
      <c r="S600" t="s">
        <v>739</v>
      </c>
      <c r="T600" t="s">
        <v>740</v>
      </c>
      <c r="U600" t="s">
        <v>661</v>
      </c>
      <c r="V600" t="s">
        <v>23</v>
      </c>
      <c r="W600" t="s">
        <v>56</v>
      </c>
      <c r="X600" t="s">
        <v>15</v>
      </c>
      <c r="Y600" s="56">
        <f>IF(clean[[#This Row],[is_delivered]]="Yes",clean[[#This Row],[net_sales]],0 )</f>
        <v>0</v>
      </c>
    </row>
    <row r="601" spans="1:25">
      <c r="A601" t="s">
        <v>1243</v>
      </c>
      <c r="B601" s="9">
        <v>45749</v>
      </c>
      <c r="C601" t="s">
        <v>59</v>
      </c>
      <c r="D601" t="s">
        <v>835</v>
      </c>
      <c r="E601">
        <v>4</v>
      </c>
      <c r="F601" s="56">
        <v>200000</v>
      </c>
      <c r="G601" s="56">
        <v>800000</v>
      </c>
      <c r="H601" t="s">
        <v>872</v>
      </c>
      <c r="I601" s="56">
        <v>0</v>
      </c>
      <c r="J601" s="56">
        <v>30000</v>
      </c>
      <c r="K601" s="56">
        <v>830000</v>
      </c>
      <c r="L601" t="s">
        <v>880</v>
      </c>
      <c r="M601" t="s">
        <v>881</v>
      </c>
      <c r="N601" t="s">
        <v>890</v>
      </c>
      <c r="O601" s="57">
        <v>45748</v>
      </c>
      <c r="P601" t="s">
        <v>892</v>
      </c>
      <c r="Q601" s="56">
        <v>800000</v>
      </c>
      <c r="R601" t="s">
        <v>836</v>
      </c>
      <c r="S601" t="s">
        <v>731</v>
      </c>
      <c r="T601" t="s">
        <v>732</v>
      </c>
      <c r="U601" t="s">
        <v>60</v>
      </c>
      <c r="V601" t="s">
        <v>7</v>
      </c>
      <c r="W601" t="s">
        <v>39</v>
      </c>
      <c r="X601" t="s">
        <v>15</v>
      </c>
      <c r="Y601" s="56">
        <f>IF(clean[[#This Row],[is_delivered]]="Yes",clean[[#This Row],[net_sales]],0 )</f>
        <v>0</v>
      </c>
    </row>
    <row r="602" spans="1:25">
      <c r="A602" t="s">
        <v>1080</v>
      </c>
      <c r="B602" s="9">
        <v>45749</v>
      </c>
      <c r="C602" t="s">
        <v>558</v>
      </c>
      <c r="D602" t="s">
        <v>789</v>
      </c>
      <c r="E602">
        <v>2</v>
      </c>
      <c r="F602" s="56">
        <v>200000</v>
      </c>
      <c r="G602" s="56">
        <v>400000</v>
      </c>
      <c r="H602" t="s">
        <v>886</v>
      </c>
      <c r="I602" s="56">
        <v>40000</v>
      </c>
      <c r="J602" s="56">
        <v>15000</v>
      </c>
      <c r="K602" s="56">
        <v>375000</v>
      </c>
      <c r="L602" t="s">
        <v>880</v>
      </c>
      <c r="M602" t="s">
        <v>903</v>
      </c>
      <c r="N602" t="s">
        <v>875</v>
      </c>
      <c r="O602" s="57">
        <v>45748</v>
      </c>
      <c r="P602" t="s">
        <v>877</v>
      </c>
      <c r="Q602" s="56">
        <v>360000</v>
      </c>
      <c r="R602" t="s">
        <v>790</v>
      </c>
      <c r="S602" t="s">
        <v>735</v>
      </c>
      <c r="T602" t="s">
        <v>736</v>
      </c>
      <c r="U602" t="s">
        <v>559</v>
      </c>
      <c r="V602" t="s">
        <v>23</v>
      </c>
      <c r="W602" t="s">
        <v>56</v>
      </c>
      <c r="X602" t="s">
        <v>24</v>
      </c>
      <c r="Y602" s="56">
        <f>IF(clean[[#This Row],[is_delivered]]="Yes",clean[[#This Row],[net_sales]],0 )</f>
        <v>360000</v>
      </c>
    </row>
    <row r="603" spans="1:25">
      <c r="A603" t="s">
        <v>1500</v>
      </c>
      <c r="B603" s="9">
        <v>45749</v>
      </c>
      <c r="C603" t="s">
        <v>286</v>
      </c>
      <c r="D603" t="s">
        <v>767</v>
      </c>
      <c r="E603">
        <v>2</v>
      </c>
      <c r="F603" s="56">
        <v>150000</v>
      </c>
      <c r="G603" s="56">
        <v>300000</v>
      </c>
      <c r="H603" t="s">
        <v>872</v>
      </c>
      <c r="I603" s="56">
        <v>0</v>
      </c>
      <c r="J603" s="56">
        <v>10000</v>
      </c>
      <c r="K603" s="56">
        <v>310000</v>
      </c>
      <c r="L603" t="s">
        <v>873</v>
      </c>
      <c r="M603" t="s">
        <v>881</v>
      </c>
      <c r="N603" t="s">
        <v>875</v>
      </c>
      <c r="O603" s="57">
        <v>45748</v>
      </c>
      <c r="P603" t="s">
        <v>877</v>
      </c>
      <c r="Q603" s="56">
        <v>300000</v>
      </c>
      <c r="R603" t="s">
        <v>768</v>
      </c>
      <c r="S603" t="s">
        <v>739</v>
      </c>
      <c r="T603" t="s">
        <v>740</v>
      </c>
      <c r="U603" t="s">
        <v>287</v>
      </c>
      <c r="V603" t="s">
        <v>7</v>
      </c>
      <c r="W603" t="s">
        <v>46</v>
      </c>
      <c r="X603" t="s">
        <v>24</v>
      </c>
      <c r="Y603" s="56">
        <f>IF(clean[[#This Row],[is_delivered]]="Yes",clean[[#This Row],[net_sales]],0 )</f>
        <v>300000</v>
      </c>
    </row>
    <row r="604" spans="1:25">
      <c r="A604" t="s">
        <v>1670</v>
      </c>
      <c r="B604" s="9">
        <v>45749</v>
      </c>
      <c r="C604" t="s">
        <v>488</v>
      </c>
      <c r="D604" t="s">
        <v>757</v>
      </c>
      <c r="E604">
        <v>4</v>
      </c>
      <c r="F604" s="56">
        <v>75000</v>
      </c>
      <c r="G604" s="56">
        <v>300000</v>
      </c>
      <c r="H604" t="s">
        <v>872</v>
      </c>
      <c r="I604" s="56">
        <v>0</v>
      </c>
      <c r="J604" s="56">
        <v>25000</v>
      </c>
      <c r="K604" s="56">
        <v>325000</v>
      </c>
      <c r="L604" t="s">
        <v>873</v>
      </c>
      <c r="M604" t="s">
        <v>903</v>
      </c>
      <c r="N604" t="s">
        <v>905</v>
      </c>
      <c r="O604" s="57">
        <v>45748</v>
      </c>
      <c r="P604" t="s">
        <v>892</v>
      </c>
      <c r="Q604" s="56">
        <v>300000</v>
      </c>
      <c r="R604" t="s">
        <v>758</v>
      </c>
      <c r="S604" t="s">
        <v>743</v>
      </c>
      <c r="T604" t="s">
        <v>744</v>
      </c>
      <c r="U604" t="s">
        <v>489</v>
      </c>
      <c r="V604" t="s">
        <v>23</v>
      </c>
      <c r="W604" t="s">
        <v>20</v>
      </c>
      <c r="X604" t="s">
        <v>15</v>
      </c>
      <c r="Y604" s="56">
        <f>IF(clean[[#This Row],[is_delivered]]="Yes",clean[[#This Row],[net_sales]],0 )</f>
        <v>0</v>
      </c>
    </row>
    <row r="605" spans="1:25">
      <c r="A605" t="s">
        <v>1697</v>
      </c>
      <c r="B605" s="9">
        <v>45749</v>
      </c>
      <c r="C605" t="s">
        <v>610</v>
      </c>
      <c r="D605" t="s">
        <v>803</v>
      </c>
      <c r="E605">
        <v>4</v>
      </c>
      <c r="F605" s="56">
        <v>50000</v>
      </c>
      <c r="G605" s="56">
        <v>200000</v>
      </c>
      <c r="H605" t="s">
        <v>886</v>
      </c>
      <c r="I605" s="56">
        <v>20000</v>
      </c>
      <c r="J605" s="56">
        <v>30000</v>
      </c>
      <c r="K605" s="56">
        <v>210000</v>
      </c>
      <c r="L605" t="s">
        <v>884</v>
      </c>
      <c r="M605" t="s">
        <v>881</v>
      </c>
      <c r="N605" t="s">
        <v>905</v>
      </c>
      <c r="O605" s="57">
        <v>45748</v>
      </c>
      <c r="P605" t="s">
        <v>892</v>
      </c>
      <c r="Q605" s="56">
        <v>180000</v>
      </c>
      <c r="R605" t="s">
        <v>804</v>
      </c>
      <c r="S605" t="s">
        <v>739</v>
      </c>
      <c r="T605" t="s">
        <v>740</v>
      </c>
      <c r="U605" t="s">
        <v>611</v>
      </c>
      <c r="V605" t="s">
        <v>7</v>
      </c>
      <c r="W605" t="s">
        <v>29</v>
      </c>
      <c r="X605" t="s">
        <v>9</v>
      </c>
      <c r="Y605" s="56">
        <f>IF(clean[[#This Row],[is_delivered]]="Yes",clean[[#This Row],[net_sales]],0 )</f>
        <v>0</v>
      </c>
    </row>
    <row r="606" spans="1:25">
      <c r="A606" t="s">
        <v>1793</v>
      </c>
      <c r="B606" s="9">
        <v>45749</v>
      </c>
      <c r="C606" t="s">
        <v>576</v>
      </c>
      <c r="D606" t="s">
        <v>763</v>
      </c>
      <c r="E606">
        <v>3</v>
      </c>
      <c r="F606" s="56">
        <v>75000</v>
      </c>
      <c r="G606" s="56">
        <v>225000</v>
      </c>
      <c r="H606" t="s">
        <v>872</v>
      </c>
      <c r="I606" s="56">
        <v>0</v>
      </c>
      <c r="J606" s="56">
        <v>15000</v>
      </c>
      <c r="K606" s="56">
        <v>240000</v>
      </c>
      <c r="L606" t="s">
        <v>873</v>
      </c>
      <c r="M606" t="s">
        <v>881</v>
      </c>
      <c r="N606" t="s">
        <v>875</v>
      </c>
      <c r="O606" s="57">
        <v>45748</v>
      </c>
      <c r="P606" t="s">
        <v>877</v>
      </c>
      <c r="Q606" s="56">
        <v>225000</v>
      </c>
      <c r="R606" t="s">
        <v>764</v>
      </c>
      <c r="S606" t="s">
        <v>731</v>
      </c>
      <c r="T606" t="s">
        <v>732</v>
      </c>
      <c r="U606" t="s">
        <v>577</v>
      </c>
      <c r="V606" t="s">
        <v>23</v>
      </c>
      <c r="W606" t="s">
        <v>8</v>
      </c>
      <c r="X606" t="s">
        <v>9</v>
      </c>
      <c r="Y606" s="56">
        <f>IF(clean[[#This Row],[is_delivered]]="Yes",clean[[#This Row],[net_sales]],0 )</f>
        <v>225000</v>
      </c>
    </row>
    <row r="607" spans="1:25">
      <c r="A607" t="s">
        <v>1916</v>
      </c>
      <c r="B607" s="9">
        <v>45749</v>
      </c>
      <c r="C607" t="s">
        <v>590</v>
      </c>
      <c r="D607" t="s">
        <v>771</v>
      </c>
      <c r="E607">
        <v>2</v>
      </c>
      <c r="F607" s="56">
        <v>500000</v>
      </c>
      <c r="G607" s="56">
        <v>1000000</v>
      </c>
      <c r="H607" t="s">
        <v>872</v>
      </c>
      <c r="I607" s="56">
        <v>0</v>
      </c>
      <c r="J607" s="56">
        <v>25000</v>
      </c>
      <c r="K607" s="56">
        <v>1025000</v>
      </c>
      <c r="L607" t="s">
        <v>889</v>
      </c>
      <c r="M607" t="s">
        <v>881</v>
      </c>
      <c r="N607" t="s">
        <v>905</v>
      </c>
      <c r="O607" s="57">
        <v>45748</v>
      </c>
      <c r="P607" t="s">
        <v>892</v>
      </c>
      <c r="Q607" s="56">
        <v>1000000</v>
      </c>
      <c r="R607" t="s">
        <v>772</v>
      </c>
      <c r="S607" t="s">
        <v>747</v>
      </c>
      <c r="T607" t="s">
        <v>748</v>
      </c>
      <c r="U607" t="s">
        <v>591</v>
      </c>
      <c r="V607" t="s">
        <v>7</v>
      </c>
      <c r="W607" t="s">
        <v>29</v>
      </c>
      <c r="X607" t="s">
        <v>24</v>
      </c>
      <c r="Y607" s="56">
        <f>IF(clean[[#This Row],[is_delivered]]="Yes",clean[[#This Row],[net_sales]],0 )</f>
        <v>0</v>
      </c>
    </row>
    <row r="608" spans="1:25">
      <c r="A608" t="s">
        <v>2002</v>
      </c>
      <c r="B608" s="9">
        <v>45749</v>
      </c>
      <c r="C608" t="s">
        <v>402</v>
      </c>
      <c r="D608" t="s">
        <v>761</v>
      </c>
      <c r="E608">
        <v>1</v>
      </c>
      <c r="F608" s="56">
        <v>75000</v>
      </c>
      <c r="G608" s="56">
        <v>75000</v>
      </c>
      <c r="H608" t="s">
        <v>872</v>
      </c>
      <c r="I608" s="56">
        <v>0</v>
      </c>
      <c r="J608" s="56">
        <v>20000</v>
      </c>
      <c r="K608" s="56">
        <v>95000</v>
      </c>
      <c r="L608" t="s">
        <v>880</v>
      </c>
      <c r="M608" t="s">
        <v>901</v>
      </c>
      <c r="N608" t="s">
        <v>875</v>
      </c>
      <c r="O608" s="57">
        <v>45748</v>
      </c>
      <c r="P608" t="s">
        <v>877</v>
      </c>
      <c r="Q608" s="56">
        <v>75000</v>
      </c>
      <c r="R608" t="s">
        <v>762</v>
      </c>
      <c r="S608" t="s">
        <v>727</v>
      </c>
      <c r="T608" t="s">
        <v>728</v>
      </c>
      <c r="U608" t="s">
        <v>403</v>
      </c>
      <c r="V608" t="s">
        <v>7</v>
      </c>
      <c r="W608" t="s">
        <v>8</v>
      </c>
      <c r="X608" t="s">
        <v>9</v>
      </c>
      <c r="Y608" s="56">
        <f>IF(clean[[#This Row],[is_delivered]]="Yes",clean[[#This Row],[net_sales]],0 )</f>
        <v>75000</v>
      </c>
    </row>
    <row r="609" spans="1:25">
      <c r="A609" t="s">
        <v>1600</v>
      </c>
      <c r="B609" s="9">
        <v>45748</v>
      </c>
      <c r="C609" t="s">
        <v>450</v>
      </c>
      <c r="D609" t="s">
        <v>761</v>
      </c>
      <c r="E609">
        <v>1</v>
      </c>
      <c r="F609" s="56">
        <v>75000</v>
      </c>
      <c r="G609" s="56">
        <v>75000</v>
      </c>
      <c r="H609" t="s">
        <v>886</v>
      </c>
      <c r="I609" s="56">
        <v>7500</v>
      </c>
      <c r="J609" s="56">
        <v>30000</v>
      </c>
      <c r="K609" s="56">
        <v>97500</v>
      </c>
      <c r="L609" t="s">
        <v>884</v>
      </c>
      <c r="M609" t="s">
        <v>874</v>
      </c>
      <c r="N609" t="s">
        <v>875</v>
      </c>
      <c r="O609" s="57">
        <v>45748</v>
      </c>
      <c r="P609" t="s">
        <v>877</v>
      </c>
      <c r="Q609" s="56">
        <v>67500</v>
      </c>
      <c r="R609" t="s">
        <v>762</v>
      </c>
      <c r="S609" t="s">
        <v>727</v>
      </c>
      <c r="T609" t="s">
        <v>728</v>
      </c>
      <c r="U609" t="s">
        <v>451</v>
      </c>
      <c r="V609" t="s">
        <v>23</v>
      </c>
      <c r="W609" t="s">
        <v>56</v>
      </c>
      <c r="X609" t="s">
        <v>9</v>
      </c>
      <c r="Y609" s="56">
        <f>IF(clean[[#This Row],[is_delivered]]="Yes",clean[[#This Row],[net_sales]],0 )</f>
        <v>67500</v>
      </c>
    </row>
    <row r="610" spans="1:25">
      <c r="A610" t="s">
        <v>1754</v>
      </c>
      <c r="B610" s="9">
        <v>45748</v>
      </c>
      <c r="C610" t="s">
        <v>61</v>
      </c>
      <c r="D610" t="s">
        <v>803</v>
      </c>
      <c r="E610">
        <v>3</v>
      </c>
      <c r="F610" s="56">
        <v>50000</v>
      </c>
      <c r="G610" s="56">
        <v>150000</v>
      </c>
      <c r="H610" t="s">
        <v>872</v>
      </c>
      <c r="I610" s="56">
        <v>0</v>
      </c>
      <c r="J610" s="56">
        <v>25000</v>
      </c>
      <c r="K610" s="56">
        <v>175000</v>
      </c>
      <c r="L610" t="s">
        <v>880</v>
      </c>
      <c r="M610" t="s">
        <v>901</v>
      </c>
      <c r="N610" t="s">
        <v>905</v>
      </c>
      <c r="O610" s="57">
        <v>45748</v>
      </c>
      <c r="P610" t="s">
        <v>892</v>
      </c>
      <c r="Q610" s="56">
        <v>150000</v>
      </c>
      <c r="R610" t="s">
        <v>804</v>
      </c>
      <c r="S610" t="s">
        <v>739</v>
      </c>
      <c r="T610" t="s">
        <v>740</v>
      </c>
      <c r="U610" t="s">
        <v>62</v>
      </c>
      <c r="V610" t="s">
        <v>23</v>
      </c>
      <c r="W610" t="s">
        <v>39</v>
      </c>
      <c r="X610" t="s">
        <v>24</v>
      </c>
      <c r="Y610" s="56">
        <f>IF(clean[[#This Row],[is_delivered]]="Yes",clean[[#This Row],[net_sales]],0 )</f>
        <v>0</v>
      </c>
    </row>
    <row r="611" spans="1:25">
      <c r="A611" t="s">
        <v>1834</v>
      </c>
      <c r="B611" s="9">
        <v>45748</v>
      </c>
      <c r="C611" t="s">
        <v>352</v>
      </c>
      <c r="D611" t="s">
        <v>765</v>
      </c>
      <c r="E611">
        <v>1</v>
      </c>
      <c r="F611" s="56">
        <v>500000</v>
      </c>
      <c r="G611" s="56">
        <v>500000</v>
      </c>
      <c r="H611" t="s">
        <v>879</v>
      </c>
      <c r="I611" s="56">
        <v>100000</v>
      </c>
      <c r="J611" s="56">
        <v>15000</v>
      </c>
      <c r="K611" s="56">
        <v>415000</v>
      </c>
      <c r="L611" t="s">
        <v>884</v>
      </c>
      <c r="M611" t="s">
        <v>901</v>
      </c>
      <c r="N611" t="s">
        <v>875</v>
      </c>
      <c r="O611" s="57">
        <v>45748</v>
      </c>
      <c r="P611" t="s">
        <v>877</v>
      </c>
      <c r="Q611" s="56">
        <v>400000</v>
      </c>
      <c r="R611" t="s">
        <v>766</v>
      </c>
      <c r="S611" t="s">
        <v>735</v>
      </c>
      <c r="T611" t="s">
        <v>736</v>
      </c>
      <c r="U611" t="s">
        <v>353</v>
      </c>
      <c r="V611" t="s">
        <v>7</v>
      </c>
      <c r="W611" t="s">
        <v>39</v>
      </c>
      <c r="X611" t="s">
        <v>24</v>
      </c>
      <c r="Y611" s="56">
        <f>IF(clean[[#This Row],[is_delivered]]="Yes",clean[[#This Row],[net_sales]],0 )</f>
        <v>400000</v>
      </c>
    </row>
    <row r="612" spans="1:25">
      <c r="A612" t="s">
        <v>1177</v>
      </c>
      <c r="B612" s="9">
        <v>45747</v>
      </c>
      <c r="C612" t="s">
        <v>226</v>
      </c>
      <c r="D612" t="s">
        <v>753</v>
      </c>
      <c r="E612">
        <v>4</v>
      </c>
      <c r="F612" s="56">
        <v>300000</v>
      </c>
      <c r="G612" s="56">
        <v>1200000</v>
      </c>
      <c r="H612" t="s">
        <v>886</v>
      </c>
      <c r="I612" s="56">
        <v>120000</v>
      </c>
      <c r="J612" s="56">
        <v>25000</v>
      </c>
      <c r="K612" s="56">
        <v>1105000</v>
      </c>
      <c r="L612" t="s">
        <v>880</v>
      </c>
      <c r="M612" t="s">
        <v>903</v>
      </c>
      <c r="N612" t="s">
        <v>890</v>
      </c>
      <c r="O612" s="57">
        <v>45717</v>
      </c>
      <c r="P612" t="s">
        <v>892</v>
      </c>
      <c r="Q612" s="56">
        <v>1080000</v>
      </c>
      <c r="R612" t="s">
        <v>754</v>
      </c>
      <c r="S612" t="s">
        <v>735</v>
      </c>
      <c r="T612" t="s">
        <v>736</v>
      </c>
      <c r="U612" t="s">
        <v>227</v>
      </c>
      <c r="V612" t="s">
        <v>23</v>
      </c>
      <c r="W612" t="s">
        <v>29</v>
      </c>
      <c r="X612" t="s">
        <v>9</v>
      </c>
      <c r="Y612" s="56">
        <f>IF(clean[[#This Row],[is_delivered]]="Yes",clean[[#This Row],[net_sales]],0 )</f>
        <v>0</v>
      </c>
    </row>
    <row r="613" spans="1:25">
      <c r="A613" t="s">
        <v>1355</v>
      </c>
      <c r="B613" s="9">
        <v>45747</v>
      </c>
      <c r="C613" t="s">
        <v>306</v>
      </c>
      <c r="D613" t="s">
        <v>745</v>
      </c>
      <c r="E613">
        <v>1</v>
      </c>
      <c r="F613" s="56">
        <v>500000</v>
      </c>
      <c r="G613" s="56">
        <v>500000</v>
      </c>
      <c r="H613" t="s">
        <v>895</v>
      </c>
      <c r="I613" s="56">
        <v>75000</v>
      </c>
      <c r="J613" s="56">
        <v>25000</v>
      </c>
      <c r="K613" s="56">
        <v>450000</v>
      </c>
      <c r="L613" t="s">
        <v>884</v>
      </c>
      <c r="M613" t="s">
        <v>874</v>
      </c>
      <c r="N613" t="s">
        <v>890</v>
      </c>
      <c r="O613" s="57">
        <v>45717</v>
      </c>
      <c r="P613" t="s">
        <v>892</v>
      </c>
      <c r="Q613" s="56">
        <v>425000</v>
      </c>
      <c r="R613" t="s">
        <v>746</v>
      </c>
      <c r="S613" t="s">
        <v>747</v>
      </c>
      <c r="T613" t="s">
        <v>748</v>
      </c>
      <c r="U613" t="s">
        <v>307</v>
      </c>
      <c r="V613" t="s">
        <v>7</v>
      </c>
      <c r="W613" t="s">
        <v>12</v>
      </c>
      <c r="X613" t="s">
        <v>9</v>
      </c>
      <c r="Y613" s="56">
        <f>IF(clean[[#This Row],[is_delivered]]="Yes",clean[[#This Row],[net_sales]],0 )</f>
        <v>0</v>
      </c>
    </row>
    <row r="614" spans="1:25">
      <c r="A614" t="s">
        <v>1358</v>
      </c>
      <c r="B614" s="9">
        <v>45747</v>
      </c>
      <c r="C614" t="s">
        <v>434</v>
      </c>
      <c r="D614" t="s">
        <v>807</v>
      </c>
      <c r="E614">
        <v>2</v>
      </c>
      <c r="F614" s="56">
        <v>150000</v>
      </c>
      <c r="G614" s="56">
        <v>300000</v>
      </c>
      <c r="H614" t="s">
        <v>872</v>
      </c>
      <c r="I614" s="56">
        <v>0</v>
      </c>
      <c r="J614" s="56">
        <v>15000</v>
      </c>
      <c r="K614" s="56">
        <v>315000</v>
      </c>
      <c r="L614" t="s">
        <v>873</v>
      </c>
      <c r="M614" t="s">
        <v>901</v>
      </c>
      <c r="N614" t="s">
        <v>875</v>
      </c>
      <c r="O614" s="57">
        <v>45717</v>
      </c>
      <c r="P614" t="s">
        <v>877</v>
      </c>
      <c r="Q614" s="56">
        <v>300000</v>
      </c>
      <c r="R614" t="s">
        <v>808</v>
      </c>
      <c r="S614" t="s">
        <v>747</v>
      </c>
      <c r="T614" t="s">
        <v>748</v>
      </c>
      <c r="U614" t="s">
        <v>435</v>
      </c>
      <c r="V614" t="s">
        <v>23</v>
      </c>
      <c r="W614" t="s">
        <v>137</v>
      </c>
      <c r="X614" t="s">
        <v>9</v>
      </c>
      <c r="Y614" s="56">
        <f>IF(clean[[#This Row],[is_delivered]]="Yes",clean[[#This Row],[net_sales]],0 )</f>
        <v>300000</v>
      </c>
    </row>
    <row r="615" spans="1:25">
      <c r="A615" t="s">
        <v>1593</v>
      </c>
      <c r="B615" s="9">
        <v>45747</v>
      </c>
      <c r="C615" t="s">
        <v>478</v>
      </c>
      <c r="D615" t="s">
        <v>823</v>
      </c>
      <c r="E615">
        <v>1</v>
      </c>
      <c r="F615" s="56">
        <v>500000</v>
      </c>
      <c r="G615" s="56">
        <v>500000</v>
      </c>
      <c r="H615" t="s">
        <v>872</v>
      </c>
      <c r="I615" s="56">
        <v>0</v>
      </c>
      <c r="J615" s="56">
        <v>30000</v>
      </c>
      <c r="K615" s="56">
        <v>530000</v>
      </c>
      <c r="L615" t="s">
        <v>889</v>
      </c>
      <c r="M615" t="s">
        <v>881</v>
      </c>
      <c r="N615" t="s">
        <v>875</v>
      </c>
      <c r="O615" s="57">
        <v>45717</v>
      </c>
      <c r="P615" t="s">
        <v>877</v>
      </c>
      <c r="Q615" s="56">
        <v>500000</v>
      </c>
      <c r="R615" t="s">
        <v>824</v>
      </c>
      <c r="S615" t="s">
        <v>731</v>
      </c>
      <c r="T615" t="s">
        <v>732</v>
      </c>
      <c r="U615" t="s">
        <v>479</v>
      </c>
      <c r="V615" t="s">
        <v>23</v>
      </c>
      <c r="W615" t="s">
        <v>51</v>
      </c>
      <c r="X615" t="s">
        <v>15</v>
      </c>
      <c r="Y615" s="56">
        <f>IF(clean[[#This Row],[is_delivered]]="Yes",clean[[#This Row],[net_sales]],0 )</f>
        <v>500000</v>
      </c>
    </row>
    <row r="616" spans="1:25">
      <c r="A616" t="s">
        <v>1906</v>
      </c>
      <c r="B616" s="9">
        <v>45747</v>
      </c>
      <c r="C616" t="s">
        <v>135</v>
      </c>
      <c r="D616" t="s">
        <v>773</v>
      </c>
      <c r="E616">
        <v>2</v>
      </c>
      <c r="F616" s="56">
        <v>500000</v>
      </c>
      <c r="G616" s="56">
        <v>1000000</v>
      </c>
      <c r="H616" t="s">
        <v>872</v>
      </c>
      <c r="I616" s="56">
        <v>0</v>
      </c>
      <c r="J616" s="56">
        <v>15000</v>
      </c>
      <c r="K616" s="56">
        <v>1015000</v>
      </c>
      <c r="L616" t="s">
        <v>889</v>
      </c>
      <c r="M616" t="s">
        <v>874</v>
      </c>
      <c r="N616" t="s">
        <v>875</v>
      </c>
      <c r="O616" s="57">
        <v>45717</v>
      </c>
      <c r="P616" t="s">
        <v>877</v>
      </c>
      <c r="Q616" s="56">
        <v>1000000</v>
      </c>
      <c r="R616" t="s">
        <v>774</v>
      </c>
      <c r="S616" t="s">
        <v>727</v>
      </c>
      <c r="T616" t="s">
        <v>728</v>
      </c>
      <c r="U616" t="s">
        <v>136</v>
      </c>
      <c r="V616" t="s">
        <v>23</v>
      </c>
      <c r="W616" t="s">
        <v>137</v>
      </c>
      <c r="X616" t="s">
        <v>24</v>
      </c>
      <c r="Y616" s="56">
        <f>IF(clean[[#This Row],[is_delivered]]="Yes",clean[[#This Row],[net_sales]],0 )</f>
        <v>1000000</v>
      </c>
    </row>
    <row r="617" spans="1:25">
      <c r="A617" t="s">
        <v>938</v>
      </c>
      <c r="B617" s="9">
        <v>45746</v>
      </c>
      <c r="C617" t="s">
        <v>676</v>
      </c>
      <c r="D617" t="s">
        <v>737</v>
      </c>
      <c r="E617">
        <v>3</v>
      </c>
      <c r="F617" s="56">
        <v>300000</v>
      </c>
      <c r="G617" s="56">
        <v>900000</v>
      </c>
      <c r="H617" t="s">
        <v>872</v>
      </c>
      <c r="I617" s="56">
        <v>0</v>
      </c>
      <c r="J617" s="56">
        <v>25000</v>
      </c>
      <c r="K617" s="56">
        <v>925000</v>
      </c>
      <c r="L617" t="s">
        <v>884</v>
      </c>
      <c r="M617" t="s">
        <v>874</v>
      </c>
      <c r="N617" t="s">
        <v>905</v>
      </c>
      <c r="O617" s="57">
        <v>45717</v>
      </c>
      <c r="P617" t="s">
        <v>892</v>
      </c>
      <c r="Q617" s="56">
        <v>900000</v>
      </c>
      <c r="R617" t="s">
        <v>738</v>
      </c>
      <c r="S617" t="s">
        <v>739</v>
      </c>
      <c r="T617" t="s">
        <v>740</v>
      </c>
      <c r="U617" t="s">
        <v>677</v>
      </c>
      <c r="V617" t="s">
        <v>7</v>
      </c>
      <c r="W617" t="s">
        <v>29</v>
      </c>
      <c r="X617" t="s">
        <v>15</v>
      </c>
      <c r="Y617" s="56">
        <f>IF(clean[[#This Row],[is_delivered]]="Yes",clean[[#This Row],[net_sales]],0 )</f>
        <v>0</v>
      </c>
    </row>
    <row r="618" spans="1:25">
      <c r="A618" t="s">
        <v>1049</v>
      </c>
      <c r="B618" s="9">
        <v>45746</v>
      </c>
      <c r="C618" t="s">
        <v>61</v>
      </c>
      <c r="D618" t="s">
        <v>791</v>
      </c>
      <c r="E618">
        <v>2</v>
      </c>
      <c r="F618" s="56">
        <v>50000</v>
      </c>
      <c r="G618" s="56">
        <v>100000</v>
      </c>
      <c r="H618" t="s">
        <v>895</v>
      </c>
      <c r="I618" s="56">
        <v>15000</v>
      </c>
      <c r="J618" s="56">
        <v>20000</v>
      </c>
      <c r="K618" s="56">
        <v>105000</v>
      </c>
      <c r="L618" t="s">
        <v>889</v>
      </c>
      <c r="M618" t="s">
        <v>901</v>
      </c>
      <c r="N618" t="s">
        <v>890</v>
      </c>
      <c r="O618" s="57">
        <v>45717</v>
      </c>
      <c r="P618" t="s">
        <v>892</v>
      </c>
      <c r="Q618" s="56">
        <v>85000</v>
      </c>
      <c r="R618" t="s">
        <v>792</v>
      </c>
      <c r="S618" t="s">
        <v>739</v>
      </c>
      <c r="T618" t="s">
        <v>740</v>
      </c>
      <c r="U618" t="s">
        <v>62</v>
      </c>
      <c r="V618" t="s">
        <v>23</v>
      </c>
      <c r="W618" t="s">
        <v>39</v>
      </c>
      <c r="X618" t="s">
        <v>24</v>
      </c>
      <c r="Y618" s="56">
        <f>IF(clean[[#This Row],[is_delivered]]="Yes",clean[[#This Row],[net_sales]],0 )</f>
        <v>0</v>
      </c>
    </row>
    <row r="619" spans="1:25">
      <c r="A619" t="s">
        <v>1385</v>
      </c>
      <c r="B619" s="9">
        <v>45746</v>
      </c>
      <c r="C619" t="s">
        <v>162</v>
      </c>
      <c r="D619" t="s">
        <v>845</v>
      </c>
      <c r="E619">
        <v>1</v>
      </c>
      <c r="F619" s="56">
        <v>300000</v>
      </c>
      <c r="G619" s="56">
        <v>300000</v>
      </c>
      <c r="H619" t="s">
        <v>883</v>
      </c>
      <c r="I619" s="56">
        <v>30000</v>
      </c>
      <c r="J619" s="56">
        <v>20000</v>
      </c>
      <c r="K619" s="56">
        <v>290000</v>
      </c>
      <c r="L619" t="s">
        <v>889</v>
      </c>
      <c r="M619" t="s">
        <v>881</v>
      </c>
      <c r="N619" t="s">
        <v>875</v>
      </c>
      <c r="O619" s="57">
        <v>45717</v>
      </c>
      <c r="P619" t="s">
        <v>877</v>
      </c>
      <c r="Q619" s="56">
        <v>270000</v>
      </c>
      <c r="R619" t="s">
        <v>846</v>
      </c>
      <c r="S619" t="s">
        <v>727</v>
      </c>
      <c r="T619" t="s">
        <v>728</v>
      </c>
      <c r="U619" t="s">
        <v>163</v>
      </c>
      <c r="V619" t="s">
        <v>7</v>
      </c>
      <c r="W619" t="s">
        <v>39</v>
      </c>
      <c r="X619" t="s">
        <v>9</v>
      </c>
      <c r="Y619" s="56">
        <f>IF(clean[[#This Row],[is_delivered]]="Yes",clean[[#This Row],[net_sales]],0 )</f>
        <v>270000</v>
      </c>
    </row>
    <row r="620" spans="1:25">
      <c r="A620" t="s">
        <v>1826</v>
      </c>
      <c r="B620" s="9">
        <v>45746</v>
      </c>
      <c r="C620" t="s">
        <v>414</v>
      </c>
      <c r="D620" t="s">
        <v>787</v>
      </c>
      <c r="E620">
        <v>1</v>
      </c>
      <c r="F620" s="56">
        <v>200000</v>
      </c>
      <c r="G620" s="56">
        <v>200000</v>
      </c>
      <c r="H620" t="s">
        <v>872</v>
      </c>
      <c r="I620" s="56">
        <v>0</v>
      </c>
      <c r="J620" s="56">
        <v>20000</v>
      </c>
      <c r="K620" s="56">
        <v>220000</v>
      </c>
      <c r="L620" t="s">
        <v>873</v>
      </c>
      <c r="M620" t="s">
        <v>901</v>
      </c>
      <c r="N620" t="s">
        <v>875</v>
      </c>
      <c r="O620" s="57">
        <v>45717</v>
      </c>
      <c r="P620" t="s">
        <v>877</v>
      </c>
      <c r="Q620" s="56">
        <v>200000</v>
      </c>
      <c r="R620" t="s">
        <v>788</v>
      </c>
      <c r="S620" t="s">
        <v>731</v>
      </c>
      <c r="T620" t="s">
        <v>732</v>
      </c>
      <c r="U620" t="s">
        <v>415</v>
      </c>
      <c r="V620" t="s">
        <v>23</v>
      </c>
      <c r="W620" t="s">
        <v>39</v>
      </c>
      <c r="X620" t="s">
        <v>24</v>
      </c>
      <c r="Y620" s="56">
        <f>IF(clean[[#This Row],[is_delivered]]="Yes",clean[[#This Row],[net_sales]],0 )</f>
        <v>200000</v>
      </c>
    </row>
    <row r="621" spans="1:25">
      <c r="A621" t="s">
        <v>2036</v>
      </c>
      <c r="B621" s="9">
        <v>45746</v>
      </c>
      <c r="C621" t="s">
        <v>650</v>
      </c>
      <c r="D621" t="s">
        <v>787</v>
      </c>
      <c r="E621">
        <v>4</v>
      </c>
      <c r="F621" s="56">
        <v>200000</v>
      </c>
      <c r="G621" s="56">
        <v>800000</v>
      </c>
      <c r="H621" t="s">
        <v>872</v>
      </c>
      <c r="I621" s="56">
        <v>0</v>
      </c>
      <c r="J621" s="56">
        <v>10000</v>
      </c>
      <c r="K621" s="56">
        <v>810000</v>
      </c>
      <c r="L621" t="s">
        <v>884</v>
      </c>
      <c r="M621" t="s">
        <v>903</v>
      </c>
      <c r="N621" t="s">
        <v>875</v>
      </c>
      <c r="O621" s="57">
        <v>45717</v>
      </c>
      <c r="P621" t="s">
        <v>877</v>
      </c>
      <c r="Q621" s="56">
        <v>800000</v>
      </c>
      <c r="R621" t="s">
        <v>788</v>
      </c>
      <c r="S621" t="s">
        <v>731</v>
      </c>
      <c r="T621" t="s">
        <v>732</v>
      </c>
      <c r="U621" t="s">
        <v>651</v>
      </c>
      <c r="V621" t="s">
        <v>23</v>
      </c>
      <c r="W621" t="s">
        <v>20</v>
      </c>
      <c r="X621" t="s">
        <v>9</v>
      </c>
      <c r="Y621" s="56">
        <f>IF(clean[[#This Row],[is_delivered]]="Yes",clean[[#This Row],[net_sales]],0 )</f>
        <v>800000</v>
      </c>
    </row>
    <row r="622" spans="1:25">
      <c r="A622" t="s">
        <v>2087</v>
      </c>
      <c r="B622" s="9">
        <v>45746</v>
      </c>
      <c r="C622" t="s">
        <v>268</v>
      </c>
      <c r="D622" t="s">
        <v>833</v>
      </c>
      <c r="E622">
        <v>2</v>
      </c>
      <c r="F622" s="56">
        <v>200000</v>
      </c>
      <c r="G622" s="56">
        <v>400000</v>
      </c>
      <c r="H622" t="s">
        <v>872</v>
      </c>
      <c r="I622" s="56">
        <v>0</v>
      </c>
      <c r="J622" s="56">
        <v>10000</v>
      </c>
      <c r="K622" s="56">
        <v>410000</v>
      </c>
      <c r="L622" t="s">
        <v>889</v>
      </c>
      <c r="M622" t="s">
        <v>903</v>
      </c>
      <c r="N622" t="s">
        <v>875</v>
      </c>
      <c r="O622" s="57">
        <v>45717</v>
      </c>
      <c r="P622" t="s">
        <v>877</v>
      </c>
      <c r="Q622" s="56">
        <v>400000</v>
      </c>
      <c r="R622" t="s">
        <v>834</v>
      </c>
      <c r="S622" t="s">
        <v>727</v>
      </c>
      <c r="T622" t="s">
        <v>728</v>
      </c>
      <c r="U622" t="s">
        <v>269</v>
      </c>
      <c r="V622" t="s">
        <v>7</v>
      </c>
      <c r="W622" t="s">
        <v>8</v>
      </c>
      <c r="X622" t="s">
        <v>9</v>
      </c>
      <c r="Y622" s="56">
        <f>IF(clean[[#This Row],[is_delivered]]="Yes",clean[[#This Row],[net_sales]],0 )</f>
        <v>400000</v>
      </c>
    </row>
    <row r="623" spans="1:25">
      <c r="A623" t="s">
        <v>871</v>
      </c>
      <c r="B623" s="9">
        <v>45745</v>
      </c>
      <c r="C623" t="s">
        <v>340</v>
      </c>
      <c r="D623" t="s">
        <v>833</v>
      </c>
      <c r="E623">
        <v>2</v>
      </c>
      <c r="F623" s="56">
        <v>200000</v>
      </c>
      <c r="G623" s="56">
        <v>400000</v>
      </c>
      <c r="H623" t="s">
        <v>872</v>
      </c>
      <c r="I623" s="56">
        <v>0</v>
      </c>
      <c r="J623" s="56">
        <v>10000</v>
      </c>
      <c r="K623" s="56">
        <v>410000</v>
      </c>
      <c r="L623" t="s">
        <v>873</v>
      </c>
      <c r="M623" t="s">
        <v>874</v>
      </c>
      <c r="N623" t="s">
        <v>875</v>
      </c>
      <c r="O623" s="57">
        <v>45717</v>
      </c>
      <c r="P623" t="s">
        <v>877</v>
      </c>
      <c r="Q623" s="56">
        <v>400000</v>
      </c>
      <c r="R623" t="s">
        <v>834</v>
      </c>
      <c r="S623" t="s">
        <v>727</v>
      </c>
      <c r="T623" t="s">
        <v>728</v>
      </c>
      <c r="U623" t="s">
        <v>341</v>
      </c>
      <c r="V623" t="s">
        <v>7</v>
      </c>
      <c r="W623" t="s">
        <v>46</v>
      </c>
      <c r="X623" t="s">
        <v>24</v>
      </c>
      <c r="Y623" s="56">
        <f>IF(clean[[#This Row],[is_delivered]]="Yes",clean[[#This Row],[net_sales]],0 )</f>
        <v>400000</v>
      </c>
    </row>
    <row r="624" spans="1:25">
      <c r="A624" t="s">
        <v>1078</v>
      </c>
      <c r="B624" s="9">
        <v>45745</v>
      </c>
      <c r="C624" t="s">
        <v>606</v>
      </c>
      <c r="D624" t="s">
        <v>855</v>
      </c>
      <c r="E624">
        <v>1</v>
      </c>
      <c r="F624" s="56">
        <v>150000</v>
      </c>
      <c r="G624" s="56">
        <v>150000</v>
      </c>
      <c r="H624" t="s">
        <v>886</v>
      </c>
      <c r="I624" s="56">
        <v>15000</v>
      </c>
      <c r="J624" s="56">
        <v>30000</v>
      </c>
      <c r="K624" s="56">
        <v>165000</v>
      </c>
      <c r="L624" t="s">
        <v>889</v>
      </c>
      <c r="M624" t="s">
        <v>881</v>
      </c>
      <c r="N624" t="s">
        <v>875</v>
      </c>
      <c r="O624" s="57">
        <v>45717</v>
      </c>
      <c r="P624" t="s">
        <v>877</v>
      </c>
      <c r="Q624" s="56">
        <v>135000</v>
      </c>
      <c r="R624" t="s">
        <v>856</v>
      </c>
      <c r="S624" t="s">
        <v>747</v>
      </c>
      <c r="T624" t="s">
        <v>748</v>
      </c>
      <c r="U624" t="s">
        <v>607</v>
      </c>
      <c r="V624" t="s">
        <v>23</v>
      </c>
      <c r="W624" t="s">
        <v>46</v>
      </c>
      <c r="X624" t="s">
        <v>24</v>
      </c>
      <c r="Y624" s="56">
        <f>IF(clean[[#This Row],[is_delivered]]="Yes",clean[[#This Row],[net_sales]],0 )</f>
        <v>135000</v>
      </c>
    </row>
    <row r="625" spans="1:25">
      <c r="A625" t="s">
        <v>1432</v>
      </c>
      <c r="B625" s="9">
        <v>45745</v>
      </c>
      <c r="C625" t="s">
        <v>624</v>
      </c>
      <c r="D625" t="s">
        <v>815</v>
      </c>
      <c r="E625">
        <v>1</v>
      </c>
      <c r="F625" s="56">
        <v>75000</v>
      </c>
      <c r="G625" s="56">
        <v>75000</v>
      </c>
      <c r="H625" t="s">
        <v>895</v>
      </c>
      <c r="I625" s="56">
        <v>11250</v>
      </c>
      <c r="J625" s="56">
        <v>20000</v>
      </c>
      <c r="K625" s="56">
        <v>83750</v>
      </c>
      <c r="L625" t="s">
        <v>873</v>
      </c>
      <c r="M625" t="s">
        <v>874</v>
      </c>
      <c r="N625" t="s">
        <v>875</v>
      </c>
      <c r="O625" s="57">
        <v>45717</v>
      </c>
      <c r="P625" t="s">
        <v>877</v>
      </c>
      <c r="Q625" s="56">
        <v>63750</v>
      </c>
      <c r="R625" t="s">
        <v>816</v>
      </c>
      <c r="S625" t="s">
        <v>739</v>
      </c>
      <c r="T625" t="s">
        <v>740</v>
      </c>
      <c r="U625" t="s">
        <v>625</v>
      </c>
      <c r="V625" t="s">
        <v>7</v>
      </c>
      <c r="W625" t="s">
        <v>56</v>
      </c>
      <c r="X625" t="s">
        <v>9</v>
      </c>
      <c r="Y625" s="56">
        <f>IF(clean[[#This Row],[is_delivered]]="Yes",clean[[#This Row],[net_sales]],0 )</f>
        <v>63750</v>
      </c>
    </row>
    <row r="626" spans="1:25">
      <c r="A626" t="s">
        <v>1527</v>
      </c>
      <c r="B626" s="9">
        <v>45745</v>
      </c>
      <c r="C626" t="s">
        <v>426</v>
      </c>
      <c r="D626" t="s">
        <v>767</v>
      </c>
      <c r="E626">
        <v>4</v>
      </c>
      <c r="F626" s="56">
        <v>150000</v>
      </c>
      <c r="G626" s="56">
        <v>600000</v>
      </c>
      <c r="H626" t="s">
        <v>872</v>
      </c>
      <c r="I626" s="56">
        <v>0</v>
      </c>
      <c r="J626" s="56">
        <v>30000</v>
      </c>
      <c r="K626" s="56">
        <v>630000</v>
      </c>
      <c r="L626" t="s">
        <v>873</v>
      </c>
      <c r="M626" t="s">
        <v>874</v>
      </c>
      <c r="N626" t="s">
        <v>875</v>
      </c>
      <c r="O626" s="57">
        <v>45717</v>
      </c>
      <c r="P626" t="s">
        <v>877</v>
      </c>
      <c r="Q626" s="56">
        <v>600000</v>
      </c>
      <c r="R626" t="s">
        <v>768</v>
      </c>
      <c r="S626" t="s">
        <v>739</v>
      </c>
      <c r="T626" t="s">
        <v>740</v>
      </c>
      <c r="U626" t="s">
        <v>427</v>
      </c>
      <c r="V626" t="s">
        <v>7</v>
      </c>
      <c r="W626" t="s">
        <v>20</v>
      </c>
      <c r="X626" t="s">
        <v>9</v>
      </c>
      <c r="Y626" s="56">
        <f>IF(clean[[#This Row],[is_delivered]]="Yes",clean[[#This Row],[net_sales]],0 )</f>
        <v>600000</v>
      </c>
    </row>
    <row r="627" spans="1:25">
      <c r="A627" t="s">
        <v>1567</v>
      </c>
      <c r="B627" s="9">
        <v>45745</v>
      </c>
      <c r="C627" t="s">
        <v>452</v>
      </c>
      <c r="D627" t="s">
        <v>725</v>
      </c>
      <c r="E627">
        <v>4</v>
      </c>
      <c r="F627" s="56">
        <v>300000</v>
      </c>
      <c r="G627" s="56">
        <v>1200000</v>
      </c>
      <c r="H627" t="s">
        <v>895</v>
      </c>
      <c r="I627" s="56">
        <v>180000</v>
      </c>
      <c r="J627" s="56">
        <v>15000</v>
      </c>
      <c r="K627" s="56">
        <v>1035000</v>
      </c>
      <c r="L627" t="s">
        <v>884</v>
      </c>
      <c r="M627" t="s">
        <v>901</v>
      </c>
      <c r="N627" t="s">
        <v>875</v>
      </c>
      <c r="O627" s="57">
        <v>45717</v>
      </c>
      <c r="P627" t="s">
        <v>877</v>
      </c>
      <c r="Q627" s="56">
        <v>1020000</v>
      </c>
      <c r="R627" t="s">
        <v>726</v>
      </c>
      <c r="S627" t="s">
        <v>727</v>
      </c>
      <c r="T627" t="s">
        <v>728</v>
      </c>
      <c r="U627" t="s">
        <v>453</v>
      </c>
      <c r="V627" t="s">
        <v>7</v>
      </c>
      <c r="W627" t="s">
        <v>36</v>
      </c>
      <c r="X627" t="s">
        <v>9</v>
      </c>
      <c r="Y627" s="56">
        <f>IF(clean[[#This Row],[is_delivered]]="Yes",clean[[#This Row],[net_sales]],0 )</f>
        <v>1020000</v>
      </c>
    </row>
    <row r="628" spans="1:25">
      <c r="A628" t="s">
        <v>1759</v>
      </c>
      <c r="B628" s="9">
        <v>45745</v>
      </c>
      <c r="C628" t="s">
        <v>406</v>
      </c>
      <c r="D628" t="s">
        <v>831</v>
      </c>
      <c r="E628">
        <v>1</v>
      </c>
      <c r="F628" s="56">
        <v>300000</v>
      </c>
      <c r="G628" s="56">
        <v>300000</v>
      </c>
      <c r="H628" t="s">
        <v>883</v>
      </c>
      <c r="I628" s="56">
        <v>30000</v>
      </c>
      <c r="J628" s="56">
        <v>30000</v>
      </c>
      <c r="K628" s="56">
        <v>300000</v>
      </c>
      <c r="L628" t="s">
        <v>873</v>
      </c>
      <c r="M628" t="s">
        <v>881</v>
      </c>
      <c r="N628" t="s">
        <v>890</v>
      </c>
      <c r="O628" s="57">
        <v>45717</v>
      </c>
      <c r="P628" t="s">
        <v>892</v>
      </c>
      <c r="Q628" s="56">
        <v>270000</v>
      </c>
      <c r="R628" t="s">
        <v>832</v>
      </c>
      <c r="S628" t="s">
        <v>747</v>
      </c>
      <c r="T628" t="s">
        <v>748</v>
      </c>
      <c r="U628" t="s">
        <v>407</v>
      </c>
      <c r="V628" t="s">
        <v>7</v>
      </c>
      <c r="W628" t="s">
        <v>39</v>
      </c>
      <c r="X628" t="s">
        <v>15</v>
      </c>
      <c r="Y628" s="56">
        <f>IF(clean[[#This Row],[is_delivered]]="Yes",clean[[#This Row],[net_sales]],0 )</f>
        <v>0</v>
      </c>
    </row>
    <row r="629" spans="1:25">
      <c r="A629" t="s">
        <v>1958</v>
      </c>
      <c r="B629" s="9">
        <v>45745</v>
      </c>
      <c r="C629" t="s">
        <v>536</v>
      </c>
      <c r="D629" t="s">
        <v>839</v>
      </c>
      <c r="E629">
        <v>1</v>
      </c>
      <c r="F629" s="56">
        <v>200000</v>
      </c>
      <c r="G629" s="56">
        <v>200000</v>
      </c>
      <c r="H629" t="s">
        <v>872</v>
      </c>
      <c r="I629" s="56">
        <v>0</v>
      </c>
      <c r="J629" s="56">
        <v>15000</v>
      </c>
      <c r="K629" s="56">
        <v>215000</v>
      </c>
      <c r="L629" t="s">
        <v>884</v>
      </c>
      <c r="M629" t="s">
        <v>901</v>
      </c>
      <c r="N629" t="s">
        <v>875</v>
      </c>
      <c r="O629" s="57">
        <v>45717</v>
      </c>
      <c r="P629" t="s">
        <v>877</v>
      </c>
      <c r="Q629" s="56">
        <v>200000</v>
      </c>
      <c r="R629" t="s">
        <v>840</v>
      </c>
      <c r="S629" t="s">
        <v>739</v>
      </c>
      <c r="T629" t="s">
        <v>740</v>
      </c>
      <c r="U629" t="s">
        <v>537</v>
      </c>
      <c r="V629" t="s">
        <v>7</v>
      </c>
      <c r="W629" t="s">
        <v>36</v>
      </c>
      <c r="X629" t="s">
        <v>9</v>
      </c>
      <c r="Y629" s="56">
        <f>IF(clean[[#This Row],[is_delivered]]="Yes",clean[[#This Row],[net_sales]],0 )</f>
        <v>200000</v>
      </c>
    </row>
    <row r="630" spans="1:25">
      <c r="A630" t="s">
        <v>976</v>
      </c>
      <c r="B630" s="9">
        <v>45744</v>
      </c>
      <c r="C630" t="s">
        <v>614</v>
      </c>
      <c r="D630" t="s">
        <v>823</v>
      </c>
      <c r="E630">
        <v>3</v>
      </c>
      <c r="F630" s="56">
        <v>500000</v>
      </c>
      <c r="G630" s="56">
        <v>1500000</v>
      </c>
      <c r="H630" t="s">
        <v>872</v>
      </c>
      <c r="I630" s="56">
        <v>0</v>
      </c>
      <c r="J630" s="56">
        <v>10000</v>
      </c>
      <c r="K630" s="56">
        <v>1510000</v>
      </c>
      <c r="L630" t="s">
        <v>889</v>
      </c>
      <c r="M630" t="s">
        <v>901</v>
      </c>
      <c r="N630" t="s">
        <v>921</v>
      </c>
      <c r="O630" s="57">
        <v>45717</v>
      </c>
      <c r="P630" t="s">
        <v>892</v>
      </c>
      <c r="Q630" s="56">
        <v>1500000</v>
      </c>
      <c r="R630" t="s">
        <v>824</v>
      </c>
      <c r="S630" t="s">
        <v>731</v>
      </c>
      <c r="T630" t="s">
        <v>732</v>
      </c>
      <c r="U630" t="s">
        <v>615</v>
      </c>
      <c r="V630" t="s">
        <v>23</v>
      </c>
      <c r="W630" t="s">
        <v>51</v>
      </c>
      <c r="X630" t="s">
        <v>9</v>
      </c>
      <c r="Y630" s="56">
        <f>IF(clean[[#This Row],[is_delivered]]="Yes",clean[[#This Row],[net_sales]],0 )</f>
        <v>0</v>
      </c>
    </row>
    <row r="631" spans="1:25">
      <c r="A631" t="s">
        <v>1325</v>
      </c>
      <c r="B631" s="9">
        <v>45744</v>
      </c>
      <c r="C631" t="s">
        <v>370</v>
      </c>
      <c r="D631" t="s">
        <v>845</v>
      </c>
      <c r="E631">
        <v>1</v>
      </c>
      <c r="F631" s="56">
        <v>300000</v>
      </c>
      <c r="G631" s="56">
        <v>300000</v>
      </c>
      <c r="H631" t="s">
        <v>872</v>
      </c>
      <c r="I631" s="56">
        <v>0</v>
      </c>
      <c r="J631" s="56">
        <v>10000</v>
      </c>
      <c r="K631" s="56">
        <v>310000</v>
      </c>
      <c r="L631" t="s">
        <v>873</v>
      </c>
      <c r="M631" t="s">
        <v>881</v>
      </c>
      <c r="N631" t="s">
        <v>875</v>
      </c>
      <c r="O631" s="57">
        <v>45717</v>
      </c>
      <c r="P631" t="s">
        <v>877</v>
      </c>
      <c r="Q631" s="56">
        <v>300000</v>
      </c>
      <c r="R631" t="s">
        <v>846</v>
      </c>
      <c r="S631" t="s">
        <v>727</v>
      </c>
      <c r="T631" t="s">
        <v>728</v>
      </c>
      <c r="U631" t="s">
        <v>371</v>
      </c>
      <c r="V631" t="s">
        <v>23</v>
      </c>
      <c r="W631" t="s">
        <v>36</v>
      </c>
      <c r="X631" t="s">
        <v>15</v>
      </c>
      <c r="Y631" s="56">
        <f>IF(clean[[#This Row],[is_delivered]]="Yes",clean[[#This Row],[net_sales]],0 )</f>
        <v>300000</v>
      </c>
    </row>
    <row r="632" spans="1:25">
      <c r="A632" t="s">
        <v>1381</v>
      </c>
      <c r="B632" s="9">
        <v>45744</v>
      </c>
      <c r="C632" t="s">
        <v>302</v>
      </c>
      <c r="D632" t="s">
        <v>749</v>
      </c>
      <c r="E632">
        <v>3</v>
      </c>
      <c r="F632" s="56">
        <v>150000</v>
      </c>
      <c r="G632" s="56">
        <v>450000</v>
      </c>
      <c r="H632" t="s">
        <v>886</v>
      </c>
      <c r="I632" s="56">
        <v>45000</v>
      </c>
      <c r="J632" s="56">
        <v>25000</v>
      </c>
      <c r="K632" s="56">
        <v>430000</v>
      </c>
      <c r="L632" t="s">
        <v>889</v>
      </c>
      <c r="M632" t="s">
        <v>901</v>
      </c>
      <c r="N632" t="s">
        <v>875</v>
      </c>
      <c r="O632" s="57">
        <v>45717</v>
      </c>
      <c r="P632" t="s">
        <v>877</v>
      </c>
      <c r="Q632" s="56">
        <v>405000</v>
      </c>
      <c r="R632" t="s">
        <v>750</v>
      </c>
      <c r="S632" t="s">
        <v>727</v>
      </c>
      <c r="T632" t="s">
        <v>728</v>
      </c>
      <c r="U632" t="s">
        <v>303</v>
      </c>
      <c r="V632" t="s">
        <v>23</v>
      </c>
      <c r="W632" t="s">
        <v>20</v>
      </c>
      <c r="X632" t="s">
        <v>24</v>
      </c>
      <c r="Y632" s="56">
        <f>IF(clean[[#This Row],[is_delivered]]="Yes",clean[[#This Row],[net_sales]],0 )</f>
        <v>405000</v>
      </c>
    </row>
    <row r="633" spans="1:25">
      <c r="A633" t="s">
        <v>1434</v>
      </c>
      <c r="B633" s="9">
        <v>45744</v>
      </c>
      <c r="C633" t="s">
        <v>314</v>
      </c>
      <c r="D633" t="s">
        <v>809</v>
      </c>
      <c r="E633">
        <v>3</v>
      </c>
      <c r="F633" s="56">
        <v>100000</v>
      </c>
      <c r="G633" s="56">
        <v>300000</v>
      </c>
      <c r="H633" t="s">
        <v>872</v>
      </c>
      <c r="I633" s="56">
        <v>0</v>
      </c>
      <c r="J633" s="56">
        <v>15000</v>
      </c>
      <c r="K633" s="56">
        <v>315000</v>
      </c>
      <c r="L633" t="s">
        <v>884</v>
      </c>
      <c r="M633" t="s">
        <v>901</v>
      </c>
      <c r="N633" t="s">
        <v>875</v>
      </c>
      <c r="O633" s="57">
        <v>45717</v>
      </c>
      <c r="P633" t="s">
        <v>877</v>
      </c>
      <c r="Q633" s="56">
        <v>300000</v>
      </c>
      <c r="R633" t="s">
        <v>810</v>
      </c>
      <c r="S633" t="s">
        <v>727</v>
      </c>
      <c r="T633" t="s">
        <v>728</v>
      </c>
      <c r="U633" t="s">
        <v>315</v>
      </c>
      <c r="V633" t="s">
        <v>23</v>
      </c>
      <c r="W633" t="s">
        <v>56</v>
      </c>
      <c r="X633" t="s">
        <v>9</v>
      </c>
      <c r="Y633" s="56">
        <f>IF(clean[[#This Row],[is_delivered]]="Yes",clean[[#This Row],[net_sales]],0 )</f>
        <v>300000</v>
      </c>
    </row>
    <row r="634" spans="1:25">
      <c r="A634" t="s">
        <v>1470</v>
      </c>
      <c r="B634" s="9">
        <v>45744</v>
      </c>
      <c r="C634" t="s">
        <v>129</v>
      </c>
      <c r="D634" t="s">
        <v>833</v>
      </c>
      <c r="E634">
        <v>2</v>
      </c>
      <c r="F634" s="56">
        <v>200000</v>
      </c>
      <c r="G634" s="56">
        <v>400000</v>
      </c>
      <c r="H634" t="s">
        <v>872</v>
      </c>
      <c r="I634" s="56">
        <v>0</v>
      </c>
      <c r="J634" s="56">
        <v>30000</v>
      </c>
      <c r="K634" s="56">
        <v>430000</v>
      </c>
      <c r="L634" t="s">
        <v>884</v>
      </c>
      <c r="M634" t="s">
        <v>901</v>
      </c>
      <c r="N634" t="s">
        <v>875</v>
      </c>
      <c r="O634" s="57">
        <v>45717</v>
      </c>
      <c r="P634" t="s">
        <v>877</v>
      </c>
      <c r="Q634" s="56">
        <v>400000</v>
      </c>
      <c r="R634" t="s">
        <v>834</v>
      </c>
      <c r="S634" t="s">
        <v>727</v>
      </c>
      <c r="T634" t="s">
        <v>728</v>
      </c>
      <c r="U634" t="s">
        <v>130</v>
      </c>
      <c r="V634" t="s">
        <v>23</v>
      </c>
      <c r="W634" t="s">
        <v>8</v>
      </c>
      <c r="X634" t="s">
        <v>24</v>
      </c>
      <c r="Y634" s="56">
        <f>IF(clean[[#This Row],[is_delivered]]="Yes",clean[[#This Row],[net_sales]],0 )</f>
        <v>400000</v>
      </c>
    </row>
    <row r="635" spans="1:25">
      <c r="A635" t="s">
        <v>1556</v>
      </c>
      <c r="B635" s="9">
        <v>45744</v>
      </c>
      <c r="C635" t="s">
        <v>420</v>
      </c>
      <c r="D635" t="s">
        <v>769</v>
      </c>
      <c r="E635">
        <v>2</v>
      </c>
      <c r="F635" s="56">
        <v>100000</v>
      </c>
      <c r="G635" s="56">
        <v>200000</v>
      </c>
      <c r="H635" t="s">
        <v>886</v>
      </c>
      <c r="I635" s="56">
        <v>20000</v>
      </c>
      <c r="J635" s="56">
        <v>15000</v>
      </c>
      <c r="K635" s="56">
        <v>195000</v>
      </c>
      <c r="L635" t="s">
        <v>880</v>
      </c>
      <c r="M635" t="s">
        <v>881</v>
      </c>
      <c r="N635" t="s">
        <v>905</v>
      </c>
      <c r="O635" s="57">
        <v>45717</v>
      </c>
      <c r="P635" t="s">
        <v>892</v>
      </c>
      <c r="Q635" s="56">
        <v>180000</v>
      </c>
      <c r="R635" t="s">
        <v>770</v>
      </c>
      <c r="S635" t="s">
        <v>743</v>
      </c>
      <c r="T635" t="s">
        <v>744</v>
      </c>
      <c r="U635" t="s">
        <v>421</v>
      </c>
      <c r="V635" t="s">
        <v>7</v>
      </c>
      <c r="W635" t="s">
        <v>137</v>
      </c>
      <c r="X635" t="s">
        <v>24</v>
      </c>
      <c r="Y635" s="56">
        <f>IF(clean[[#This Row],[is_delivered]]="Yes",clean[[#This Row],[net_sales]],0 )</f>
        <v>0</v>
      </c>
    </row>
    <row r="636" spans="1:25">
      <c r="A636" t="s">
        <v>1702</v>
      </c>
      <c r="B636" s="9">
        <v>45744</v>
      </c>
      <c r="C636" t="s">
        <v>410</v>
      </c>
      <c r="D636" t="s">
        <v>839</v>
      </c>
      <c r="E636">
        <v>4</v>
      </c>
      <c r="F636" s="56">
        <v>200000</v>
      </c>
      <c r="G636" s="56">
        <v>800000</v>
      </c>
      <c r="H636" t="s">
        <v>872</v>
      </c>
      <c r="I636" s="56">
        <v>0</v>
      </c>
      <c r="J636" s="56">
        <v>20000</v>
      </c>
      <c r="K636" s="56">
        <v>820000</v>
      </c>
      <c r="L636" t="s">
        <v>880</v>
      </c>
      <c r="M636" t="s">
        <v>901</v>
      </c>
      <c r="N636" t="s">
        <v>875</v>
      </c>
      <c r="O636" s="57">
        <v>45717</v>
      </c>
      <c r="P636" t="s">
        <v>877</v>
      </c>
      <c r="Q636" s="56">
        <v>800000</v>
      </c>
      <c r="R636" t="s">
        <v>840</v>
      </c>
      <c r="S636" t="s">
        <v>739</v>
      </c>
      <c r="T636" t="s">
        <v>740</v>
      </c>
      <c r="U636" t="s">
        <v>411</v>
      </c>
      <c r="V636" t="s">
        <v>7</v>
      </c>
      <c r="W636" t="s">
        <v>46</v>
      </c>
      <c r="X636" t="s">
        <v>9</v>
      </c>
      <c r="Y636" s="56">
        <f>IF(clean[[#This Row],[is_delivered]]="Yes",clean[[#This Row],[net_sales]],0 )</f>
        <v>800000</v>
      </c>
    </row>
    <row r="637" spans="1:25">
      <c r="A637" t="s">
        <v>2077</v>
      </c>
      <c r="B637" s="9">
        <v>45744</v>
      </c>
      <c r="C637" t="s">
        <v>59</v>
      </c>
      <c r="D637" t="s">
        <v>845</v>
      </c>
      <c r="E637">
        <v>2</v>
      </c>
      <c r="F637" s="56">
        <v>300000</v>
      </c>
      <c r="G637" s="56">
        <v>600000</v>
      </c>
      <c r="H637" t="s">
        <v>872</v>
      </c>
      <c r="I637" s="56">
        <v>0</v>
      </c>
      <c r="J637" s="56">
        <v>15000</v>
      </c>
      <c r="K637" s="56">
        <v>615000</v>
      </c>
      <c r="L637" t="s">
        <v>880</v>
      </c>
      <c r="M637" t="s">
        <v>881</v>
      </c>
      <c r="N637" t="s">
        <v>875</v>
      </c>
      <c r="O637" s="57">
        <v>45717</v>
      </c>
      <c r="P637" t="s">
        <v>877</v>
      </c>
      <c r="Q637" s="56">
        <v>600000</v>
      </c>
      <c r="R637" t="s">
        <v>846</v>
      </c>
      <c r="S637" t="s">
        <v>727</v>
      </c>
      <c r="T637" t="s">
        <v>728</v>
      </c>
      <c r="U637" t="s">
        <v>60</v>
      </c>
      <c r="V637" t="s">
        <v>7</v>
      </c>
      <c r="W637" t="s">
        <v>39</v>
      </c>
      <c r="X637" t="s">
        <v>15</v>
      </c>
      <c r="Y637" s="56">
        <f>IF(clean[[#This Row],[is_delivered]]="Yes",clean[[#This Row],[net_sales]],0 )</f>
        <v>600000</v>
      </c>
    </row>
    <row r="638" spans="1:25">
      <c r="A638" t="s">
        <v>2085</v>
      </c>
      <c r="B638" s="9">
        <v>45744</v>
      </c>
      <c r="C638" t="s">
        <v>578</v>
      </c>
      <c r="D638" t="s">
        <v>803</v>
      </c>
      <c r="E638">
        <v>4</v>
      </c>
      <c r="F638" s="56">
        <v>50000</v>
      </c>
      <c r="G638" s="56">
        <v>200000</v>
      </c>
      <c r="H638" t="s">
        <v>886</v>
      </c>
      <c r="I638" s="56">
        <v>20000</v>
      </c>
      <c r="J638" s="56">
        <v>30000</v>
      </c>
      <c r="K638" s="56">
        <v>210000</v>
      </c>
      <c r="L638" t="s">
        <v>880</v>
      </c>
      <c r="M638" t="s">
        <v>903</v>
      </c>
      <c r="N638" t="s">
        <v>890</v>
      </c>
      <c r="O638" s="57">
        <v>45717</v>
      </c>
      <c r="P638" t="s">
        <v>892</v>
      </c>
      <c r="Q638" s="56">
        <v>180000</v>
      </c>
      <c r="R638" t="s">
        <v>804</v>
      </c>
      <c r="S638" t="s">
        <v>739</v>
      </c>
      <c r="T638" t="s">
        <v>740</v>
      </c>
      <c r="U638" t="s">
        <v>579</v>
      </c>
      <c r="V638" t="s">
        <v>23</v>
      </c>
      <c r="W638" t="s">
        <v>56</v>
      </c>
      <c r="X638" t="s">
        <v>24</v>
      </c>
      <c r="Y638" s="56">
        <f>IF(clean[[#This Row],[is_delivered]]="Yes",clean[[#This Row],[net_sales]],0 )</f>
        <v>0</v>
      </c>
    </row>
    <row r="639" spans="1:25">
      <c r="A639" t="s">
        <v>1204</v>
      </c>
      <c r="B639" s="9">
        <v>45743</v>
      </c>
      <c r="C639" t="s">
        <v>624</v>
      </c>
      <c r="D639" t="s">
        <v>737</v>
      </c>
      <c r="E639">
        <v>2</v>
      </c>
      <c r="F639" s="56">
        <v>300000</v>
      </c>
      <c r="G639" s="56">
        <v>600000</v>
      </c>
      <c r="H639" t="s">
        <v>895</v>
      </c>
      <c r="I639" s="56">
        <v>90000</v>
      </c>
      <c r="J639" s="56">
        <v>30000</v>
      </c>
      <c r="K639" s="56">
        <v>540000</v>
      </c>
      <c r="L639" t="s">
        <v>873</v>
      </c>
      <c r="M639" t="s">
        <v>874</v>
      </c>
      <c r="N639" t="s">
        <v>875</v>
      </c>
      <c r="O639" s="57">
        <v>45717</v>
      </c>
      <c r="P639" t="s">
        <v>877</v>
      </c>
      <c r="Q639" s="56">
        <v>510000</v>
      </c>
      <c r="R639" t="s">
        <v>738</v>
      </c>
      <c r="S639" t="s">
        <v>739</v>
      </c>
      <c r="T639" t="s">
        <v>740</v>
      </c>
      <c r="U639" t="s">
        <v>625</v>
      </c>
      <c r="V639" t="s">
        <v>7</v>
      </c>
      <c r="W639" t="s">
        <v>56</v>
      </c>
      <c r="X639" t="s">
        <v>9</v>
      </c>
      <c r="Y639" s="56">
        <f>IF(clean[[#This Row],[is_delivered]]="Yes",clean[[#This Row],[net_sales]],0 )</f>
        <v>510000</v>
      </c>
    </row>
    <row r="640" spans="1:25">
      <c r="A640" t="s">
        <v>1515</v>
      </c>
      <c r="B640" s="9">
        <v>45743</v>
      </c>
      <c r="C640" t="s">
        <v>316</v>
      </c>
      <c r="D640" t="s">
        <v>823</v>
      </c>
      <c r="E640">
        <v>1</v>
      </c>
      <c r="F640" s="56">
        <v>500000</v>
      </c>
      <c r="G640" s="56">
        <v>500000</v>
      </c>
      <c r="H640" t="s">
        <v>886</v>
      </c>
      <c r="I640" s="56">
        <v>50000</v>
      </c>
      <c r="J640" s="56">
        <v>10000</v>
      </c>
      <c r="K640" s="56">
        <v>460000</v>
      </c>
      <c r="L640" t="s">
        <v>880</v>
      </c>
      <c r="M640" t="s">
        <v>881</v>
      </c>
      <c r="N640" t="s">
        <v>875</v>
      </c>
      <c r="O640" s="57">
        <v>45717</v>
      </c>
      <c r="P640" t="s">
        <v>877</v>
      </c>
      <c r="Q640" s="56">
        <v>450000</v>
      </c>
      <c r="R640" t="s">
        <v>824</v>
      </c>
      <c r="S640" t="s">
        <v>731</v>
      </c>
      <c r="T640" t="s">
        <v>732</v>
      </c>
      <c r="U640" t="s">
        <v>317</v>
      </c>
      <c r="V640" t="s">
        <v>23</v>
      </c>
      <c r="W640" t="s">
        <v>46</v>
      </c>
      <c r="X640" t="s">
        <v>9</v>
      </c>
      <c r="Y640" s="56">
        <f>IF(clean[[#This Row],[is_delivered]]="Yes",clean[[#This Row],[net_sales]],0 )</f>
        <v>450000</v>
      </c>
    </row>
    <row r="641" spans="1:25">
      <c r="A641" t="s">
        <v>1784</v>
      </c>
      <c r="B641" s="9">
        <v>45743</v>
      </c>
      <c r="C641" t="s">
        <v>474</v>
      </c>
      <c r="D641" t="s">
        <v>769</v>
      </c>
      <c r="E641">
        <v>3</v>
      </c>
      <c r="F641" s="56">
        <v>100000</v>
      </c>
      <c r="G641" s="56">
        <v>300000</v>
      </c>
      <c r="H641" t="s">
        <v>872</v>
      </c>
      <c r="I641" s="56">
        <v>0</v>
      </c>
      <c r="J641" s="56">
        <v>20000</v>
      </c>
      <c r="K641" s="56">
        <v>320000</v>
      </c>
      <c r="L641" t="s">
        <v>884</v>
      </c>
      <c r="M641" t="s">
        <v>901</v>
      </c>
      <c r="N641" t="s">
        <v>905</v>
      </c>
      <c r="O641" s="57">
        <v>45717</v>
      </c>
      <c r="P641" t="s">
        <v>892</v>
      </c>
      <c r="Q641" s="56">
        <v>300000</v>
      </c>
      <c r="R641" t="s">
        <v>770</v>
      </c>
      <c r="S641" t="s">
        <v>743</v>
      </c>
      <c r="T641" t="s">
        <v>744</v>
      </c>
      <c r="U641" t="s">
        <v>475</v>
      </c>
      <c r="V641" t="s">
        <v>7</v>
      </c>
      <c r="W641" t="s">
        <v>46</v>
      </c>
      <c r="X641" t="s">
        <v>9</v>
      </c>
      <c r="Y641" s="56">
        <f>IF(clean[[#This Row],[is_delivered]]="Yes",clean[[#This Row],[net_sales]],0 )</f>
        <v>0</v>
      </c>
    </row>
    <row r="642" spans="1:25">
      <c r="A642" t="s">
        <v>1880</v>
      </c>
      <c r="B642" s="9">
        <v>45743</v>
      </c>
      <c r="C642" t="s">
        <v>274</v>
      </c>
      <c r="D642" t="s">
        <v>787</v>
      </c>
      <c r="E642">
        <v>3</v>
      </c>
      <c r="F642" s="56">
        <v>200000</v>
      </c>
      <c r="G642" s="56">
        <v>600000</v>
      </c>
      <c r="H642" t="s">
        <v>872</v>
      </c>
      <c r="I642" s="56">
        <v>0</v>
      </c>
      <c r="J642" s="56">
        <v>30000</v>
      </c>
      <c r="K642" s="56">
        <v>630000</v>
      </c>
      <c r="L642" t="s">
        <v>889</v>
      </c>
      <c r="M642" t="s">
        <v>901</v>
      </c>
      <c r="N642" t="s">
        <v>875</v>
      </c>
      <c r="O642" s="57">
        <v>45717</v>
      </c>
      <c r="P642" t="s">
        <v>877</v>
      </c>
      <c r="Q642" s="56">
        <v>600000</v>
      </c>
      <c r="R642" t="s">
        <v>788</v>
      </c>
      <c r="S642" t="s">
        <v>731</v>
      </c>
      <c r="T642" t="s">
        <v>732</v>
      </c>
      <c r="U642" t="s">
        <v>275</v>
      </c>
      <c r="V642" t="s">
        <v>7</v>
      </c>
      <c r="W642" t="s">
        <v>8</v>
      </c>
      <c r="X642" t="s">
        <v>9</v>
      </c>
      <c r="Y642" s="56">
        <f>IF(clean[[#This Row],[is_delivered]]="Yes",clean[[#This Row],[net_sales]],0 )</f>
        <v>600000</v>
      </c>
    </row>
    <row r="643" spans="1:25">
      <c r="A643" t="s">
        <v>2070</v>
      </c>
      <c r="B643" s="9">
        <v>45743</v>
      </c>
      <c r="C643" t="s">
        <v>40</v>
      </c>
      <c r="D643" t="s">
        <v>845</v>
      </c>
      <c r="E643">
        <v>1</v>
      </c>
      <c r="F643" s="56">
        <v>300000</v>
      </c>
      <c r="G643" s="56">
        <v>300000</v>
      </c>
      <c r="H643" t="s">
        <v>879</v>
      </c>
      <c r="I643" s="56">
        <v>60000</v>
      </c>
      <c r="J643" s="56">
        <v>30000</v>
      </c>
      <c r="K643" s="56">
        <v>270000</v>
      </c>
      <c r="L643" t="s">
        <v>884</v>
      </c>
      <c r="M643" t="s">
        <v>903</v>
      </c>
      <c r="N643" t="s">
        <v>890</v>
      </c>
      <c r="O643" s="57">
        <v>45717</v>
      </c>
      <c r="P643" t="s">
        <v>892</v>
      </c>
      <c r="Q643" s="56">
        <v>240000</v>
      </c>
      <c r="R643" t="s">
        <v>846</v>
      </c>
      <c r="S643" t="s">
        <v>727</v>
      </c>
      <c r="T643" t="s">
        <v>728</v>
      </c>
      <c r="U643" t="s">
        <v>41</v>
      </c>
      <c r="V643" t="s">
        <v>7</v>
      </c>
      <c r="W643" t="s">
        <v>36</v>
      </c>
      <c r="X643" t="s">
        <v>15</v>
      </c>
      <c r="Y643" s="56">
        <f>IF(clean[[#This Row],[is_delivered]]="Yes",clean[[#This Row],[net_sales]],0 )</f>
        <v>0</v>
      </c>
    </row>
    <row r="644" spans="1:25">
      <c r="A644" t="s">
        <v>1137</v>
      </c>
      <c r="B644" s="9">
        <v>45742</v>
      </c>
      <c r="C644" t="s">
        <v>27</v>
      </c>
      <c r="D644" t="s">
        <v>791</v>
      </c>
      <c r="E644">
        <v>2</v>
      </c>
      <c r="F644" s="56">
        <v>50000</v>
      </c>
      <c r="G644" s="56">
        <v>100000</v>
      </c>
      <c r="H644" t="s">
        <v>872</v>
      </c>
      <c r="I644" s="56">
        <v>0</v>
      </c>
      <c r="J644" s="56">
        <v>20000</v>
      </c>
      <c r="K644" s="56">
        <v>120000</v>
      </c>
      <c r="L644" t="s">
        <v>884</v>
      </c>
      <c r="M644" t="s">
        <v>881</v>
      </c>
      <c r="N644" t="s">
        <v>875</v>
      </c>
      <c r="O644" s="57">
        <v>45717</v>
      </c>
      <c r="P644" t="s">
        <v>877</v>
      </c>
      <c r="Q644" s="56">
        <v>100000</v>
      </c>
      <c r="R644" t="s">
        <v>792</v>
      </c>
      <c r="S644" t="s">
        <v>739</v>
      </c>
      <c r="T644" t="s">
        <v>740</v>
      </c>
      <c r="U644" t="s">
        <v>28</v>
      </c>
      <c r="V644" t="s">
        <v>7</v>
      </c>
      <c r="W644" t="s">
        <v>29</v>
      </c>
      <c r="X644" t="s">
        <v>9</v>
      </c>
      <c r="Y644" s="56">
        <f>IF(clean[[#This Row],[is_delivered]]="Yes",clean[[#This Row],[net_sales]],0 )</f>
        <v>100000</v>
      </c>
    </row>
    <row r="645" spans="1:25">
      <c r="A645" t="s">
        <v>1366</v>
      </c>
      <c r="B645" s="9">
        <v>45742</v>
      </c>
      <c r="C645" t="s">
        <v>396</v>
      </c>
      <c r="D645" t="s">
        <v>797</v>
      </c>
      <c r="E645">
        <v>1</v>
      </c>
      <c r="F645" s="56">
        <v>150000</v>
      </c>
      <c r="G645" s="56">
        <v>150000</v>
      </c>
      <c r="H645" t="s">
        <v>872</v>
      </c>
      <c r="I645" s="56">
        <v>0</v>
      </c>
      <c r="J645" s="56">
        <v>15000</v>
      </c>
      <c r="K645" s="56">
        <v>165000</v>
      </c>
      <c r="L645" t="s">
        <v>873</v>
      </c>
      <c r="M645" t="s">
        <v>881</v>
      </c>
      <c r="N645" t="s">
        <v>921</v>
      </c>
      <c r="O645" s="57">
        <v>45717</v>
      </c>
      <c r="P645" t="s">
        <v>892</v>
      </c>
      <c r="Q645" s="56">
        <v>150000</v>
      </c>
      <c r="R645" t="s">
        <v>798</v>
      </c>
      <c r="S645" t="s">
        <v>727</v>
      </c>
      <c r="T645" t="s">
        <v>728</v>
      </c>
      <c r="U645" t="s">
        <v>397</v>
      </c>
      <c r="V645" t="s">
        <v>7</v>
      </c>
      <c r="W645" t="s">
        <v>36</v>
      </c>
      <c r="X645" t="s">
        <v>9</v>
      </c>
      <c r="Y645" s="56">
        <f>IF(clean[[#This Row],[is_delivered]]="Yes",clean[[#This Row],[net_sales]],0 )</f>
        <v>0</v>
      </c>
    </row>
    <row r="646" spans="1:25">
      <c r="A646" t="s">
        <v>1592</v>
      </c>
      <c r="B646" s="9">
        <v>45742</v>
      </c>
      <c r="C646" t="s">
        <v>115</v>
      </c>
      <c r="D646" t="s">
        <v>829</v>
      </c>
      <c r="E646">
        <v>3</v>
      </c>
      <c r="F646" s="56">
        <v>500000</v>
      </c>
      <c r="G646" s="56">
        <v>1500000</v>
      </c>
      <c r="H646" t="s">
        <v>872</v>
      </c>
      <c r="I646" s="56">
        <v>0</v>
      </c>
      <c r="J646" s="56">
        <v>30000</v>
      </c>
      <c r="K646" s="56">
        <v>1530000</v>
      </c>
      <c r="L646" t="s">
        <v>880</v>
      </c>
      <c r="M646" t="s">
        <v>901</v>
      </c>
      <c r="N646" t="s">
        <v>911</v>
      </c>
      <c r="O646" s="57">
        <v>45717</v>
      </c>
      <c r="P646" t="s">
        <v>892</v>
      </c>
      <c r="Q646" s="56">
        <v>1500000</v>
      </c>
      <c r="R646" t="s">
        <v>830</v>
      </c>
      <c r="S646" t="s">
        <v>743</v>
      </c>
      <c r="T646" t="s">
        <v>744</v>
      </c>
      <c r="U646" t="s">
        <v>116</v>
      </c>
      <c r="V646" t="s">
        <v>23</v>
      </c>
      <c r="W646" t="s">
        <v>46</v>
      </c>
      <c r="X646" t="s">
        <v>24</v>
      </c>
      <c r="Y646" s="56">
        <f>IF(clean[[#This Row],[is_delivered]]="Yes",clean[[#This Row],[net_sales]],0 )</f>
        <v>0</v>
      </c>
    </row>
    <row r="647" spans="1:25">
      <c r="A647" t="s">
        <v>1614</v>
      </c>
      <c r="B647" s="9">
        <v>45742</v>
      </c>
      <c r="C647" t="s">
        <v>564</v>
      </c>
      <c r="D647" t="s">
        <v>767</v>
      </c>
      <c r="E647">
        <v>2</v>
      </c>
      <c r="F647" s="56">
        <v>150000</v>
      </c>
      <c r="G647" s="56">
        <v>300000</v>
      </c>
      <c r="H647" t="s">
        <v>872</v>
      </c>
      <c r="I647" s="56">
        <v>0</v>
      </c>
      <c r="J647" s="56">
        <v>15000</v>
      </c>
      <c r="K647" s="56">
        <v>315000</v>
      </c>
      <c r="L647" t="s">
        <v>880</v>
      </c>
      <c r="M647" t="s">
        <v>903</v>
      </c>
      <c r="N647" t="s">
        <v>875</v>
      </c>
      <c r="O647" s="57">
        <v>45717</v>
      </c>
      <c r="P647" t="s">
        <v>877</v>
      </c>
      <c r="Q647" s="56">
        <v>300000</v>
      </c>
      <c r="R647" t="s">
        <v>768</v>
      </c>
      <c r="S647" t="s">
        <v>739</v>
      </c>
      <c r="T647" t="s">
        <v>740</v>
      </c>
      <c r="U647" t="s">
        <v>565</v>
      </c>
      <c r="V647" t="s">
        <v>23</v>
      </c>
      <c r="W647" t="s">
        <v>46</v>
      </c>
      <c r="X647" t="s">
        <v>15</v>
      </c>
      <c r="Y647" s="56">
        <f>IF(clean[[#This Row],[is_delivered]]="Yes",clean[[#This Row],[net_sales]],0 )</f>
        <v>300000</v>
      </c>
    </row>
    <row r="648" spans="1:25">
      <c r="A648" t="s">
        <v>1649</v>
      </c>
      <c r="B648" s="9">
        <v>45742</v>
      </c>
      <c r="C648" t="s">
        <v>552</v>
      </c>
      <c r="D648" t="s">
        <v>741</v>
      </c>
      <c r="E648">
        <v>1</v>
      </c>
      <c r="F648" s="56">
        <v>75000</v>
      </c>
      <c r="G648" s="56">
        <v>75000</v>
      </c>
      <c r="H648" t="s">
        <v>886</v>
      </c>
      <c r="I648" s="56">
        <v>7500</v>
      </c>
      <c r="J648" s="56">
        <v>30000</v>
      </c>
      <c r="K648" s="56">
        <v>97500</v>
      </c>
      <c r="L648" t="s">
        <v>884</v>
      </c>
      <c r="M648" t="s">
        <v>881</v>
      </c>
      <c r="N648" t="s">
        <v>875</v>
      </c>
      <c r="O648" s="57">
        <v>45717</v>
      </c>
      <c r="P648" t="s">
        <v>877</v>
      </c>
      <c r="Q648" s="56">
        <v>67500</v>
      </c>
      <c r="R648" t="s">
        <v>742</v>
      </c>
      <c r="S648" t="s">
        <v>743</v>
      </c>
      <c r="T648" t="s">
        <v>744</v>
      </c>
      <c r="U648" t="s">
        <v>553</v>
      </c>
      <c r="V648" t="s">
        <v>7</v>
      </c>
      <c r="W648" t="s">
        <v>46</v>
      </c>
      <c r="X648" t="s">
        <v>24</v>
      </c>
      <c r="Y648" s="56">
        <f>IF(clean[[#This Row],[is_delivered]]="Yes",clean[[#This Row],[net_sales]],0 )</f>
        <v>67500</v>
      </c>
    </row>
    <row r="649" spans="1:25">
      <c r="A649" t="s">
        <v>1962</v>
      </c>
      <c r="B649" s="9">
        <v>45742</v>
      </c>
      <c r="C649" t="s">
        <v>296</v>
      </c>
      <c r="D649" t="s">
        <v>813</v>
      </c>
      <c r="E649">
        <v>1</v>
      </c>
      <c r="F649" s="56">
        <v>35000</v>
      </c>
      <c r="G649" s="56">
        <v>35000</v>
      </c>
      <c r="H649" t="s">
        <v>872</v>
      </c>
      <c r="I649" s="56">
        <v>0</v>
      </c>
      <c r="J649" s="56">
        <v>15000</v>
      </c>
      <c r="K649" s="56">
        <v>50000</v>
      </c>
      <c r="L649" t="s">
        <v>884</v>
      </c>
      <c r="M649" t="s">
        <v>903</v>
      </c>
      <c r="N649" t="s">
        <v>875</v>
      </c>
      <c r="O649" s="57">
        <v>45717</v>
      </c>
      <c r="P649" t="s">
        <v>877</v>
      </c>
      <c r="Q649" s="56">
        <v>35000</v>
      </c>
      <c r="R649" t="s">
        <v>814</v>
      </c>
      <c r="S649" t="s">
        <v>735</v>
      </c>
      <c r="T649" t="s">
        <v>736</v>
      </c>
      <c r="U649" t="s">
        <v>297</v>
      </c>
      <c r="V649" t="s">
        <v>7</v>
      </c>
      <c r="W649" t="s">
        <v>137</v>
      </c>
      <c r="X649" t="s">
        <v>24</v>
      </c>
      <c r="Y649" s="56">
        <f>IF(clean[[#This Row],[is_delivered]]="Yes",clean[[#This Row],[net_sales]],0 )</f>
        <v>35000</v>
      </c>
    </row>
    <row r="650" spans="1:25">
      <c r="A650" t="s">
        <v>1189</v>
      </c>
      <c r="B650" s="9">
        <v>45741</v>
      </c>
      <c r="C650" t="s">
        <v>194</v>
      </c>
      <c r="D650" t="s">
        <v>835</v>
      </c>
      <c r="E650">
        <v>3</v>
      </c>
      <c r="F650" s="56">
        <v>200000</v>
      </c>
      <c r="G650" s="56">
        <v>600000</v>
      </c>
      <c r="H650" t="s">
        <v>872</v>
      </c>
      <c r="I650" s="56">
        <v>0</v>
      </c>
      <c r="J650" s="56">
        <v>30000</v>
      </c>
      <c r="K650" s="56">
        <v>630000</v>
      </c>
      <c r="L650" t="s">
        <v>873</v>
      </c>
      <c r="M650" t="s">
        <v>901</v>
      </c>
      <c r="N650" t="s">
        <v>905</v>
      </c>
      <c r="O650" s="57">
        <v>45717</v>
      </c>
      <c r="P650" t="s">
        <v>892</v>
      </c>
      <c r="Q650" s="56">
        <v>600000</v>
      </c>
      <c r="R650" t="s">
        <v>836</v>
      </c>
      <c r="S650" t="s">
        <v>731</v>
      </c>
      <c r="T650" t="s">
        <v>732</v>
      </c>
      <c r="U650" t="s">
        <v>195</v>
      </c>
      <c r="V650" t="s">
        <v>7</v>
      </c>
      <c r="W650" t="s">
        <v>36</v>
      </c>
      <c r="X650" t="s">
        <v>24</v>
      </c>
      <c r="Y650" s="56">
        <f>IF(clean[[#This Row],[is_delivered]]="Yes",clean[[#This Row],[net_sales]],0 )</f>
        <v>0</v>
      </c>
    </row>
    <row r="651" spans="1:25">
      <c r="A651" t="s">
        <v>1098</v>
      </c>
      <c r="B651" s="9">
        <v>45741</v>
      </c>
      <c r="C651" t="s">
        <v>580</v>
      </c>
      <c r="D651" t="s">
        <v>815</v>
      </c>
      <c r="E651">
        <v>3</v>
      </c>
      <c r="F651" s="56">
        <v>75000</v>
      </c>
      <c r="G651" s="56">
        <v>225000</v>
      </c>
      <c r="H651" t="s">
        <v>895</v>
      </c>
      <c r="I651" s="56">
        <v>33750</v>
      </c>
      <c r="J651" s="56">
        <v>20000</v>
      </c>
      <c r="K651" s="56">
        <v>211250</v>
      </c>
      <c r="L651" t="s">
        <v>884</v>
      </c>
      <c r="M651" t="s">
        <v>874</v>
      </c>
      <c r="N651" t="s">
        <v>911</v>
      </c>
      <c r="O651" s="57">
        <v>45717</v>
      </c>
      <c r="P651" t="s">
        <v>892</v>
      </c>
      <c r="Q651" s="56">
        <v>191250</v>
      </c>
      <c r="R651" t="s">
        <v>816</v>
      </c>
      <c r="S651" t="s">
        <v>739</v>
      </c>
      <c r="T651" t="s">
        <v>740</v>
      </c>
      <c r="U651" t="s">
        <v>581</v>
      </c>
      <c r="V651" t="s">
        <v>7</v>
      </c>
      <c r="W651" t="s">
        <v>20</v>
      </c>
      <c r="X651" t="s">
        <v>24</v>
      </c>
      <c r="Y651" s="56">
        <f>IF(clean[[#This Row],[is_delivered]]="Yes",clean[[#This Row],[net_sales]],0 )</f>
        <v>0</v>
      </c>
    </row>
    <row r="652" spans="1:25">
      <c r="A652" t="s">
        <v>1326</v>
      </c>
      <c r="B652" s="9">
        <v>45741</v>
      </c>
      <c r="C652" t="s">
        <v>250</v>
      </c>
      <c r="D652" t="s">
        <v>779</v>
      </c>
      <c r="E652">
        <v>2</v>
      </c>
      <c r="F652" s="56">
        <v>150000</v>
      </c>
      <c r="G652" s="56">
        <v>300000</v>
      </c>
      <c r="H652" t="s">
        <v>895</v>
      </c>
      <c r="I652" s="56">
        <v>45000</v>
      </c>
      <c r="J652" s="56">
        <v>15000</v>
      </c>
      <c r="K652" s="56">
        <v>270000</v>
      </c>
      <c r="L652" t="s">
        <v>884</v>
      </c>
      <c r="M652" t="s">
        <v>903</v>
      </c>
      <c r="N652" t="s">
        <v>890</v>
      </c>
      <c r="O652" s="57">
        <v>45717</v>
      </c>
      <c r="P652" t="s">
        <v>892</v>
      </c>
      <c r="Q652" s="56">
        <v>255000</v>
      </c>
      <c r="R652" t="s">
        <v>780</v>
      </c>
      <c r="S652" t="s">
        <v>739</v>
      </c>
      <c r="T652" t="s">
        <v>740</v>
      </c>
      <c r="U652" t="s">
        <v>251</v>
      </c>
      <c r="V652" t="s">
        <v>23</v>
      </c>
      <c r="W652" t="s">
        <v>36</v>
      </c>
      <c r="X652" t="s">
        <v>9</v>
      </c>
      <c r="Y652" s="56">
        <f>IF(clean[[#This Row],[is_delivered]]="Yes",clean[[#This Row],[net_sales]],0 )</f>
        <v>0</v>
      </c>
    </row>
    <row r="653" spans="1:25">
      <c r="A653" t="s">
        <v>1464</v>
      </c>
      <c r="B653" s="9">
        <v>45741</v>
      </c>
      <c r="C653" t="s">
        <v>188</v>
      </c>
      <c r="D653" t="s">
        <v>841</v>
      </c>
      <c r="E653">
        <v>3</v>
      </c>
      <c r="F653" s="56">
        <v>75000</v>
      </c>
      <c r="G653" s="56">
        <v>225000</v>
      </c>
      <c r="H653" t="s">
        <v>895</v>
      </c>
      <c r="I653" s="56">
        <v>33750</v>
      </c>
      <c r="J653" s="56">
        <v>20000</v>
      </c>
      <c r="K653" s="56">
        <v>211250</v>
      </c>
      <c r="L653" t="s">
        <v>880</v>
      </c>
      <c r="M653" t="s">
        <v>903</v>
      </c>
      <c r="N653" t="s">
        <v>875</v>
      </c>
      <c r="O653" s="57">
        <v>45717</v>
      </c>
      <c r="P653" t="s">
        <v>877</v>
      </c>
      <c r="Q653" s="56">
        <v>191250</v>
      </c>
      <c r="R653" t="s">
        <v>842</v>
      </c>
      <c r="S653" t="s">
        <v>743</v>
      </c>
      <c r="T653" t="s">
        <v>744</v>
      </c>
      <c r="U653" t="s">
        <v>189</v>
      </c>
      <c r="V653" t="s">
        <v>23</v>
      </c>
      <c r="W653" t="s">
        <v>137</v>
      </c>
      <c r="X653" t="s">
        <v>9</v>
      </c>
      <c r="Y653" s="56">
        <f>IF(clean[[#This Row],[is_delivered]]="Yes",clean[[#This Row],[net_sales]],0 )</f>
        <v>191250</v>
      </c>
    </row>
    <row r="654" spans="1:25">
      <c r="A654" t="s">
        <v>1482</v>
      </c>
      <c r="B654" s="9">
        <v>45741</v>
      </c>
      <c r="C654" t="s">
        <v>276</v>
      </c>
      <c r="D654" t="s">
        <v>843</v>
      </c>
      <c r="E654">
        <v>4</v>
      </c>
      <c r="F654" s="56">
        <v>100000</v>
      </c>
      <c r="G654" s="56">
        <v>400000</v>
      </c>
      <c r="H654" t="s">
        <v>872</v>
      </c>
      <c r="I654" s="56">
        <v>0</v>
      </c>
      <c r="J654" s="56">
        <v>10000</v>
      </c>
      <c r="K654" s="56">
        <v>410000</v>
      </c>
      <c r="L654" t="s">
        <v>889</v>
      </c>
      <c r="M654" t="s">
        <v>903</v>
      </c>
      <c r="N654" t="s">
        <v>875</v>
      </c>
      <c r="O654" s="57">
        <v>45717</v>
      </c>
      <c r="P654" t="s">
        <v>877</v>
      </c>
      <c r="Q654" s="56">
        <v>400000</v>
      </c>
      <c r="R654" t="s">
        <v>844</v>
      </c>
      <c r="S654" t="s">
        <v>747</v>
      </c>
      <c r="T654" t="s">
        <v>748</v>
      </c>
      <c r="U654" t="s">
        <v>277</v>
      </c>
      <c r="V654" t="s">
        <v>7</v>
      </c>
      <c r="W654" t="s">
        <v>137</v>
      </c>
      <c r="X654" t="s">
        <v>15</v>
      </c>
      <c r="Y654" s="56">
        <f>IF(clean[[#This Row],[is_delivered]]="Yes",clean[[#This Row],[net_sales]],0 )</f>
        <v>400000</v>
      </c>
    </row>
    <row r="655" spans="1:25">
      <c r="A655" t="s">
        <v>1581</v>
      </c>
      <c r="B655" s="9">
        <v>45741</v>
      </c>
      <c r="C655" t="s">
        <v>196</v>
      </c>
      <c r="D655" t="s">
        <v>765</v>
      </c>
      <c r="E655">
        <v>2</v>
      </c>
      <c r="F655" s="56">
        <v>500000</v>
      </c>
      <c r="G655" s="56">
        <v>1000000</v>
      </c>
      <c r="H655" t="s">
        <v>886</v>
      </c>
      <c r="I655" s="56">
        <v>100000</v>
      </c>
      <c r="J655" s="56">
        <v>15000</v>
      </c>
      <c r="K655" s="56">
        <v>915000</v>
      </c>
      <c r="L655" t="s">
        <v>884</v>
      </c>
      <c r="M655" t="s">
        <v>901</v>
      </c>
      <c r="N655" t="s">
        <v>875</v>
      </c>
      <c r="O655" s="57">
        <v>45717</v>
      </c>
      <c r="P655" t="s">
        <v>877</v>
      </c>
      <c r="Q655" s="56">
        <v>900000</v>
      </c>
      <c r="R655" t="s">
        <v>766</v>
      </c>
      <c r="S655" t="s">
        <v>735</v>
      </c>
      <c r="T655" t="s">
        <v>736</v>
      </c>
      <c r="U655" t="s">
        <v>197</v>
      </c>
      <c r="V655" t="s">
        <v>7</v>
      </c>
      <c r="W655" t="s">
        <v>36</v>
      </c>
      <c r="X655" t="s">
        <v>15</v>
      </c>
      <c r="Y655" s="56">
        <f>IF(clean[[#This Row],[is_delivered]]="Yes",clean[[#This Row],[net_sales]],0 )</f>
        <v>900000</v>
      </c>
    </row>
    <row r="656" spans="1:25">
      <c r="A656" t="s">
        <v>1719</v>
      </c>
      <c r="B656" s="9">
        <v>45741</v>
      </c>
      <c r="C656" t="s">
        <v>107</v>
      </c>
      <c r="D656" t="s">
        <v>823</v>
      </c>
      <c r="E656">
        <v>1</v>
      </c>
      <c r="F656" s="56">
        <v>500000</v>
      </c>
      <c r="G656" s="56">
        <v>500000</v>
      </c>
      <c r="H656" t="s">
        <v>895</v>
      </c>
      <c r="I656" s="56">
        <v>75000</v>
      </c>
      <c r="J656" s="56">
        <v>15000</v>
      </c>
      <c r="K656" s="56">
        <v>440000</v>
      </c>
      <c r="L656" t="s">
        <v>880</v>
      </c>
      <c r="M656" t="s">
        <v>874</v>
      </c>
      <c r="N656" t="s">
        <v>875</v>
      </c>
      <c r="O656" s="57">
        <v>45717</v>
      </c>
      <c r="P656" t="s">
        <v>877</v>
      </c>
      <c r="Q656" s="56">
        <v>425000</v>
      </c>
      <c r="R656" t="s">
        <v>824</v>
      </c>
      <c r="S656" t="s">
        <v>731</v>
      </c>
      <c r="T656" t="s">
        <v>732</v>
      </c>
      <c r="U656" t="s">
        <v>108</v>
      </c>
      <c r="V656" t="s">
        <v>23</v>
      </c>
      <c r="W656" t="s">
        <v>12</v>
      </c>
      <c r="X656" t="s">
        <v>24</v>
      </c>
      <c r="Y656" s="56">
        <f>IF(clean[[#This Row],[is_delivered]]="Yes",clean[[#This Row],[net_sales]],0 )</f>
        <v>425000</v>
      </c>
    </row>
    <row r="657" spans="1:25">
      <c r="A657" t="s">
        <v>1732</v>
      </c>
      <c r="B657" s="9">
        <v>45741</v>
      </c>
      <c r="C657" t="s">
        <v>121</v>
      </c>
      <c r="D657" t="s">
        <v>733</v>
      </c>
      <c r="E657">
        <v>1</v>
      </c>
      <c r="F657" s="56">
        <v>150000</v>
      </c>
      <c r="G657" s="56">
        <v>150000</v>
      </c>
      <c r="H657" t="s">
        <v>872</v>
      </c>
      <c r="I657" s="56">
        <v>0</v>
      </c>
      <c r="J657" s="56">
        <v>30000</v>
      </c>
      <c r="K657" s="56">
        <v>180000</v>
      </c>
      <c r="L657" t="s">
        <v>884</v>
      </c>
      <c r="M657" t="s">
        <v>901</v>
      </c>
      <c r="N657" t="s">
        <v>875</v>
      </c>
      <c r="O657" s="57">
        <v>45717</v>
      </c>
      <c r="P657" t="s">
        <v>877</v>
      </c>
      <c r="Q657" s="56">
        <v>150000</v>
      </c>
      <c r="R657" t="s">
        <v>734</v>
      </c>
      <c r="S657" t="s">
        <v>735</v>
      </c>
      <c r="T657" t="s">
        <v>736</v>
      </c>
      <c r="U657" t="s">
        <v>122</v>
      </c>
      <c r="V657" t="s">
        <v>7</v>
      </c>
      <c r="W657" t="s">
        <v>36</v>
      </c>
      <c r="X657" t="s">
        <v>9</v>
      </c>
      <c r="Y657" s="56">
        <f>IF(clean[[#This Row],[is_delivered]]="Yes",clean[[#This Row],[net_sales]],0 )</f>
        <v>150000</v>
      </c>
    </row>
    <row r="658" spans="1:25">
      <c r="A658" t="s">
        <v>1279</v>
      </c>
      <c r="B658" s="9">
        <v>45740</v>
      </c>
      <c r="C658" t="s">
        <v>67</v>
      </c>
      <c r="D658" t="s">
        <v>737</v>
      </c>
      <c r="E658">
        <v>2</v>
      </c>
      <c r="F658" s="56">
        <v>300000</v>
      </c>
      <c r="G658" s="56">
        <v>600000</v>
      </c>
      <c r="H658" t="s">
        <v>895</v>
      </c>
      <c r="I658" s="56">
        <v>90000</v>
      </c>
      <c r="J658" s="56">
        <v>20000</v>
      </c>
      <c r="K658" s="56">
        <v>530000</v>
      </c>
      <c r="L658" t="s">
        <v>873</v>
      </c>
      <c r="M658" t="s">
        <v>903</v>
      </c>
      <c r="N658" t="s">
        <v>875</v>
      </c>
      <c r="O658" s="57">
        <v>45717</v>
      </c>
      <c r="P658" t="s">
        <v>877</v>
      </c>
      <c r="Q658" s="56">
        <v>510000</v>
      </c>
      <c r="R658" t="s">
        <v>738</v>
      </c>
      <c r="S658" t="s">
        <v>739</v>
      </c>
      <c r="T658" t="s">
        <v>740</v>
      </c>
      <c r="U658" t="s">
        <v>68</v>
      </c>
      <c r="V658" t="s">
        <v>7</v>
      </c>
      <c r="W658" t="s">
        <v>56</v>
      </c>
      <c r="X658" t="s">
        <v>24</v>
      </c>
      <c r="Y658" s="56">
        <f>IF(clean[[#This Row],[is_delivered]]="Yes",clean[[#This Row],[net_sales]],0 )</f>
        <v>510000</v>
      </c>
    </row>
    <row r="659" spans="1:25">
      <c r="A659" t="s">
        <v>1971</v>
      </c>
      <c r="B659" s="9">
        <v>45740</v>
      </c>
      <c r="C659" t="s">
        <v>204</v>
      </c>
      <c r="D659" t="s">
        <v>841</v>
      </c>
      <c r="E659">
        <v>1</v>
      </c>
      <c r="F659" s="56">
        <v>75000</v>
      </c>
      <c r="G659" s="56">
        <v>75000</v>
      </c>
      <c r="H659" t="s">
        <v>872</v>
      </c>
      <c r="I659" s="56">
        <v>0</v>
      </c>
      <c r="J659" s="56">
        <v>30000</v>
      </c>
      <c r="K659" s="56">
        <v>105000</v>
      </c>
      <c r="L659" t="s">
        <v>889</v>
      </c>
      <c r="M659" t="s">
        <v>881</v>
      </c>
      <c r="N659" t="s">
        <v>875</v>
      </c>
      <c r="O659" s="57">
        <v>45717</v>
      </c>
      <c r="P659" t="s">
        <v>877</v>
      </c>
      <c r="Q659" s="56">
        <v>75000</v>
      </c>
      <c r="R659" t="s">
        <v>842</v>
      </c>
      <c r="S659" t="s">
        <v>743</v>
      </c>
      <c r="T659" t="s">
        <v>744</v>
      </c>
      <c r="U659" t="s">
        <v>205</v>
      </c>
      <c r="V659" t="s">
        <v>7</v>
      </c>
      <c r="W659" t="s">
        <v>56</v>
      </c>
      <c r="X659" t="s">
        <v>9</v>
      </c>
      <c r="Y659" s="56">
        <f>IF(clean[[#This Row],[is_delivered]]="Yes",clean[[#This Row],[net_sales]],0 )</f>
        <v>75000</v>
      </c>
    </row>
    <row r="660" spans="1:25">
      <c r="A660" t="s">
        <v>2003</v>
      </c>
      <c r="B660" s="9">
        <v>45740</v>
      </c>
      <c r="C660" t="s">
        <v>474</v>
      </c>
      <c r="D660" t="s">
        <v>837</v>
      </c>
      <c r="E660">
        <v>1</v>
      </c>
      <c r="F660" s="56">
        <v>300000</v>
      </c>
      <c r="G660" s="56">
        <v>300000</v>
      </c>
      <c r="H660" t="s">
        <v>872</v>
      </c>
      <c r="I660" s="56">
        <v>0</v>
      </c>
      <c r="J660" s="56">
        <v>30000</v>
      </c>
      <c r="K660" s="56">
        <v>330000</v>
      </c>
      <c r="L660" t="s">
        <v>884</v>
      </c>
      <c r="M660" t="s">
        <v>874</v>
      </c>
      <c r="N660" t="s">
        <v>875</v>
      </c>
      <c r="O660" s="57">
        <v>45717</v>
      </c>
      <c r="P660" t="s">
        <v>877</v>
      </c>
      <c r="Q660" s="56">
        <v>300000</v>
      </c>
      <c r="R660" t="s">
        <v>838</v>
      </c>
      <c r="S660" t="s">
        <v>735</v>
      </c>
      <c r="T660" t="s">
        <v>736</v>
      </c>
      <c r="U660" t="s">
        <v>475</v>
      </c>
      <c r="V660" t="s">
        <v>7</v>
      </c>
      <c r="W660" t="s">
        <v>46</v>
      </c>
      <c r="X660" t="s">
        <v>9</v>
      </c>
      <c r="Y660" s="56">
        <f>IF(clean[[#This Row],[is_delivered]]="Yes",clean[[#This Row],[net_sales]],0 )</f>
        <v>300000</v>
      </c>
    </row>
    <row r="661" spans="1:25">
      <c r="A661" t="s">
        <v>925</v>
      </c>
      <c r="B661" s="9">
        <v>45739</v>
      </c>
      <c r="C661" t="s">
        <v>464</v>
      </c>
      <c r="D661" t="s">
        <v>795</v>
      </c>
      <c r="E661">
        <v>2</v>
      </c>
      <c r="F661" s="56">
        <v>100000</v>
      </c>
      <c r="G661" s="56">
        <v>200000</v>
      </c>
      <c r="H661" t="s">
        <v>886</v>
      </c>
      <c r="I661" s="56">
        <v>20000</v>
      </c>
      <c r="J661" s="56">
        <v>20000</v>
      </c>
      <c r="K661" s="56">
        <v>200000</v>
      </c>
      <c r="L661" t="s">
        <v>884</v>
      </c>
      <c r="M661" t="s">
        <v>903</v>
      </c>
      <c r="N661" t="s">
        <v>905</v>
      </c>
      <c r="O661" s="57">
        <v>45717</v>
      </c>
      <c r="P661" t="s">
        <v>892</v>
      </c>
      <c r="Q661" s="56">
        <v>180000</v>
      </c>
      <c r="R661" t="s">
        <v>796</v>
      </c>
      <c r="S661" t="s">
        <v>747</v>
      </c>
      <c r="T661" t="s">
        <v>748</v>
      </c>
      <c r="U661" t="s">
        <v>465</v>
      </c>
      <c r="V661" t="s">
        <v>23</v>
      </c>
      <c r="W661" t="s">
        <v>12</v>
      </c>
      <c r="X661" t="s">
        <v>9</v>
      </c>
      <c r="Y661" s="56">
        <f>IF(clean[[#This Row],[is_delivered]]="Yes",clean[[#This Row],[net_sales]],0 )</f>
        <v>0</v>
      </c>
    </row>
    <row r="662" spans="1:25">
      <c r="A662" t="s">
        <v>1300</v>
      </c>
      <c r="B662" s="9">
        <v>45739</v>
      </c>
      <c r="C662" t="s">
        <v>684</v>
      </c>
      <c r="D662" t="s">
        <v>767</v>
      </c>
      <c r="E662">
        <v>1</v>
      </c>
      <c r="F662" s="56">
        <v>150000</v>
      </c>
      <c r="G662" s="56">
        <v>150000</v>
      </c>
      <c r="H662" t="s">
        <v>895</v>
      </c>
      <c r="I662" s="56">
        <v>22500</v>
      </c>
      <c r="J662" s="56">
        <v>10000</v>
      </c>
      <c r="K662" s="56">
        <v>137500</v>
      </c>
      <c r="L662" t="s">
        <v>884</v>
      </c>
      <c r="M662" t="s">
        <v>881</v>
      </c>
      <c r="N662" t="s">
        <v>875</v>
      </c>
      <c r="O662" s="57">
        <v>45717</v>
      </c>
      <c r="P662" t="s">
        <v>877</v>
      </c>
      <c r="Q662" s="56">
        <v>127500</v>
      </c>
      <c r="R662" t="s">
        <v>768</v>
      </c>
      <c r="S662" t="s">
        <v>739</v>
      </c>
      <c r="T662" t="s">
        <v>740</v>
      </c>
      <c r="U662" t="s">
        <v>685</v>
      </c>
      <c r="V662" t="s">
        <v>23</v>
      </c>
      <c r="W662" t="s">
        <v>46</v>
      </c>
      <c r="X662" t="s">
        <v>9</v>
      </c>
      <c r="Y662" s="56">
        <f>IF(clean[[#This Row],[is_delivered]]="Yes",clean[[#This Row],[net_sales]],0 )</f>
        <v>127500</v>
      </c>
    </row>
    <row r="663" spans="1:25">
      <c r="A663" t="s">
        <v>1364</v>
      </c>
      <c r="B663" s="9">
        <v>45739</v>
      </c>
      <c r="C663" t="s">
        <v>18</v>
      </c>
      <c r="D663" t="s">
        <v>775</v>
      </c>
      <c r="E663">
        <v>4</v>
      </c>
      <c r="F663" s="56">
        <v>75000</v>
      </c>
      <c r="G663" s="56">
        <v>300000</v>
      </c>
      <c r="H663" t="s">
        <v>872</v>
      </c>
      <c r="I663" s="56">
        <v>0</v>
      </c>
      <c r="J663" s="56">
        <v>25000</v>
      </c>
      <c r="K663" s="56">
        <v>325000</v>
      </c>
      <c r="L663" t="s">
        <v>884</v>
      </c>
      <c r="M663" t="s">
        <v>903</v>
      </c>
      <c r="N663" t="s">
        <v>890</v>
      </c>
      <c r="O663" s="57">
        <v>45717</v>
      </c>
      <c r="P663" t="s">
        <v>892</v>
      </c>
      <c r="Q663" s="56">
        <v>300000</v>
      </c>
      <c r="R663" t="s">
        <v>776</v>
      </c>
      <c r="S663" t="s">
        <v>731</v>
      </c>
      <c r="T663" t="s">
        <v>732</v>
      </c>
      <c r="U663" t="s">
        <v>19</v>
      </c>
      <c r="V663" t="s">
        <v>7</v>
      </c>
      <c r="W663" t="s">
        <v>20</v>
      </c>
      <c r="X663" t="s">
        <v>9</v>
      </c>
      <c r="Y663" s="56">
        <f>IF(clean[[#This Row],[is_delivered]]="Yes",clean[[#This Row],[net_sales]],0 )</f>
        <v>0</v>
      </c>
    </row>
    <row r="664" spans="1:25">
      <c r="A664" t="s">
        <v>1448</v>
      </c>
      <c r="B664" s="9">
        <v>45739</v>
      </c>
      <c r="C664" t="s">
        <v>168</v>
      </c>
      <c r="D664" t="s">
        <v>843</v>
      </c>
      <c r="E664">
        <v>2</v>
      </c>
      <c r="F664" s="56">
        <v>100000</v>
      </c>
      <c r="G664" s="56">
        <v>200000</v>
      </c>
      <c r="H664" t="s">
        <v>872</v>
      </c>
      <c r="I664" s="56">
        <v>0</v>
      </c>
      <c r="J664" s="56">
        <v>10000</v>
      </c>
      <c r="K664" s="56">
        <v>210000</v>
      </c>
      <c r="L664" t="s">
        <v>889</v>
      </c>
      <c r="M664" t="s">
        <v>881</v>
      </c>
      <c r="N664" t="s">
        <v>890</v>
      </c>
      <c r="O664" s="57">
        <v>45717</v>
      </c>
      <c r="P664" t="s">
        <v>892</v>
      </c>
      <c r="Q664" s="56">
        <v>200000</v>
      </c>
      <c r="R664" t="s">
        <v>844</v>
      </c>
      <c r="S664" t="s">
        <v>747</v>
      </c>
      <c r="T664" t="s">
        <v>748</v>
      </c>
      <c r="U664" t="s">
        <v>169</v>
      </c>
      <c r="V664" t="s">
        <v>7</v>
      </c>
      <c r="W664" t="s">
        <v>12</v>
      </c>
      <c r="X664" t="s">
        <v>24</v>
      </c>
      <c r="Y664" s="56">
        <f>IF(clean[[#This Row],[is_delivered]]="Yes",clean[[#This Row],[net_sales]],0 )</f>
        <v>0</v>
      </c>
    </row>
    <row r="665" spans="1:25">
      <c r="A665" t="s">
        <v>1749</v>
      </c>
      <c r="B665" s="9">
        <v>45739</v>
      </c>
      <c r="C665" t="s">
        <v>276</v>
      </c>
      <c r="D665" t="s">
        <v>795</v>
      </c>
      <c r="E665">
        <v>3</v>
      </c>
      <c r="F665" s="56">
        <v>100000</v>
      </c>
      <c r="G665" s="56">
        <v>300000</v>
      </c>
      <c r="H665" t="s">
        <v>872</v>
      </c>
      <c r="I665" s="56">
        <v>0</v>
      </c>
      <c r="J665" s="56">
        <v>25000</v>
      </c>
      <c r="K665" s="56">
        <v>325000</v>
      </c>
      <c r="L665" t="s">
        <v>880</v>
      </c>
      <c r="M665" t="s">
        <v>901</v>
      </c>
      <c r="N665" t="s">
        <v>875</v>
      </c>
      <c r="O665" s="57">
        <v>45717</v>
      </c>
      <c r="P665" t="s">
        <v>877</v>
      </c>
      <c r="Q665" s="56">
        <v>300000</v>
      </c>
      <c r="R665" t="s">
        <v>796</v>
      </c>
      <c r="S665" t="s">
        <v>747</v>
      </c>
      <c r="T665" t="s">
        <v>748</v>
      </c>
      <c r="U665" t="s">
        <v>277</v>
      </c>
      <c r="V665" t="s">
        <v>7</v>
      </c>
      <c r="W665" t="s">
        <v>137</v>
      </c>
      <c r="X665" t="s">
        <v>15</v>
      </c>
      <c r="Y665" s="56">
        <f>IF(clean[[#This Row],[is_delivered]]="Yes",clean[[#This Row],[net_sales]],0 )</f>
        <v>300000</v>
      </c>
    </row>
    <row r="666" spans="1:25">
      <c r="A666" t="s">
        <v>1758</v>
      </c>
      <c r="B666" s="9">
        <v>45739</v>
      </c>
      <c r="C666" t="s">
        <v>422</v>
      </c>
      <c r="D666" t="s">
        <v>783</v>
      </c>
      <c r="E666">
        <v>2</v>
      </c>
      <c r="F666" s="56">
        <v>500000</v>
      </c>
      <c r="G666" s="56">
        <v>1000000</v>
      </c>
      <c r="H666" t="s">
        <v>872</v>
      </c>
      <c r="I666" s="56">
        <v>0</v>
      </c>
      <c r="J666" s="56">
        <v>20000</v>
      </c>
      <c r="K666" s="56">
        <v>1020000</v>
      </c>
      <c r="L666" t="s">
        <v>873</v>
      </c>
      <c r="M666" t="s">
        <v>901</v>
      </c>
      <c r="N666" t="s">
        <v>875</v>
      </c>
      <c r="O666" s="57">
        <v>45717</v>
      </c>
      <c r="P666" t="s">
        <v>877</v>
      </c>
      <c r="Q666" s="56">
        <v>1000000</v>
      </c>
      <c r="R666" t="s">
        <v>784</v>
      </c>
      <c r="S666" t="s">
        <v>747</v>
      </c>
      <c r="T666" t="s">
        <v>748</v>
      </c>
      <c r="U666" t="s">
        <v>423</v>
      </c>
      <c r="V666" t="s">
        <v>23</v>
      </c>
      <c r="W666" t="s">
        <v>20</v>
      </c>
      <c r="X666" t="s">
        <v>9</v>
      </c>
      <c r="Y666" s="56">
        <f>IF(clean[[#This Row],[is_delivered]]="Yes",clean[[#This Row],[net_sales]],0 )</f>
        <v>1000000</v>
      </c>
    </row>
    <row r="667" spans="1:25">
      <c r="A667" t="s">
        <v>1798</v>
      </c>
      <c r="B667" s="9">
        <v>45739</v>
      </c>
      <c r="C667" t="s">
        <v>152</v>
      </c>
      <c r="D667" t="s">
        <v>755</v>
      </c>
      <c r="E667">
        <v>1</v>
      </c>
      <c r="F667" s="56">
        <v>50000</v>
      </c>
      <c r="G667" s="56">
        <v>50000</v>
      </c>
      <c r="H667" t="s">
        <v>872</v>
      </c>
      <c r="I667" s="56">
        <v>0</v>
      </c>
      <c r="J667" s="56">
        <v>10000</v>
      </c>
      <c r="K667" s="56">
        <v>60000</v>
      </c>
      <c r="L667" t="s">
        <v>889</v>
      </c>
      <c r="M667" t="s">
        <v>901</v>
      </c>
      <c r="N667" t="s">
        <v>905</v>
      </c>
      <c r="O667" s="57">
        <v>45717</v>
      </c>
      <c r="P667" t="s">
        <v>892</v>
      </c>
      <c r="Q667" s="56">
        <v>50000</v>
      </c>
      <c r="R667" t="s">
        <v>756</v>
      </c>
      <c r="S667" t="s">
        <v>739</v>
      </c>
      <c r="T667" t="s">
        <v>740</v>
      </c>
      <c r="U667" t="s">
        <v>153</v>
      </c>
      <c r="V667" t="s">
        <v>23</v>
      </c>
      <c r="W667" t="s">
        <v>56</v>
      </c>
      <c r="X667" t="s">
        <v>24</v>
      </c>
      <c r="Y667" s="56">
        <f>IF(clean[[#This Row],[is_delivered]]="Yes",clean[[#This Row],[net_sales]],0 )</f>
        <v>0</v>
      </c>
    </row>
    <row r="668" spans="1:25">
      <c r="A668" t="s">
        <v>2029</v>
      </c>
      <c r="B668" s="9">
        <v>45739</v>
      </c>
      <c r="C668" t="s">
        <v>234</v>
      </c>
      <c r="D668" t="s">
        <v>741</v>
      </c>
      <c r="E668">
        <v>1</v>
      </c>
      <c r="F668" s="56">
        <v>75000</v>
      </c>
      <c r="G668" s="56">
        <v>75000</v>
      </c>
      <c r="H668" t="s">
        <v>872</v>
      </c>
      <c r="I668" s="56">
        <v>0</v>
      </c>
      <c r="J668" s="56">
        <v>25000</v>
      </c>
      <c r="K668" s="56">
        <v>100000</v>
      </c>
      <c r="L668" t="s">
        <v>884</v>
      </c>
      <c r="M668" t="s">
        <v>881</v>
      </c>
      <c r="N668" t="s">
        <v>875</v>
      </c>
      <c r="O668" s="57">
        <v>45717</v>
      </c>
      <c r="P668" t="s">
        <v>877</v>
      </c>
      <c r="Q668" s="56">
        <v>75000</v>
      </c>
      <c r="R668" t="s">
        <v>742</v>
      </c>
      <c r="S668" t="s">
        <v>743</v>
      </c>
      <c r="T668" t="s">
        <v>744</v>
      </c>
      <c r="U668" t="s">
        <v>235</v>
      </c>
      <c r="V668" t="s">
        <v>7</v>
      </c>
      <c r="W668" t="s">
        <v>29</v>
      </c>
      <c r="X668" t="s">
        <v>9</v>
      </c>
      <c r="Y668" s="56">
        <f>IF(clean[[#This Row],[is_delivered]]="Yes",clean[[#This Row],[net_sales]],0 )</f>
        <v>75000</v>
      </c>
    </row>
    <row r="669" spans="1:25">
      <c r="A669" t="s">
        <v>878</v>
      </c>
      <c r="B669" s="9">
        <v>45738</v>
      </c>
      <c r="C669" t="s">
        <v>186</v>
      </c>
      <c r="D669" t="s">
        <v>817</v>
      </c>
      <c r="E669">
        <v>1</v>
      </c>
      <c r="F669" s="56">
        <v>75000</v>
      </c>
      <c r="G669" s="56">
        <v>75000</v>
      </c>
      <c r="H669" t="s">
        <v>879</v>
      </c>
      <c r="I669" s="56">
        <v>15000</v>
      </c>
      <c r="J669" s="56">
        <v>10000</v>
      </c>
      <c r="K669" s="56">
        <v>70000</v>
      </c>
      <c r="L669" t="s">
        <v>880</v>
      </c>
      <c r="M669" t="s">
        <v>881</v>
      </c>
      <c r="N669" t="s">
        <v>875</v>
      </c>
      <c r="O669" s="57">
        <v>45717</v>
      </c>
      <c r="P669" t="s">
        <v>877</v>
      </c>
      <c r="Q669" s="56">
        <v>60000</v>
      </c>
      <c r="R669" t="s">
        <v>818</v>
      </c>
      <c r="S669" t="s">
        <v>743</v>
      </c>
      <c r="T669" t="s">
        <v>744</v>
      </c>
      <c r="U669" t="s">
        <v>187</v>
      </c>
      <c r="V669" t="s">
        <v>23</v>
      </c>
      <c r="W669" t="s">
        <v>51</v>
      </c>
      <c r="X669" t="s">
        <v>9</v>
      </c>
      <c r="Y669" s="56">
        <f>IF(clean[[#This Row],[is_delivered]]="Yes",clean[[#This Row],[net_sales]],0 )</f>
        <v>60000</v>
      </c>
    </row>
    <row r="670" spans="1:25">
      <c r="A670" t="s">
        <v>1213</v>
      </c>
      <c r="B670" s="9">
        <v>45738</v>
      </c>
      <c r="C670" t="s">
        <v>560</v>
      </c>
      <c r="D670" t="s">
        <v>807</v>
      </c>
      <c r="E670">
        <v>2</v>
      </c>
      <c r="F670" s="56">
        <v>150000</v>
      </c>
      <c r="G670" s="56">
        <v>300000</v>
      </c>
      <c r="H670" t="s">
        <v>872</v>
      </c>
      <c r="I670" s="56">
        <v>0</v>
      </c>
      <c r="J670" s="56">
        <v>15000</v>
      </c>
      <c r="K670" s="56">
        <v>315000</v>
      </c>
      <c r="L670" t="s">
        <v>889</v>
      </c>
      <c r="M670" t="s">
        <v>874</v>
      </c>
      <c r="N670" t="s">
        <v>875</v>
      </c>
      <c r="O670" s="57">
        <v>45717</v>
      </c>
      <c r="P670" t="s">
        <v>877</v>
      </c>
      <c r="Q670" s="56">
        <v>300000</v>
      </c>
      <c r="R670" t="s">
        <v>808</v>
      </c>
      <c r="S670" t="s">
        <v>747</v>
      </c>
      <c r="T670" t="s">
        <v>748</v>
      </c>
      <c r="U670" t="s">
        <v>561</v>
      </c>
      <c r="V670" t="s">
        <v>7</v>
      </c>
      <c r="W670" t="s">
        <v>12</v>
      </c>
      <c r="X670" t="s">
        <v>24</v>
      </c>
      <c r="Y670" s="56">
        <f>IF(clean[[#This Row],[is_delivered]]="Yes",clean[[#This Row],[net_sales]],0 )</f>
        <v>300000</v>
      </c>
    </row>
    <row r="671" spans="1:25">
      <c r="A671" t="s">
        <v>1348</v>
      </c>
      <c r="B671" s="9">
        <v>45738</v>
      </c>
      <c r="C671" t="s">
        <v>612</v>
      </c>
      <c r="D671" t="s">
        <v>773</v>
      </c>
      <c r="E671">
        <v>2</v>
      </c>
      <c r="F671" s="56">
        <v>500000</v>
      </c>
      <c r="G671" s="56">
        <v>1000000</v>
      </c>
      <c r="H671" t="s">
        <v>879</v>
      </c>
      <c r="I671" s="56">
        <v>200000</v>
      </c>
      <c r="J671" s="56">
        <v>25000</v>
      </c>
      <c r="K671" s="56">
        <v>825000</v>
      </c>
      <c r="L671" t="s">
        <v>880</v>
      </c>
      <c r="M671" t="s">
        <v>881</v>
      </c>
      <c r="N671" t="s">
        <v>905</v>
      </c>
      <c r="O671" s="57">
        <v>45717</v>
      </c>
      <c r="P671" t="s">
        <v>892</v>
      </c>
      <c r="Q671" s="56">
        <v>800000</v>
      </c>
      <c r="R671" t="s">
        <v>774</v>
      </c>
      <c r="S671" t="s">
        <v>727</v>
      </c>
      <c r="T671" t="s">
        <v>728</v>
      </c>
      <c r="U671" t="s">
        <v>613</v>
      </c>
      <c r="V671" t="s">
        <v>23</v>
      </c>
      <c r="W671" t="s">
        <v>8</v>
      </c>
      <c r="X671" t="s">
        <v>9</v>
      </c>
      <c r="Y671" s="56">
        <f>IF(clean[[#This Row],[is_delivered]]="Yes",clean[[#This Row],[net_sales]],0 )</f>
        <v>0</v>
      </c>
    </row>
    <row r="672" spans="1:25">
      <c r="A672" t="s">
        <v>1387</v>
      </c>
      <c r="B672" s="9">
        <v>45738</v>
      </c>
      <c r="C672" t="s">
        <v>406</v>
      </c>
      <c r="D672" t="s">
        <v>793</v>
      </c>
      <c r="E672">
        <v>2</v>
      </c>
      <c r="F672" s="56">
        <v>500000</v>
      </c>
      <c r="G672" s="56">
        <v>1000000</v>
      </c>
      <c r="H672" t="s">
        <v>872</v>
      </c>
      <c r="I672" s="56">
        <v>0</v>
      </c>
      <c r="J672" s="56">
        <v>25000</v>
      </c>
      <c r="K672" s="56">
        <v>1025000</v>
      </c>
      <c r="L672" t="s">
        <v>884</v>
      </c>
      <c r="M672" t="s">
        <v>881</v>
      </c>
      <c r="N672" t="s">
        <v>890</v>
      </c>
      <c r="O672" s="57">
        <v>45717</v>
      </c>
      <c r="P672" t="s">
        <v>892</v>
      </c>
      <c r="Q672" s="56">
        <v>1000000</v>
      </c>
      <c r="R672" t="s">
        <v>794</v>
      </c>
      <c r="S672" t="s">
        <v>743</v>
      </c>
      <c r="T672" t="s">
        <v>744</v>
      </c>
      <c r="U672" t="s">
        <v>407</v>
      </c>
      <c r="V672" t="s">
        <v>7</v>
      </c>
      <c r="W672" t="s">
        <v>39</v>
      </c>
      <c r="X672" t="s">
        <v>15</v>
      </c>
      <c r="Y672" s="56">
        <f>IF(clean[[#This Row],[is_delivered]]="Yes",clean[[#This Row],[net_sales]],0 )</f>
        <v>0</v>
      </c>
    </row>
    <row r="673" spans="1:25">
      <c r="A673" t="s">
        <v>1492</v>
      </c>
      <c r="B673" s="9">
        <v>45738</v>
      </c>
      <c r="C673" t="s">
        <v>564</v>
      </c>
      <c r="D673" t="s">
        <v>841</v>
      </c>
      <c r="E673">
        <v>1</v>
      </c>
      <c r="F673" s="56">
        <v>75000</v>
      </c>
      <c r="G673" s="56">
        <v>75000</v>
      </c>
      <c r="H673" t="s">
        <v>872</v>
      </c>
      <c r="I673" s="56">
        <v>0</v>
      </c>
      <c r="J673" s="56">
        <v>15000</v>
      </c>
      <c r="K673" s="56">
        <v>90000</v>
      </c>
      <c r="L673" t="s">
        <v>889</v>
      </c>
      <c r="M673" t="s">
        <v>881</v>
      </c>
      <c r="N673" t="s">
        <v>921</v>
      </c>
      <c r="O673" s="57">
        <v>45717</v>
      </c>
      <c r="P673" t="s">
        <v>892</v>
      </c>
      <c r="Q673" s="56">
        <v>75000</v>
      </c>
      <c r="R673" t="s">
        <v>842</v>
      </c>
      <c r="S673" t="s">
        <v>743</v>
      </c>
      <c r="T673" t="s">
        <v>744</v>
      </c>
      <c r="U673" t="s">
        <v>565</v>
      </c>
      <c r="V673" t="s">
        <v>23</v>
      </c>
      <c r="W673" t="s">
        <v>46</v>
      </c>
      <c r="X673" t="s">
        <v>15</v>
      </c>
      <c r="Y673" s="56">
        <f>IF(clean[[#This Row],[is_delivered]]="Yes",clean[[#This Row],[net_sales]],0 )</f>
        <v>0</v>
      </c>
    </row>
    <row r="674" spans="1:25">
      <c r="A674" t="s">
        <v>1857</v>
      </c>
      <c r="B674" s="9">
        <v>45738</v>
      </c>
      <c r="C674" t="s">
        <v>208</v>
      </c>
      <c r="D674" t="s">
        <v>759</v>
      </c>
      <c r="E674">
        <v>4</v>
      </c>
      <c r="F674" s="56">
        <v>300000</v>
      </c>
      <c r="G674" s="56">
        <v>1200000</v>
      </c>
      <c r="H674" t="s">
        <v>872</v>
      </c>
      <c r="I674" s="56">
        <v>0</v>
      </c>
      <c r="J674" s="56">
        <v>25000</v>
      </c>
      <c r="K674" s="56">
        <v>1225000</v>
      </c>
      <c r="L674" t="s">
        <v>884</v>
      </c>
      <c r="M674" t="s">
        <v>881</v>
      </c>
      <c r="N674" t="s">
        <v>875</v>
      </c>
      <c r="O674" s="57">
        <v>45717</v>
      </c>
      <c r="P674" t="s">
        <v>877</v>
      </c>
      <c r="Q674" s="56">
        <v>1200000</v>
      </c>
      <c r="R674" t="s">
        <v>760</v>
      </c>
      <c r="S674" t="s">
        <v>747</v>
      </c>
      <c r="T674" t="s">
        <v>748</v>
      </c>
      <c r="U674" t="s">
        <v>209</v>
      </c>
      <c r="V674" t="s">
        <v>7</v>
      </c>
      <c r="W674" t="s">
        <v>20</v>
      </c>
      <c r="X674" t="s">
        <v>9</v>
      </c>
      <c r="Y674" s="56">
        <f>IF(clean[[#This Row],[is_delivered]]="Yes",clean[[#This Row],[net_sales]],0 )</f>
        <v>1200000</v>
      </c>
    </row>
    <row r="675" spans="1:25">
      <c r="A675" t="s">
        <v>1934</v>
      </c>
      <c r="B675" s="9">
        <v>45738</v>
      </c>
      <c r="C675" t="s">
        <v>89</v>
      </c>
      <c r="D675" t="s">
        <v>733</v>
      </c>
      <c r="E675">
        <v>1</v>
      </c>
      <c r="F675" s="56">
        <v>150000</v>
      </c>
      <c r="G675" s="56">
        <v>150000</v>
      </c>
      <c r="H675" t="s">
        <v>872</v>
      </c>
      <c r="I675" s="56">
        <v>0</v>
      </c>
      <c r="J675" s="56">
        <v>25000</v>
      </c>
      <c r="K675" s="56">
        <v>175000</v>
      </c>
      <c r="L675" t="s">
        <v>873</v>
      </c>
      <c r="M675" t="s">
        <v>874</v>
      </c>
      <c r="N675" t="s">
        <v>875</v>
      </c>
      <c r="O675" s="57">
        <v>45717</v>
      </c>
      <c r="P675" t="s">
        <v>877</v>
      </c>
      <c r="Q675" s="56">
        <v>150000</v>
      </c>
      <c r="R675" t="s">
        <v>734</v>
      </c>
      <c r="S675" t="s">
        <v>735</v>
      </c>
      <c r="T675" t="s">
        <v>736</v>
      </c>
      <c r="U675" t="s">
        <v>90</v>
      </c>
      <c r="V675" t="s">
        <v>23</v>
      </c>
      <c r="W675" t="s">
        <v>46</v>
      </c>
      <c r="X675" t="s">
        <v>9</v>
      </c>
      <c r="Y675" s="56">
        <f>IF(clean[[#This Row],[is_delivered]]="Yes",clean[[#This Row],[net_sales]],0 )</f>
        <v>150000</v>
      </c>
    </row>
    <row r="676" spans="1:25">
      <c r="A676" t="s">
        <v>1022</v>
      </c>
      <c r="B676" s="9">
        <v>45737</v>
      </c>
      <c r="C676" t="s">
        <v>25</v>
      </c>
      <c r="D676" t="s">
        <v>839</v>
      </c>
      <c r="E676">
        <v>3</v>
      </c>
      <c r="F676" s="56">
        <v>200000</v>
      </c>
      <c r="G676" s="56">
        <v>600000</v>
      </c>
      <c r="H676" t="s">
        <v>872</v>
      </c>
      <c r="I676" s="56">
        <v>0</v>
      </c>
      <c r="J676" s="56">
        <v>20000</v>
      </c>
      <c r="K676" s="56">
        <v>620000</v>
      </c>
      <c r="L676" t="s">
        <v>884</v>
      </c>
      <c r="M676" t="s">
        <v>903</v>
      </c>
      <c r="N676" t="s">
        <v>875</v>
      </c>
      <c r="O676" s="57">
        <v>45717</v>
      </c>
      <c r="P676" t="s">
        <v>877</v>
      </c>
      <c r="Q676" s="56">
        <v>600000</v>
      </c>
      <c r="R676" t="s">
        <v>840</v>
      </c>
      <c r="S676" t="s">
        <v>739</v>
      </c>
      <c r="T676" t="s">
        <v>740</v>
      </c>
      <c r="U676" t="s">
        <v>26</v>
      </c>
      <c r="V676" t="s">
        <v>23</v>
      </c>
      <c r="W676" t="s">
        <v>20</v>
      </c>
      <c r="X676" t="s">
        <v>9</v>
      </c>
      <c r="Y676" s="56">
        <f>IF(clean[[#This Row],[is_delivered]]="Yes",clean[[#This Row],[net_sales]],0 )</f>
        <v>600000</v>
      </c>
    </row>
    <row r="677" spans="1:25">
      <c r="A677" t="s">
        <v>943</v>
      </c>
      <c r="B677" s="9">
        <v>45737</v>
      </c>
      <c r="C677" t="s">
        <v>354</v>
      </c>
      <c r="D677" t="s">
        <v>791</v>
      </c>
      <c r="E677">
        <v>1</v>
      </c>
      <c r="F677" s="56">
        <v>50000</v>
      </c>
      <c r="G677" s="56">
        <v>50000</v>
      </c>
      <c r="H677" t="s">
        <v>883</v>
      </c>
      <c r="I677" s="56">
        <v>5000</v>
      </c>
      <c r="J677" s="56">
        <v>10000</v>
      </c>
      <c r="K677" s="56">
        <v>55000</v>
      </c>
      <c r="L677" t="s">
        <v>889</v>
      </c>
      <c r="M677" t="s">
        <v>901</v>
      </c>
      <c r="N677" t="s">
        <v>875</v>
      </c>
      <c r="O677" s="57">
        <v>45717</v>
      </c>
      <c r="P677" t="s">
        <v>877</v>
      </c>
      <c r="Q677" s="56">
        <v>45000</v>
      </c>
      <c r="R677" t="s">
        <v>792</v>
      </c>
      <c r="S677" t="s">
        <v>739</v>
      </c>
      <c r="T677" t="s">
        <v>740</v>
      </c>
      <c r="U677" t="s">
        <v>355</v>
      </c>
      <c r="V677" t="s">
        <v>23</v>
      </c>
      <c r="W677" t="s">
        <v>46</v>
      </c>
      <c r="X677" t="s">
        <v>24</v>
      </c>
      <c r="Y677" s="56">
        <f>IF(clean[[#This Row],[is_delivered]]="Yes",clean[[#This Row],[net_sales]],0 )</f>
        <v>45000</v>
      </c>
    </row>
    <row r="678" spans="1:25">
      <c r="A678" t="s">
        <v>1451</v>
      </c>
      <c r="B678" s="9">
        <v>45737</v>
      </c>
      <c r="C678" t="s">
        <v>184</v>
      </c>
      <c r="D678" t="s">
        <v>819</v>
      </c>
      <c r="E678">
        <v>1</v>
      </c>
      <c r="F678" s="56">
        <v>300000</v>
      </c>
      <c r="G678" s="56">
        <v>300000</v>
      </c>
      <c r="H678" t="s">
        <v>895</v>
      </c>
      <c r="I678" s="56">
        <v>45000</v>
      </c>
      <c r="J678" s="56">
        <v>25000</v>
      </c>
      <c r="K678" s="56">
        <v>280000</v>
      </c>
      <c r="L678" t="s">
        <v>880</v>
      </c>
      <c r="M678" t="s">
        <v>881</v>
      </c>
      <c r="N678" t="s">
        <v>875</v>
      </c>
      <c r="O678" s="57">
        <v>45717</v>
      </c>
      <c r="P678" t="s">
        <v>877</v>
      </c>
      <c r="Q678" s="56">
        <v>255000</v>
      </c>
      <c r="R678" t="s">
        <v>820</v>
      </c>
      <c r="S678" t="s">
        <v>747</v>
      </c>
      <c r="T678" t="s">
        <v>748</v>
      </c>
      <c r="U678" t="s">
        <v>185</v>
      </c>
      <c r="V678" t="s">
        <v>23</v>
      </c>
      <c r="W678" t="s">
        <v>12</v>
      </c>
      <c r="X678" t="s">
        <v>15</v>
      </c>
      <c r="Y678" s="56">
        <f>IF(clean[[#This Row],[is_delivered]]="Yes",clean[[#This Row],[net_sales]],0 )</f>
        <v>255000</v>
      </c>
    </row>
    <row r="679" spans="1:25">
      <c r="A679" t="s">
        <v>1611</v>
      </c>
      <c r="B679" s="9">
        <v>45737</v>
      </c>
      <c r="C679" t="s">
        <v>646</v>
      </c>
      <c r="D679" t="s">
        <v>773</v>
      </c>
      <c r="E679">
        <v>1</v>
      </c>
      <c r="F679" s="56">
        <v>500000</v>
      </c>
      <c r="G679" s="56">
        <v>500000</v>
      </c>
      <c r="H679" t="s">
        <v>886</v>
      </c>
      <c r="I679" s="56">
        <v>50000</v>
      </c>
      <c r="J679" s="56">
        <v>25000</v>
      </c>
      <c r="K679" s="56">
        <v>475000</v>
      </c>
      <c r="L679" t="s">
        <v>884</v>
      </c>
      <c r="M679" t="s">
        <v>874</v>
      </c>
      <c r="N679" t="s">
        <v>875</v>
      </c>
      <c r="O679" s="57">
        <v>45717</v>
      </c>
      <c r="P679" t="s">
        <v>877</v>
      </c>
      <c r="Q679" s="56">
        <v>450000</v>
      </c>
      <c r="R679" t="s">
        <v>774</v>
      </c>
      <c r="S679" t="s">
        <v>727</v>
      </c>
      <c r="T679" t="s">
        <v>728</v>
      </c>
      <c r="U679" t="s">
        <v>647</v>
      </c>
      <c r="V679" t="s">
        <v>23</v>
      </c>
      <c r="W679" t="s">
        <v>56</v>
      </c>
      <c r="X679" t="s">
        <v>15</v>
      </c>
      <c r="Y679" s="56">
        <f>IF(clean[[#This Row],[is_delivered]]="Yes",clean[[#This Row],[net_sales]],0 )</f>
        <v>450000</v>
      </c>
    </row>
    <row r="680" spans="1:25">
      <c r="A680" t="s">
        <v>1844</v>
      </c>
      <c r="B680" s="9">
        <v>45737</v>
      </c>
      <c r="C680" t="s">
        <v>296</v>
      </c>
      <c r="D680" t="s">
        <v>845</v>
      </c>
      <c r="E680">
        <v>2</v>
      </c>
      <c r="F680" s="56">
        <v>300000</v>
      </c>
      <c r="G680" s="56">
        <v>600000</v>
      </c>
      <c r="H680" t="s">
        <v>886</v>
      </c>
      <c r="I680" s="56">
        <v>60000</v>
      </c>
      <c r="J680" s="56">
        <v>15000</v>
      </c>
      <c r="K680" s="56">
        <v>555000</v>
      </c>
      <c r="L680" t="s">
        <v>880</v>
      </c>
      <c r="M680" t="s">
        <v>903</v>
      </c>
      <c r="N680" t="s">
        <v>875</v>
      </c>
      <c r="O680" s="57">
        <v>45717</v>
      </c>
      <c r="P680" t="s">
        <v>877</v>
      </c>
      <c r="Q680" s="56">
        <v>540000</v>
      </c>
      <c r="R680" t="s">
        <v>846</v>
      </c>
      <c r="S680" t="s">
        <v>727</v>
      </c>
      <c r="T680" t="s">
        <v>728</v>
      </c>
      <c r="U680" t="s">
        <v>297</v>
      </c>
      <c r="V680" t="s">
        <v>7</v>
      </c>
      <c r="W680" t="s">
        <v>137</v>
      </c>
      <c r="X680" t="s">
        <v>24</v>
      </c>
      <c r="Y680" s="56">
        <f>IF(clean[[#This Row],[is_delivered]]="Yes",clean[[#This Row],[net_sales]],0 )</f>
        <v>540000</v>
      </c>
    </row>
    <row r="681" spans="1:25">
      <c r="A681" t="s">
        <v>1855</v>
      </c>
      <c r="B681" s="9">
        <v>45737</v>
      </c>
      <c r="C681" t="s">
        <v>34</v>
      </c>
      <c r="D681" t="s">
        <v>801</v>
      </c>
      <c r="E681">
        <v>3</v>
      </c>
      <c r="F681" s="56">
        <v>100000</v>
      </c>
      <c r="G681" s="56">
        <v>300000</v>
      </c>
      <c r="H681" t="s">
        <v>872</v>
      </c>
      <c r="I681" s="56">
        <v>0</v>
      </c>
      <c r="J681" s="56">
        <v>25000</v>
      </c>
      <c r="K681" s="56">
        <v>325000</v>
      </c>
      <c r="L681" t="s">
        <v>873</v>
      </c>
      <c r="M681" t="s">
        <v>901</v>
      </c>
      <c r="N681" t="s">
        <v>875</v>
      </c>
      <c r="O681" s="57">
        <v>45717</v>
      </c>
      <c r="P681" t="s">
        <v>877</v>
      </c>
      <c r="Q681" s="56">
        <v>300000</v>
      </c>
      <c r="R681" t="s">
        <v>802</v>
      </c>
      <c r="S681" t="s">
        <v>735</v>
      </c>
      <c r="T681" t="s">
        <v>736</v>
      </c>
      <c r="U681" t="s">
        <v>35</v>
      </c>
      <c r="V681" t="s">
        <v>23</v>
      </c>
      <c r="W681" t="s">
        <v>36</v>
      </c>
      <c r="X681" t="s">
        <v>24</v>
      </c>
      <c r="Y681" s="56">
        <f>IF(clean[[#This Row],[is_delivered]]="Yes",clean[[#This Row],[net_sales]],0 )</f>
        <v>300000</v>
      </c>
    </row>
    <row r="682" spans="1:25">
      <c r="A682" t="s">
        <v>1957</v>
      </c>
      <c r="B682" s="9">
        <v>45737</v>
      </c>
      <c r="C682" t="s">
        <v>154</v>
      </c>
      <c r="D682" t="s">
        <v>843</v>
      </c>
      <c r="E682">
        <v>3</v>
      </c>
      <c r="F682" s="56">
        <v>100000</v>
      </c>
      <c r="G682" s="56">
        <v>300000</v>
      </c>
      <c r="H682" t="s">
        <v>879</v>
      </c>
      <c r="I682" s="56">
        <v>60000</v>
      </c>
      <c r="J682" s="56">
        <v>20000</v>
      </c>
      <c r="K682" s="56">
        <v>260000</v>
      </c>
      <c r="L682" t="s">
        <v>889</v>
      </c>
      <c r="M682" t="s">
        <v>901</v>
      </c>
      <c r="N682" t="s">
        <v>875</v>
      </c>
      <c r="O682" s="57">
        <v>45717</v>
      </c>
      <c r="P682" t="s">
        <v>877</v>
      </c>
      <c r="Q682" s="56">
        <v>240000</v>
      </c>
      <c r="R682" t="s">
        <v>844</v>
      </c>
      <c r="S682" t="s">
        <v>747</v>
      </c>
      <c r="T682" t="s">
        <v>748</v>
      </c>
      <c r="U682" t="s">
        <v>155</v>
      </c>
      <c r="V682" t="s">
        <v>7</v>
      </c>
      <c r="W682" t="s">
        <v>20</v>
      </c>
      <c r="X682" t="s">
        <v>24</v>
      </c>
      <c r="Y682" s="56">
        <f>IF(clean[[#This Row],[is_delivered]]="Yes",clean[[#This Row],[net_sales]],0 )</f>
        <v>240000</v>
      </c>
    </row>
    <row r="683" spans="1:25">
      <c r="A683" t="s">
        <v>2028</v>
      </c>
      <c r="B683" s="9">
        <v>45737</v>
      </c>
      <c r="C683" t="s">
        <v>99</v>
      </c>
      <c r="D683" t="s">
        <v>843</v>
      </c>
      <c r="E683">
        <v>3</v>
      </c>
      <c r="F683" s="56">
        <v>100000</v>
      </c>
      <c r="G683" s="56">
        <v>300000</v>
      </c>
      <c r="H683" t="s">
        <v>879</v>
      </c>
      <c r="I683" s="56">
        <v>60000</v>
      </c>
      <c r="J683" s="56">
        <v>20000</v>
      </c>
      <c r="K683" s="56">
        <v>260000</v>
      </c>
      <c r="L683" t="s">
        <v>884</v>
      </c>
      <c r="M683" t="s">
        <v>881</v>
      </c>
      <c r="N683" t="s">
        <v>875</v>
      </c>
      <c r="O683" s="57">
        <v>45717</v>
      </c>
      <c r="P683" t="s">
        <v>877</v>
      </c>
      <c r="Q683" s="56">
        <v>240000</v>
      </c>
      <c r="R683" t="s">
        <v>844</v>
      </c>
      <c r="S683" t="s">
        <v>747</v>
      </c>
      <c r="T683" t="s">
        <v>748</v>
      </c>
      <c r="U683" t="s">
        <v>100</v>
      </c>
      <c r="V683" t="s">
        <v>7</v>
      </c>
      <c r="W683" t="s">
        <v>39</v>
      </c>
      <c r="X683" t="s">
        <v>9</v>
      </c>
      <c r="Y683" s="56">
        <f>IF(clean[[#This Row],[is_delivered]]="Yes",clean[[#This Row],[net_sales]],0 )</f>
        <v>240000</v>
      </c>
    </row>
    <row r="684" spans="1:25">
      <c r="A684" t="s">
        <v>2064</v>
      </c>
      <c r="B684" s="9">
        <v>45737</v>
      </c>
      <c r="C684" t="s">
        <v>160</v>
      </c>
      <c r="D684" t="s">
        <v>789</v>
      </c>
      <c r="E684">
        <v>3</v>
      </c>
      <c r="F684" s="56">
        <v>200000</v>
      </c>
      <c r="G684" s="56">
        <v>600000</v>
      </c>
      <c r="H684" t="s">
        <v>872</v>
      </c>
      <c r="I684" s="56">
        <v>0</v>
      </c>
      <c r="J684" s="56">
        <v>25000</v>
      </c>
      <c r="K684" s="56">
        <v>625000</v>
      </c>
      <c r="L684" t="s">
        <v>873</v>
      </c>
      <c r="M684" t="s">
        <v>874</v>
      </c>
      <c r="N684" t="s">
        <v>875</v>
      </c>
      <c r="O684" s="57">
        <v>45717</v>
      </c>
      <c r="P684" t="s">
        <v>877</v>
      </c>
      <c r="Q684" s="56">
        <v>600000</v>
      </c>
      <c r="R684" t="s">
        <v>790</v>
      </c>
      <c r="S684" t="s">
        <v>735</v>
      </c>
      <c r="T684" t="s">
        <v>736</v>
      </c>
      <c r="U684" t="s">
        <v>161</v>
      </c>
      <c r="V684" t="s">
        <v>23</v>
      </c>
      <c r="W684" t="s">
        <v>137</v>
      </c>
      <c r="X684" t="s">
        <v>9</v>
      </c>
      <c r="Y684" s="56">
        <f>IF(clean[[#This Row],[is_delivered]]="Yes",clean[[#This Row],[net_sales]],0 )</f>
        <v>600000</v>
      </c>
    </row>
    <row r="685" spans="1:25">
      <c r="A685" t="s">
        <v>2066</v>
      </c>
      <c r="B685" s="9">
        <v>45737</v>
      </c>
      <c r="C685" t="s">
        <v>424</v>
      </c>
      <c r="D685" t="s">
        <v>799</v>
      </c>
      <c r="E685">
        <v>2</v>
      </c>
      <c r="F685" s="56">
        <v>35000</v>
      </c>
      <c r="G685" s="56">
        <v>70000</v>
      </c>
      <c r="H685" t="s">
        <v>872</v>
      </c>
      <c r="I685" s="56">
        <v>0</v>
      </c>
      <c r="J685" s="56">
        <v>25000</v>
      </c>
      <c r="K685" s="56">
        <v>95000</v>
      </c>
      <c r="L685" t="s">
        <v>880</v>
      </c>
      <c r="M685" t="s">
        <v>901</v>
      </c>
      <c r="N685" t="s">
        <v>875</v>
      </c>
      <c r="O685" s="57">
        <v>45717</v>
      </c>
      <c r="P685" t="s">
        <v>877</v>
      </c>
      <c r="Q685" s="56">
        <v>70000</v>
      </c>
      <c r="R685" t="s">
        <v>800</v>
      </c>
      <c r="S685" t="s">
        <v>731</v>
      </c>
      <c r="T685" t="s">
        <v>732</v>
      </c>
      <c r="U685" t="s">
        <v>425</v>
      </c>
      <c r="V685" t="s">
        <v>7</v>
      </c>
      <c r="W685" t="s">
        <v>8</v>
      </c>
      <c r="X685" t="s">
        <v>24</v>
      </c>
      <c r="Y685" s="56">
        <f>IF(clean[[#This Row],[is_delivered]]="Yes",clean[[#This Row],[net_sales]],0 )</f>
        <v>70000</v>
      </c>
    </row>
    <row r="686" spans="1:25">
      <c r="A686" t="s">
        <v>1261</v>
      </c>
      <c r="B686" s="9">
        <v>45736</v>
      </c>
      <c r="C686" t="s">
        <v>57</v>
      </c>
      <c r="D686" t="s">
        <v>793</v>
      </c>
      <c r="E686">
        <v>1</v>
      </c>
      <c r="F686" s="56">
        <v>500000</v>
      </c>
      <c r="G686" s="56">
        <v>500000</v>
      </c>
      <c r="H686" t="s">
        <v>872</v>
      </c>
      <c r="I686" s="56">
        <v>0</v>
      </c>
      <c r="J686" s="56">
        <v>20000</v>
      </c>
      <c r="K686" s="56">
        <v>520000</v>
      </c>
      <c r="L686" t="s">
        <v>884</v>
      </c>
      <c r="M686" t="s">
        <v>881</v>
      </c>
      <c r="N686" t="s">
        <v>875</v>
      </c>
      <c r="O686" s="57">
        <v>45717</v>
      </c>
      <c r="P686" t="s">
        <v>877</v>
      </c>
      <c r="Q686" s="56">
        <v>500000</v>
      </c>
      <c r="R686" t="s">
        <v>794</v>
      </c>
      <c r="S686" t="s">
        <v>743</v>
      </c>
      <c r="T686" t="s">
        <v>744</v>
      </c>
      <c r="U686" t="s">
        <v>58</v>
      </c>
      <c r="V686" t="s">
        <v>23</v>
      </c>
      <c r="W686" t="s">
        <v>8</v>
      </c>
      <c r="X686" t="s">
        <v>9</v>
      </c>
      <c r="Y686" s="56">
        <f>IF(clean[[#This Row],[is_delivered]]="Yes",clean[[#This Row],[net_sales]],0 )</f>
        <v>500000</v>
      </c>
    </row>
    <row r="687" spans="1:25">
      <c r="A687" t="s">
        <v>1460</v>
      </c>
      <c r="B687" s="9">
        <v>45736</v>
      </c>
      <c r="C687" t="s">
        <v>176</v>
      </c>
      <c r="D687" t="s">
        <v>745</v>
      </c>
      <c r="E687">
        <v>1</v>
      </c>
      <c r="F687" s="56">
        <v>500000</v>
      </c>
      <c r="G687" s="56">
        <v>500000</v>
      </c>
      <c r="H687" t="s">
        <v>895</v>
      </c>
      <c r="I687" s="56">
        <v>75000</v>
      </c>
      <c r="J687" s="56">
        <v>30000</v>
      </c>
      <c r="K687" s="56">
        <v>455000</v>
      </c>
      <c r="L687" t="s">
        <v>873</v>
      </c>
      <c r="M687" t="s">
        <v>874</v>
      </c>
      <c r="N687" t="s">
        <v>875</v>
      </c>
      <c r="O687" s="57">
        <v>45717</v>
      </c>
      <c r="P687" t="s">
        <v>877</v>
      </c>
      <c r="Q687" s="56">
        <v>425000</v>
      </c>
      <c r="R687" t="s">
        <v>746</v>
      </c>
      <c r="S687" t="s">
        <v>747</v>
      </c>
      <c r="T687" t="s">
        <v>748</v>
      </c>
      <c r="U687" t="s">
        <v>177</v>
      </c>
      <c r="V687" t="s">
        <v>7</v>
      </c>
      <c r="W687" t="s">
        <v>56</v>
      </c>
      <c r="X687" t="s">
        <v>9</v>
      </c>
      <c r="Y687" s="56">
        <f>IF(clean[[#This Row],[is_delivered]]="Yes",clean[[#This Row],[net_sales]],0 )</f>
        <v>425000</v>
      </c>
    </row>
    <row r="688" spans="1:25">
      <c r="A688" t="s">
        <v>1978</v>
      </c>
      <c r="B688" s="9">
        <v>45736</v>
      </c>
      <c r="C688" t="s">
        <v>190</v>
      </c>
      <c r="D688" t="s">
        <v>853</v>
      </c>
      <c r="E688">
        <v>3</v>
      </c>
      <c r="F688" s="56">
        <v>75000</v>
      </c>
      <c r="G688" s="56">
        <v>225000</v>
      </c>
      <c r="H688" t="s">
        <v>895</v>
      </c>
      <c r="I688" s="56">
        <v>33750</v>
      </c>
      <c r="J688" s="56">
        <v>30000</v>
      </c>
      <c r="K688" s="56">
        <v>221250</v>
      </c>
      <c r="L688" t="s">
        <v>884</v>
      </c>
      <c r="M688" t="s">
        <v>881</v>
      </c>
      <c r="N688" t="s">
        <v>875</v>
      </c>
      <c r="O688" s="57">
        <v>45717</v>
      </c>
      <c r="P688" t="s">
        <v>877</v>
      </c>
      <c r="Q688" s="56">
        <v>191250</v>
      </c>
      <c r="R688" t="s">
        <v>854</v>
      </c>
      <c r="S688" t="s">
        <v>743</v>
      </c>
      <c r="T688" t="s">
        <v>744</v>
      </c>
      <c r="U688" t="s">
        <v>191</v>
      </c>
      <c r="V688" t="s">
        <v>7</v>
      </c>
      <c r="W688" t="s">
        <v>56</v>
      </c>
      <c r="X688" t="s">
        <v>24</v>
      </c>
      <c r="Y688" s="56">
        <f>IF(clean[[#This Row],[is_delivered]]="Yes",clean[[#This Row],[net_sales]],0 )</f>
        <v>191250</v>
      </c>
    </row>
    <row r="689" spans="1:25">
      <c r="A689" t="s">
        <v>983</v>
      </c>
      <c r="B689" s="9">
        <v>45735</v>
      </c>
      <c r="C689" t="s">
        <v>278</v>
      </c>
      <c r="D689" t="s">
        <v>753</v>
      </c>
      <c r="E689">
        <v>4</v>
      </c>
      <c r="F689" s="56">
        <v>300000</v>
      </c>
      <c r="G689" s="56">
        <v>1200000</v>
      </c>
      <c r="H689" t="s">
        <v>872</v>
      </c>
      <c r="I689" s="56">
        <v>0</v>
      </c>
      <c r="J689" s="56">
        <v>30000</v>
      </c>
      <c r="K689" s="56">
        <v>1230000</v>
      </c>
      <c r="L689" t="s">
        <v>889</v>
      </c>
      <c r="M689" t="s">
        <v>901</v>
      </c>
      <c r="N689" t="s">
        <v>875</v>
      </c>
      <c r="O689" s="57">
        <v>45717</v>
      </c>
      <c r="P689" t="s">
        <v>877</v>
      </c>
      <c r="Q689" s="56">
        <v>1200000</v>
      </c>
      <c r="R689" t="s">
        <v>754</v>
      </c>
      <c r="S689" t="s">
        <v>735</v>
      </c>
      <c r="T689" t="s">
        <v>736</v>
      </c>
      <c r="U689" t="s">
        <v>279</v>
      </c>
      <c r="V689" t="s">
        <v>23</v>
      </c>
      <c r="W689" t="s">
        <v>56</v>
      </c>
      <c r="X689" t="s">
        <v>15</v>
      </c>
      <c r="Y689" s="56">
        <f>IF(clean[[#This Row],[is_delivered]]="Yes",clean[[#This Row],[net_sales]],0 )</f>
        <v>1200000</v>
      </c>
    </row>
    <row r="690" spans="1:25">
      <c r="A690" t="s">
        <v>1183</v>
      </c>
      <c r="B690" s="9">
        <v>45735</v>
      </c>
      <c r="C690" t="s">
        <v>422</v>
      </c>
      <c r="D690" t="s">
        <v>827</v>
      </c>
      <c r="E690">
        <v>2</v>
      </c>
      <c r="F690" s="56">
        <v>100000</v>
      </c>
      <c r="G690" s="56">
        <v>200000</v>
      </c>
      <c r="H690" t="s">
        <v>872</v>
      </c>
      <c r="I690" s="56">
        <v>0</v>
      </c>
      <c r="J690" s="56">
        <v>25000</v>
      </c>
      <c r="K690" s="56">
        <v>225000</v>
      </c>
      <c r="L690" t="s">
        <v>884</v>
      </c>
      <c r="M690" t="s">
        <v>903</v>
      </c>
      <c r="N690" t="s">
        <v>875</v>
      </c>
      <c r="O690" s="57">
        <v>45717</v>
      </c>
      <c r="P690" t="s">
        <v>877</v>
      </c>
      <c r="Q690" s="56">
        <v>200000</v>
      </c>
      <c r="R690" t="s">
        <v>828</v>
      </c>
      <c r="S690" t="s">
        <v>739</v>
      </c>
      <c r="T690" t="s">
        <v>740</v>
      </c>
      <c r="U690" t="s">
        <v>423</v>
      </c>
      <c r="V690" t="s">
        <v>23</v>
      </c>
      <c r="W690" t="s">
        <v>20</v>
      </c>
      <c r="X690" t="s">
        <v>9</v>
      </c>
      <c r="Y690" s="56">
        <f>IF(clean[[#This Row],[is_delivered]]="Yes",clean[[#This Row],[net_sales]],0 )</f>
        <v>200000</v>
      </c>
    </row>
    <row r="691" spans="1:25">
      <c r="A691" t="s">
        <v>1102</v>
      </c>
      <c r="B691" s="9">
        <v>45735</v>
      </c>
      <c r="C691" t="s">
        <v>462</v>
      </c>
      <c r="D691" t="s">
        <v>817</v>
      </c>
      <c r="E691">
        <v>2</v>
      </c>
      <c r="F691" s="56">
        <v>75000</v>
      </c>
      <c r="G691" s="56">
        <v>150000</v>
      </c>
      <c r="H691" t="s">
        <v>895</v>
      </c>
      <c r="I691" s="56">
        <v>22500</v>
      </c>
      <c r="J691" s="56">
        <v>10000</v>
      </c>
      <c r="K691" s="56">
        <v>137500</v>
      </c>
      <c r="L691" t="s">
        <v>880</v>
      </c>
      <c r="M691" t="s">
        <v>903</v>
      </c>
      <c r="N691" t="s">
        <v>875</v>
      </c>
      <c r="O691" s="57">
        <v>45717</v>
      </c>
      <c r="P691" t="s">
        <v>877</v>
      </c>
      <c r="Q691" s="56">
        <v>127500</v>
      </c>
      <c r="R691" t="s">
        <v>818</v>
      </c>
      <c r="S691" t="s">
        <v>743</v>
      </c>
      <c r="T691" t="s">
        <v>744</v>
      </c>
      <c r="U691" t="s">
        <v>463</v>
      </c>
      <c r="V691" t="s">
        <v>23</v>
      </c>
      <c r="W691" t="s">
        <v>36</v>
      </c>
      <c r="X691" t="s">
        <v>24</v>
      </c>
      <c r="Y691" s="56">
        <f>IF(clean[[#This Row],[is_delivered]]="Yes",clean[[#This Row],[net_sales]],0 )</f>
        <v>127500</v>
      </c>
    </row>
    <row r="692" spans="1:25">
      <c r="A692" t="s">
        <v>1376</v>
      </c>
      <c r="B692" s="9">
        <v>45735</v>
      </c>
      <c r="C692" t="s">
        <v>406</v>
      </c>
      <c r="D692" t="s">
        <v>793</v>
      </c>
      <c r="E692">
        <v>4</v>
      </c>
      <c r="F692" s="56">
        <v>500000</v>
      </c>
      <c r="G692" s="56">
        <v>2000000</v>
      </c>
      <c r="H692" t="s">
        <v>872</v>
      </c>
      <c r="I692" s="56">
        <v>0</v>
      </c>
      <c r="J692" s="56">
        <v>30000</v>
      </c>
      <c r="K692" s="56">
        <v>2030000</v>
      </c>
      <c r="L692" t="s">
        <v>884</v>
      </c>
      <c r="M692" t="s">
        <v>901</v>
      </c>
      <c r="N692" t="s">
        <v>911</v>
      </c>
      <c r="O692" s="57">
        <v>45717</v>
      </c>
      <c r="P692" t="s">
        <v>892</v>
      </c>
      <c r="Q692" s="56">
        <v>2000000</v>
      </c>
      <c r="R692" t="s">
        <v>794</v>
      </c>
      <c r="S692" t="s">
        <v>743</v>
      </c>
      <c r="T692" t="s">
        <v>744</v>
      </c>
      <c r="U692" t="s">
        <v>407</v>
      </c>
      <c r="V692" t="s">
        <v>7</v>
      </c>
      <c r="W692" t="s">
        <v>39</v>
      </c>
      <c r="X692" t="s">
        <v>15</v>
      </c>
      <c r="Y692" s="56">
        <f>IF(clean[[#This Row],[is_delivered]]="Yes",clean[[#This Row],[net_sales]],0 )</f>
        <v>0</v>
      </c>
    </row>
    <row r="693" spans="1:25">
      <c r="A693" t="s">
        <v>1462</v>
      </c>
      <c r="B693" s="9">
        <v>45735</v>
      </c>
      <c r="C693" t="s">
        <v>716</v>
      </c>
      <c r="D693" t="s">
        <v>803</v>
      </c>
      <c r="E693">
        <v>1</v>
      </c>
      <c r="F693" s="56">
        <v>50000</v>
      </c>
      <c r="G693" s="56">
        <v>50000</v>
      </c>
      <c r="H693" t="s">
        <v>872</v>
      </c>
      <c r="I693" s="56">
        <v>0</v>
      </c>
      <c r="J693" s="56">
        <v>10000</v>
      </c>
      <c r="K693" s="56">
        <v>60000</v>
      </c>
      <c r="L693" t="s">
        <v>880</v>
      </c>
      <c r="M693" t="s">
        <v>881</v>
      </c>
      <c r="N693" t="s">
        <v>875</v>
      </c>
      <c r="O693" s="57">
        <v>45717</v>
      </c>
      <c r="P693" t="s">
        <v>877</v>
      </c>
      <c r="Q693" s="56">
        <v>50000</v>
      </c>
      <c r="R693" t="s">
        <v>804</v>
      </c>
      <c r="S693" t="s">
        <v>739</v>
      </c>
      <c r="T693" t="s">
        <v>740</v>
      </c>
      <c r="U693" t="s">
        <v>717</v>
      </c>
      <c r="V693" t="s">
        <v>23</v>
      </c>
      <c r="W693" t="s">
        <v>8</v>
      </c>
      <c r="X693" t="s">
        <v>9</v>
      </c>
      <c r="Y693" s="56">
        <f>IF(clean[[#This Row],[is_delivered]]="Yes",clean[[#This Row],[net_sales]],0 )</f>
        <v>50000</v>
      </c>
    </row>
    <row r="694" spans="1:25">
      <c r="A694" t="s">
        <v>1481</v>
      </c>
      <c r="B694" s="9">
        <v>45735</v>
      </c>
      <c r="C694" t="s">
        <v>47</v>
      </c>
      <c r="D694" t="s">
        <v>749</v>
      </c>
      <c r="E694">
        <v>1</v>
      </c>
      <c r="F694" s="56">
        <v>150000</v>
      </c>
      <c r="G694" s="56">
        <v>150000</v>
      </c>
      <c r="H694" t="s">
        <v>886</v>
      </c>
      <c r="I694" s="56">
        <v>15000</v>
      </c>
      <c r="J694" s="56">
        <v>10000</v>
      </c>
      <c r="K694" s="56">
        <v>145000</v>
      </c>
      <c r="L694" t="s">
        <v>889</v>
      </c>
      <c r="M694" t="s">
        <v>901</v>
      </c>
      <c r="N694" t="s">
        <v>890</v>
      </c>
      <c r="O694" s="57">
        <v>45717</v>
      </c>
      <c r="P694" t="s">
        <v>892</v>
      </c>
      <c r="Q694" s="56">
        <v>135000</v>
      </c>
      <c r="R694" t="s">
        <v>750</v>
      </c>
      <c r="S694" t="s">
        <v>727</v>
      </c>
      <c r="T694" t="s">
        <v>728</v>
      </c>
      <c r="U694" t="s">
        <v>48</v>
      </c>
      <c r="V694" t="s">
        <v>23</v>
      </c>
      <c r="W694" t="s">
        <v>36</v>
      </c>
      <c r="X694" t="s">
        <v>9</v>
      </c>
      <c r="Y694" s="56">
        <f>IF(clean[[#This Row],[is_delivered]]="Yes",clean[[#This Row],[net_sales]],0 )</f>
        <v>0</v>
      </c>
    </row>
    <row r="695" spans="1:25">
      <c r="A695" t="s">
        <v>1505</v>
      </c>
      <c r="B695" s="9">
        <v>45735</v>
      </c>
      <c r="C695" t="s">
        <v>562</v>
      </c>
      <c r="D695" t="s">
        <v>773</v>
      </c>
      <c r="E695">
        <v>1</v>
      </c>
      <c r="F695" s="56">
        <v>500000</v>
      </c>
      <c r="G695" s="56">
        <v>500000</v>
      </c>
      <c r="H695" t="s">
        <v>883</v>
      </c>
      <c r="I695" s="56">
        <v>50000</v>
      </c>
      <c r="J695" s="56">
        <v>15000</v>
      </c>
      <c r="K695" s="56">
        <v>465000</v>
      </c>
      <c r="L695" t="s">
        <v>884</v>
      </c>
      <c r="M695" t="s">
        <v>901</v>
      </c>
      <c r="N695" t="s">
        <v>911</v>
      </c>
      <c r="O695" s="57">
        <v>45717</v>
      </c>
      <c r="P695" t="s">
        <v>892</v>
      </c>
      <c r="Q695" s="56">
        <v>450000</v>
      </c>
      <c r="R695" t="s">
        <v>774</v>
      </c>
      <c r="S695" t="s">
        <v>727</v>
      </c>
      <c r="T695" t="s">
        <v>728</v>
      </c>
      <c r="U695" t="s">
        <v>563</v>
      </c>
      <c r="V695" t="s">
        <v>7</v>
      </c>
      <c r="W695" t="s">
        <v>56</v>
      </c>
      <c r="X695" t="s">
        <v>9</v>
      </c>
      <c r="Y695" s="56">
        <f>IF(clean[[#This Row],[is_delivered]]="Yes",clean[[#This Row],[net_sales]],0 )</f>
        <v>0</v>
      </c>
    </row>
    <row r="696" spans="1:25">
      <c r="A696" t="s">
        <v>1534</v>
      </c>
      <c r="B696" s="9">
        <v>45735</v>
      </c>
      <c r="C696" t="s">
        <v>168</v>
      </c>
      <c r="D696" t="s">
        <v>819</v>
      </c>
      <c r="E696">
        <v>3</v>
      </c>
      <c r="F696" s="56">
        <v>300000</v>
      </c>
      <c r="G696" s="56">
        <v>900000</v>
      </c>
      <c r="H696" t="s">
        <v>886</v>
      </c>
      <c r="I696" s="56">
        <v>90000</v>
      </c>
      <c r="J696" s="56">
        <v>30000</v>
      </c>
      <c r="K696" s="56">
        <v>840000</v>
      </c>
      <c r="L696" t="s">
        <v>884</v>
      </c>
      <c r="M696" t="s">
        <v>874</v>
      </c>
      <c r="N696" t="s">
        <v>875</v>
      </c>
      <c r="O696" s="57">
        <v>45717</v>
      </c>
      <c r="P696" t="s">
        <v>877</v>
      </c>
      <c r="Q696" s="56">
        <v>810000</v>
      </c>
      <c r="R696" t="s">
        <v>820</v>
      </c>
      <c r="S696" t="s">
        <v>747</v>
      </c>
      <c r="T696" t="s">
        <v>748</v>
      </c>
      <c r="U696" t="s">
        <v>169</v>
      </c>
      <c r="V696" t="s">
        <v>7</v>
      </c>
      <c r="W696" t="s">
        <v>12</v>
      </c>
      <c r="X696" t="s">
        <v>24</v>
      </c>
      <c r="Y696" s="56">
        <f>IF(clean[[#This Row],[is_delivered]]="Yes",clean[[#This Row],[net_sales]],0 )</f>
        <v>810000</v>
      </c>
    </row>
    <row r="697" spans="1:25">
      <c r="A697" t="s">
        <v>1823</v>
      </c>
      <c r="B697" s="9">
        <v>45735</v>
      </c>
      <c r="C697" t="s">
        <v>714</v>
      </c>
      <c r="D697" t="s">
        <v>851</v>
      </c>
      <c r="E697">
        <v>2</v>
      </c>
      <c r="F697" s="56">
        <v>35000</v>
      </c>
      <c r="G697" s="56">
        <v>70000</v>
      </c>
      <c r="H697" t="s">
        <v>883</v>
      </c>
      <c r="I697" s="56">
        <v>7000</v>
      </c>
      <c r="J697" s="56">
        <v>15000</v>
      </c>
      <c r="K697" s="56">
        <v>78000</v>
      </c>
      <c r="L697" t="s">
        <v>880</v>
      </c>
      <c r="M697" t="s">
        <v>881</v>
      </c>
      <c r="N697" t="s">
        <v>875</v>
      </c>
      <c r="O697" s="57">
        <v>45717</v>
      </c>
      <c r="P697" t="s">
        <v>877</v>
      </c>
      <c r="Q697" s="56">
        <v>63000</v>
      </c>
      <c r="R697" t="s">
        <v>852</v>
      </c>
      <c r="S697" t="s">
        <v>739</v>
      </c>
      <c r="T697" t="s">
        <v>740</v>
      </c>
      <c r="U697" t="s">
        <v>715</v>
      </c>
      <c r="V697" t="s">
        <v>23</v>
      </c>
      <c r="W697" t="s">
        <v>29</v>
      </c>
      <c r="X697" t="s">
        <v>9</v>
      </c>
      <c r="Y697" s="56">
        <f>IF(clean[[#This Row],[is_delivered]]="Yes",clean[[#This Row],[net_sales]],0 )</f>
        <v>63000</v>
      </c>
    </row>
    <row r="698" spans="1:25">
      <c r="A698" t="s">
        <v>1901</v>
      </c>
      <c r="B698" s="9">
        <v>45735</v>
      </c>
      <c r="C698" t="s">
        <v>200</v>
      </c>
      <c r="D698" t="s">
        <v>781</v>
      </c>
      <c r="E698">
        <v>3</v>
      </c>
      <c r="F698" s="56">
        <v>50000</v>
      </c>
      <c r="G698" s="56">
        <v>150000</v>
      </c>
      <c r="H698" t="s">
        <v>886</v>
      </c>
      <c r="I698" s="56">
        <v>15000</v>
      </c>
      <c r="J698" s="56">
        <v>25000</v>
      </c>
      <c r="K698" s="56">
        <v>160000</v>
      </c>
      <c r="L698" t="s">
        <v>873</v>
      </c>
      <c r="M698" t="s">
        <v>881</v>
      </c>
      <c r="N698" t="s">
        <v>890</v>
      </c>
      <c r="O698" s="57">
        <v>45717</v>
      </c>
      <c r="P698" t="s">
        <v>892</v>
      </c>
      <c r="Q698" s="56">
        <v>135000</v>
      </c>
      <c r="R698" t="s">
        <v>782</v>
      </c>
      <c r="S698" t="s">
        <v>743</v>
      </c>
      <c r="T698" t="s">
        <v>744</v>
      </c>
      <c r="U698" t="s">
        <v>201</v>
      </c>
      <c r="V698" t="s">
        <v>7</v>
      </c>
      <c r="W698" t="s">
        <v>51</v>
      </c>
      <c r="X698" t="s">
        <v>9</v>
      </c>
      <c r="Y698" s="56">
        <f>IF(clean[[#This Row],[is_delivered]]="Yes",clean[[#This Row],[net_sales]],0 )</f>
        <v>0</v>
      </c>
    </row>
    <row r="699" spans="1:25">
      <c r="A699" t="s">
        <v>1132</v>
      </c>
      <c r="B699" s="9">
        <v>45734</v>
      </c>
      <c r="C699" t="s">
        <v>135</v>
      </c>
      <c r="D699" t="s">
        <v>829</v>
      </c>
      <c r="E699">
        <v>3</v>
      </c>
      <c r="F699" s="56">
        <v>500000</v>
      </c>
      <c r="G699" s="56">
        <v>1500000</v>
      </c>
      <c r="H699" t="s">
        <v>895</v>
      </c>
      <c r="I699" s="56">
        <v>225000</v>
      </c>
      <c r="J699" s="56">
        <v>30000</v>
      </c>
      <c r="K699" s="56">
        <v>1305000</v>
      </c>
      <c r="L699" t="s">
        <v>884</v>
      </c>
      <c r="M699" t="s">
        <v>874</v>
      </c>
      <c r="N699" t="s">
        <v>875</v>
      </c>
      <c r="O699" s="57">
        <v>45717</v>
      </c>
      <c r="P699" t="s">
        <v>877</v>
      </c>
      <c r="Q699" s="56">
        <v>1275000</v>
      </c>
      <c r="R699" t="s">
        <v>830</v>
      </c>
      <c r="S699" t="s">
        <v>743</v>
      </c>
      <c r="T699" t="s">
        <v>744</v>
      </c>
      <c r="U699" t="s">
        <v>136</v>
      </c>
      <c r="V699" t="s">
        <v>23</v>
      </c>
      <c r="W699" t="s">
        <v>137</v>
      </c>
      <c r="X699" t="s">
        <v>24</v>
      </c>
      <c r="Y699" s="56">
        <f>IF(clean[[#This Row],[is_delivered]]="Yes",clean[[#This Row],[net_sales]],0 )</f>
        <v>1275000</v>
      </c>
    </row>
    <row r="700" spans="1:25">
      <c r="A700" t="s">
        <v>964</v>
      </c>
      <c r="B700" s="9">
        <v>45734</v>
      </c>
      <c r="C700" t="s">
        <v>250</v>
      </c>
      <c r="D700" t="s">
        <v>787</v>
      </c>
      <c r="E700">
        <v>3</v>
      </c>
      <c r="F700" s="56">
        <v>200000</v>
      </c>
      <c r="G700" s="56">
        <v>600000</v>
      </c>
      <c r="H700" t="s">
        <v>895</v>
      </c>
      <c r="I700" s="56">
        <v>90000</v>
      </c>
      <c r="J700" s="56">
        <v>15000</v>
      </c>
      <c r="K700" s="56">
        <v>525000</v>
      </c>
      <c r="L700" t="s">
        <v>880</v>
      </c>
      <c r="M700" t="s">
        <v>903</v>
      </c>
      <c r="N700" t="s">
        <v>875</v>
      </c>
      <c r="O700" s="57">
        <v>45717</v>
      </c>
      <c r="P700" t="s">
        <v>877</v>
      </c>
      <c r="Q700" s="56">
        <v>510000</v>
      </c>
      <c r="R700" t="s">
        <v>788</v>
      </c>
      <c r="S700" t="s">
        <v>731</v>
      </c>
      <c r="T700" t="s">
        <v>732</v>
      </c>
      <c r="U700" t="s">
        <v>251</v>
      </c>
      <c r="V700" t="s">
        <v>23</v>
      </c>
      <c r="W700" t="s">
        <v>36</v>
      </c>
      <c r="X700" t="s">
        <v>9</v>
      </c>
      <c r="Y700" s="56">
        <f>IF(clean[[#This Row],[is_delivered]]="Yes",clean[[#This Row],[net_sales]],0 )</f>
        <v>510000</v>
      </c>
    </row>
    <row r="701" spans="1:25">
      <c r="A701" t="s">
        <v>1001</v>
      </c>
      <c r="B701" s="9">
        <v>45734</v>
      </c>
      <c r="C701" t="s">
        <v>282</v>
      </c>
      <c r="D701" t="s">
        <v>787</v>
      </c>
      <c r="E701">
        <v>1</v>
      </c>
      <c r="F701" s="56">
        <v>200000</v>
      </c>
      <c r="G701" s="56">
        <v>200000</v>
      </c>
      <c r="H701" t="s">
        <v>872</v>
      </c>
      <c r="I701" s="56">
        <v>0</v>
      </c>
      <c r="J701" s="56">
        <v>30000</v>
      </c>
      <c r="K701" s="56">
        <v>230000</v>
      </c>
      <c r="L701" t="s">
        <v>889</v>
      </c>
      <c r="M701" t="s">
        <v>874</v>
      </c>
      <c r="N701" t="s">
        <v>875</v>
      </c>
      <c r="O701" s="57">
        <v>45717</v>
      </c>
      <c r="P701" t="s">
        <v>877</v>
      </c>
      <c r="Q701" s="56">
        <v>200000</v>
      </c>
      <c r="R701" t="s">
        <v>788</v>
      </c>
      <c r="S701" t="s">
        <v>731</v>
      </c>
      <c r="T701" t="s">
        <v>732</v>
      </c>
      <c r="U701" t="s">
        <v>283</v>
      </c>
      <c r="V701" t="s">
        <v>7</v>
      </c>
      <c r="W701" t="s">
        <v>46</v>
      </c>
      <c r="X701" t="s">
        <v>9</v>
      </c>
      <c r="Y701" s="56">
        <f>IF(clean[[#This Row],[is_delivered]]="Yes",clean[[#This Row],[net_sales]],0 )</f>
        <v>200000</v>
      </c>
    </row>
    <row r="702" spans="1:25">
      <c r="A702" t="s">
        <v>1096</v>
      </c>
      <c r="B702" s="9">
        <v>45734</v>
      </c>
      <c r="C702" t="s">
        <v>432</v>
      </c>
      <c r="D702" t="s">
        <v>771</v>
      </c>
      <c r="E702">
        <v>1</v>
      </c>
      <c r="F702" s="56">
        <v>500000</v>
      </c>
      <c r="G702" s="56">
        <v>500000</v>
      </c>
      <c r="H702" t="s">
        <v>872</v>
      </c>
      <c r="I702" s="56">
        <v>0</v>
      </c>
      <c r="J702" s="56">
        <v>15000</v>
      </c>
      <c r="K702" s="56">
        <v>515000</v>
      </c>
      <c r="L702" t="s">
        <v>873</v>
      </c>
      <c r="M702" t="s">
        <v>881</v>
      </c>
      <c r="N702" t="s">
        <v>911</v>
      </c>
      <c r="O702" s="57">
        <v>45717</v>
      </c>
      <c r="P702" t="s">
        <v>892</v>
      </c>
      <c r="Q702" s="56">
        <v>500000</v>
      </c>
      <c r="R702" t="s">
        <v>772</v>
      </c>
      <c r="S702" t="s">
        <v>747</v>
      </c>
      <c r="T702" t="s">
        <v>748</v>
      </c>
      <c r="U702" t="s">
        <v>433</v>
      </c>
      <c r="V702" t="s">
        <v>23</v>
      </c>
      <c r="W702" t="s">
        <v>39</v>
      </c>
      <c r="X702" t="s">
        <v>9</v>
      </c>
      <c r="Y702" s="56">
        <f>IF(clean[[#This Row],[is_delivered]]="Yes",clean[[#This Row],[net_sales]],0 )</f>
        <v>0</v>
      </c>
    </row>
    <row r="703" spans="1:25">
      <c r="A703" t="s">
        <v>1356</v>
      </c>
      <c r="B703" s="9">
        <v>45734</v>
      </c>
      <c r="C703" t="s">
        <v>510</v>
      </c>
      <c r="D703" t="s">
        <v>729</v>
      </c>
      <c r="E703">
        <v>1</v>
      </c>
      <c r="F703" s="56">
        <v>100000</v>
      </c>
      <c r="G703" s="56">
        <v>100000</v>
      </c>
      <c r="H703" t="s">
        <v>895</v>
      </c>
      <c r="I703" s="56">
        <v>15000</v>
      </c>
      <c r="J703" s="56">
        <v>25000</v>
      </c>
      <c r="K703" s="56">
        <v>110000</v>
      </c>
      <c r="L703" t="s">
        <v>873</v>
      </c>
      <c r="M703" t="s">
        <v>881</v>
      </c>
      <c r="N703" t="s">
        <v>875</v>
      </c>
      <c r="O703" s="57">
        <v>45717</v>
      </c>
      <c r="P703" t="s">
        <v>877</v>
      </c>
      <c r="Q703" s="56">
        <v>85000</v>
      </c>
      <c r="R703" t="s">
        <v>730</v>
      </c>
      <c r="S703" t="s">
        <v>731</v>
      </c>
      <c r="T703" t="s">
        <v>732</v>
      </c>
      <c r="U703" t="s">
        <v>511</v>
      </c>
      <c r="V703" t="s">
        <v>7</v>
      </c>
      <c r="W703" t="s">
        <v>12</v>
      </c>
      <c r="X703" t="s">
        <v>24</v>
      </c>
      <c r="Y703" s="56">
        <f>IF(clean[[#This Row],[is_delivered]]="Yes",clean[[#This Row],[net_sales]],0 )</f>
        <v>85000</v>
      </c>
    </row>
    <row r="704" spans="1:25">
      <c r="A704" t="s">
        <v>1867</v>
      </c>
      <c r="B704" s="9">
        <v>45734</v>
      </c>
      <c r="C704" t="s">
        <v>127</v>
      </c>
      <c r="D704" t="s">
        <v>837</v>
      </c>
      <c r="E704">
        <v>3</v>
      </c>
      <c r="F704" s="56">
        <v>300000</v>
      </c>
      <c r="G704" s="56">
        <v>900000</v>
      </c>
      <c r="H704" t="s">
        <v>872</v>
      </c>
      <c r="I704" s="56">
        <v>0</v>
      </c>
      <c r="J704" s="56">
        <v>10000</v>
      </c>
      <c r="K704" s="56">
        <v>910000</v>
      </c>
      <c r="L704" t="s">
        <v>884</v>
      </c>
      <c r="M704" t="s">
        <v>901</v>
      </c>
      <c r="N704" t="s">
        <v>890</v>
      </c>
      <c r="O704" s="57">
        <v>45717</v>
      </c>
      <c r="P704" t="s">
        <v>892</v>
      </c>
      <c r="Q704" s="56">
        <v>900000</v>
      </c>
      <c r="R704" t="s">
        <v>838</v>
      </c>
      <c r="S704" t="s">
        <v>735</v>
      </c>
      <c r="T704" t="s">
        <v>736</v>
      </c>
      <c r="U704" t="s">
        <v>128</v>
      </c>
      <c r="V704" t="s">
        <v>7</v>
      </c>
      <c r="W704" t="s">
        <v>39</v>
      </c>
      <c r="X704" t="s">
        <v>15</v>
      </c>
      <c r="Y704" s="56">
        <f>IF(clean[[#This Row],[is_delivered]]="Yes",clean[[#This Row],[net_sales]],0 )</f>
        <v>0</v>
      </c>
    </row>
    <row r="705" spans="1:25">
      <c r="A705" t="s">
        <v>1892</v>
      </c>
      <c r="B705" s="9">
        <v>45734</v>
      </c>
      <c r="C705" t="s">
        <v>562</v>
      </c>
      <c r="D705" t="s">
        <v>817</v>
      </c>
      <c r="E705">
        <v>1</v>
      </c>
      <c r="F705" s="56">
        <v>75000</v>
      </c>
      <c r="G705" s="56">
        <v>75000</v>
      </c>
      <c r="H705" t="s">
        <v>895</v>
      </c>
      <c r="I705" s="56">
        <v>11250</v>
      </c>
      <c r="J705" s="56">
        <v>25000</v>
      </c>
      <c r="K705" s="56">
        <v>88750</v>
      </c>
      <c r="L705" t="s">
        <v>889</v>
      </c>
      <c r="M705" t="s">
        <v>903</v>
      </c>
      <c r="N705" t="s">
        <v>875</v>
      </c>
      <c r="O705" s="57">
        <v>45717</v>
      </c>
      <c r="P705" t="s">
        <v>877</v>
      </c>
      <c r="Q705" s="56">
        <v>63750</v>
      </c>
      <c r="R705" t="s">
        <v>818</v>
      </c>
      <c r="S705" t="s">
        <v>743</v>
      </c>
      <c r="T705" t="s">
        <v>744</v>
      </c>
      <c r="U705" t="s">
        <v>563</v>
      </c>
      <c r="V705" t="s">
        <v>7</v>
      </c>
      <c r="W705" t="s">
        <v>56</v>
      </c>
      <c r="X705" t="s">
        <v>9</v>
      </c>
      <c r="Y705" s="56">
        <f>IF(clean[[#This Row],[is_delivered]]="Yes",clean[[#This Row],[net_sales]],0 )</f>
        <v>63750</v>
      </c>
    </row>
    <row r="706" spans="1:25">
      <c r="A706" t="s">
        <v>2073</v>
      </c>
      <c r="B706" s="9">
        <v>45734</v>
      </c>
      <c r="C706" t="s">
        <v>682</v>
      </c>
      <c r="D706" t="s">
        <v>829</v>
      </c>
      <c r="E706">
        <v>1</v>
      </c>
      <c r="F706" s="56">
        <v>500000</v>
      </c>
      <c r="G706" s="56">
        <v>500000</v>
      </c>
      <c r="H706" t="s">
        <v>872</v>
      </c>
      <c r="I706" s="56">
        <v>0</v>
      </c>
      <c r="J706" s="56">
        <v>15000</v>
      </c>
      <c r="K706" s="56">
        <v>515000</v>
      </c>
      <c r="L706" t="s">
        <v>880</v>
      </c>
      <c r="M706" t="s">
        <v>881</v>
      </c>
      <c r="N706" t="s">
        <v>875</v>
      </c>
      <c r="O706" s="57">
        <v>45717</v>
      </c>
      <c r="P706" t="s">
        <v>877</v>
      </c>
      <c r="Q706" s="56">
        <v>500000</v>
      </c>
      <c r="R706" t="s">
        <v>830</v>
      </c>
      <c r="S706" t="s">
        <v>743</v>
      </c>
      <c r="T706" t="s">
        <v>744</v>
      </c>
      <c r="U706" t="s">
        <v>683</v>
      </c>
      <c r="V706" t="s">
        <v>7</v>
      </c>
      <c r="W706" t="s">
        <v>137</v>
      </c>
      <c r="X706" t="s">
        <v>9</v>
      </c>
      <c r="Y706" s="56">
        <f>IF(clean[[#This Row],[is_delivered]]="Yes",clean[[#This Row],[net_sales]],0 )</f>
        <v>500000</v>
      </c>
    </row>
    <row r="707" spans="1:25">
      <c r="A707" t="s">
        <v>2089</v>
      </c>
      <c r="B707" s="9">
        <v>45734</v>
      </c>
      <c r="C707" t="s">
        <v>288</v>
      </c>
      <c r="D707" t="s">
        <v>751</v>
      </c>
      <c r="E707">
        <v>2</v>
      </c>
      <c r="F707" s="56">
        <v>150000</v>
      </c>
      <c r="G707" s="56">
        <v>300000</v>
      </c>
      <c r="H707" t="s">
        <v>886</v>
      </c>
      <c r="I707" s="56">
        <v>30000</v>
      </c>
      <c r="J707" s="56">
        <v>20000</v>
      </c>
      <c r="K707" s="56">
        <v>290000</v>
      </c>
      <c r="L707" t="s">
        <v>873</v>
      </c>
      <c r="M707" t="s">
        <v>874</v>
      </c>
      <c r="N707" t="s">
        <v>875</v>
      </c>
      <c r="O707" s="57">
        <v>45717</v>
      </c>
      <c r="P707" t="s">
        <v>877</v>
      </c>
      <c r="Q707" s="56">
        <v>270000</v>
      </c>
      <c r="R707" t="s">
        <v>752</v>
      </c>
      <c r="S707" t="s">
        <v>731</v>
      </c>
      <c r="T707" t="s">
        <v>732</v>
      </c>
      <c r="U707" t="s">
        <v>289</v>
      </c>
      <c r="V707" t="s">
        <v>7</v>
      </c>
      <c r="W707" t="s">
        <v>56</v>
      </c>
      <c r="X707" t="s">
        <v>9</v>
      </c>
      <c r="Y707" s="56">
        <f>IF(clean[[#This Row],[is_delivered]]="Yes",clean[[#This Row],[net_sales]],0 )</f>
        <v>270000</v>
      </c>
    </row>
    <row r="708" spans="1:25">
      <c r="A708" t="s">
        <v>989</v>
      </c>
      <c r="B708" s="9">
        <v>45733</v>
      </c>
      <c r="C708" t="s">
        <v>674</v>
      </c>
      <c r="D708" t="s">
        <v>785</v>
      </c>
      <c r="E708">
        <v>3</v>
      </c>
      <c r="F708" s="56">
        <v>100000</v>
      </c>
      <c r="G708" s="56">
        <v>300000</v>
      </c>
      <c r="H708" t="s">
        <v>895</v>
      </c>
      <c r="I708" s="56">
        <v>45000</v>
      </c>
      <c r="J708" s="56">
        <v>30000</v>
      </c>
      <c r="K708" s="56">
        <v>285000</v>
      </c>
      <c r="L708" t="s">
        <v>873</v>
      </c>
      <c r="M708" t="s">
        <v>881</v>
      </c>
      <c r="N708" t="s">
        <v>911</v>
      </c>
      <c r="O708" s="57">
        <v>45717</v>
      </c>
      <c r="P708" t="s">
        <v>892</v>
      </c>
      <c r="Q708" s="56">
        <v>255000</v>
      </c>
      <c r="R708" t="s">
        <v>786</v>
      </c>
      <c r="S708" t="s">
        <v>727</v>
      </c>
      <c r="T708" t="s">
        <v>728</v>
      </c>
      <c r="U708" t="s">
        <v>675</v>
      </c>
      <c r="V708" t="s">
        <v>7</v>
      </c>
      <c r="W708" t="s">
        <v>39</v>
      </c>
      <c r="X708" t="s">
        <v>15</v>
      </c>
      <c r="Y708" s="56">
        <f>IF(clean[[#This Row],[is_delivered]]="Yes",clean[[#This Row],[net_sales]],0 )</f>
        <v>0</v>
      </c>
    </row>
    <row r="709" spans="1:25">
      <c r="A709" t="s">
        <v>1106</v>
      </c>
      <c r="B709" s="9">
        <v>45733</v>
      </c>
      <c r="C709" t="s">
        <v>366</v>
      </c>
      <c r="D709" t="s">
        <v>829</v>
      </c>
      <c r="E709">
        <v>4</v>
      </c>
      <c r="F709" s="56">
        <v>500000</v>
      </c>
      <c r="G709" s="56">
        <v>2000000</v>
      </c>
      <c r="H709" t="s">
        <v>872</v>
      </c>
      <c r="I709" s="56">
        <v>0</v>
      </c>
      <c r="J709" s="56">
        <v>30000</v>
      </c>
      <c r="K709" s="56">
        <v>2030000</v>
      </c>
      <c r="L709" t="s">
        <v>880</v>
      </c>
      <c r="M709" t="s">
        <v>901</v>
      </c>
      <c r="N709" t="s">
        <v>875</v>
      </c>
      <c r="O709" s="57">
        <v>45717</v>
      </c>
      <c r="P709" t="s">
        <v>877</v>
      </c>
      <c r="Q709" s="56">
        <v>2000000</v>
      </c>
      <c r="R709" t="s">
        <v>830</v>
      </c>
      <c r="S709" t="s">
        <v>743</v>
      </c>
      <c r="T709" t="s">
        <v>744</v>
      </c>
      <c r="U709" t="s">
        <v>367</v>
      </c>
      <c r="V709" t="s">
        <v>23</v>
      </c>
      <c r="W709" t="s">
        <v>36</v>
      </c>
      <c r="X709" t="s">
        <v>24</v>
      </c>
      <c r="Y709" s="56">
        <f>IF(clean[[#This Row],[is_delivered]]="Yes",clean[[#This Row],[net_sales]],0 )</f>
        <v>2000000</v>
      </c>
    </row>
    <row r="710" spans="1:25">
      <c r="A710" t="s">
        <v>1197</v>
      </c>
      <c r="B710" s="9">
        <v>45733</v>
      </c>
      <c r="C710" t="s">
        <v>582</v>
      </c>
      <c r="D710" t="s">
        <v>837</v>
      </c>
      <c r="E710">
        <v>1</v>
      </c>
      <c r="F710" s="56">
        <v>300000</v>
      </c>
      <c r="G710" s="56">
        <v>300000</v>
      </c>
      <c r="H710" t="s">
        <v>879</v>
      </c>
      <c r="I710" s="56">
        <v>60000</v>
      </c>
      <c r="J710" s="56">
        <v>30000</v>
      </c>
      <c r="K710" s="56">
        <v>270000</v>
      </c>
      <c r="L710" t="s">
        <v>884</v>
      </c>
      <c r="M710" t="s">
        <v>881</v>
      </c>
      <c r="N710" t="s">
        <v>875</v>
      </c>
      <c r="O710" s="57">
        <v>45717</v>
      </c>
      <c r="P710" t="s">
        <v>877</v>
      </c>
      <c r="Q710" s="56">
        <v>240000</v>
      </c>
      <c r="R710" t="s">
        <v>838</v>
      </c>
      <c r="S710" t="s">
        <v>735</v>
      </c>
      <c r="T710" t="s">
        <v>736</v>
      </c>
      <c r="U710" t="s">
        <v>583</v>
      </c>
      <c r="V710" t="s">
        <v>23</v>
      </c>
      <c r="W710" t="s">
        <v>12</v>
      </c>
      <c r="X710" t="s">
        <v>15</v>
      </c>
      <c r="Y710" s="56">
        <f>IF(clean[[#This Row],[is_delivered]]="Yes",clean[[#This Row],[net_sales]],0 )</f>
        <v>240000</v>
      </c>
    </row>
    <row r="711" spans="1:25">
      <c r="A711" t="s">
        <v>1267</v>
      </c>
      <c r="B711" s="9">
        <v>45733</v>
      </c>
      <c r="C711" t="s">
        <v>358</v>
      </c>
      <c r="D711" t="s">
        <v>761</v>
      </c>
      <c r="E711">
        <v>1</v>
      </c>
      <c r="F711" s="56">
        <v>75000</v>
      </c>
      <c r="G711" s="56">
        <v>75000</v>
      </c>
      <c r="H711" t="s">
        <v>872</v>
      </c>
      <c r="I711" s="56">
        <v>0</v>
      </c>
      <c r="J711" s="56">
        <v>30000</v>
      </c>
      <c r="K711" s="56">
        <v>105000</v>
      </c>
      <c r="L711" t="s">
        <v>889</v>
      </c>
      <c r="M711" t="s">
        <v>881</v>
      </c>
      <c r="N711" t="s">
        <v>875</v>
      </c>
      <c r="O711" s="57">
        <v>45717</v>
      </c>
      <c r="P711" t="s">
        <v>877</v>
      </c>
      <c r="Q711" s="56">
        <v>75000</v>
      </c>
      <c r="R711" t="s">
        <v>762</v>
      </c>
      <c r="S711" t="s">
        <v>727</v>
      </c>
      <c r="T711" t="s">
        <v>728</v>
      </c>
      <c r="U711" t="s">
        <v>359</v>
      </c>
      <c r="V711" t="s">
        <v>7</v>
      </c>
      <c r="W711" t="s">
        <v>137</v>
      </c>
      <c r="X711" t="s">
        <v>9</v>
      </c>
      <c r="Y711" s="56">
        <f>IF(clean[[#This Row],[is_delivered]]="Yes",clean[[#This Row],[net_sales]],0 )</f>
        <v>75000</v>
      </c>
    </row>
    <row r="712" spans="1:25">
      <c r="A712" t="s">
        <v>1354</v>
      </c>
      <c r="B712" s="9">
        <v>45733</v>
      </c>
      <c r="C712" t="s">
        <v>260</v>
      </c>
      <c r="D712" t="s">
        <v>819</v>
      </c>
      <c r="E712">
        <v>1</v>
      </c>
      <c r="F712" s="56">
        <v>300000</v>
      </c>
      <c r="G712" s="56">
        <v>300000</v>
      </c>
      <c r="H712" t="s">
        <v>872</v>
      </c>
      <c r="I712" s="56">
        <v>0</v>
      </c>
      <c r="J712" s="56">
        <v>20000</v>
      </c>
      <c r="K712" s="56">
        <v>320000</v>
      </c>
      <c r="L712" t="s">
        <v>889</v>
      </c>
      <c r="M712" t="s">
        <v>901</v>
      </c>
      <c r="N712" t="s">
        <v>875</v>
      </c>
      <c r="O712" s="57">
        <v>45717</v>
      </c>
      <c r="P712" t="s">
        <v>877</v>
      </c>
      <c r="Q712" s="56">
        <v>300000</v>
      </c>
      <c r="R712" t="s">
        <v>820</v>
      </c>
      <c r="S712" t="s">
        <v>747</v>
      </c>
      <c r="T712" t="s">
        <v>748</v>
      </c>
      <c r="U712" t="s">
        <v>261</v>
      </c>
      <c r="V712" t="s">
        <v>7</v>
      </c>
      <c r="W712" t="s">
        <v>51</v>
      </c>
      <c r="X712" t="s">
        <v>9</v>
      </c>
      <c r="Y712" s="56">
        <f>IF(clean[[#This Row],[is_delivered]]="Yes",clean[[#This Row],[net_sales]],0 )</f>
        <v>300000</v>
      </c>
    </row>
    <row r="713" spans="1:25">
      <c r="A713" t="s">
        <v>1409</v>
      </c>
      <c r="B713" s="9">
        <v>45733</v>
      </c>
      <c r="C713" t="s">
        <v>512</v>
      </c>
      <c r="D713" t="s">
        <v>793</v>
      </c>
      <c r="E713">
        <v>1</v>
      </c>
      <c r="F713" s="56">
        <v>500000</v>
      </c>
      <c r="G713" s="56">
        <v>500000</v>
      </c>
      <c r="H713" t="s">
        <v>886</v>
      </c>
      <c r="I713" s="56">
        <v>50000</v>
      </c>
      <c r="J713" s="56">
        <v>30000</v>
      </c>
      <c r="K713" s="56">
        <v>480000</v>
      </c>
      <c r="L713" t="s">
        <v>884</v>
      </c>
      <c r="M713" t="s">
        <v>903</v>
      </c>
      <c r="N713" t="s">
        <v>875</v>
      </c>
      <c r="O713" s="57">
        <v>45717</v>
      </c>
      <c r="P713" t="s">
        <v>877</v>
      </c>
      <c r="Q713" s="56">
        <v>450000</v>
      </c>
      <c r="R713" t="s">
        <v>794</v>
      </c>
      <c r="S713" t="s">
        <v>743</v>
      </c>
      <c r="T713" t="s">
        <v>744</v>
      </c>
      <c r="U713" t="s">
        <v>513</v>
      </c>
      <c r="V713" t="s">
        <v>23</v>
      </c>
      <c r="W713" t="s">
        <v>39</v>
      </c>
      <c r="X713" t="s">
        <v>24</v>
      </c>
      <c r="Y713" s="56">
        <f>IF(clean[[#This Row],[is_delivered]]="Yes",clean[[#This Row],[net_sales]],0 )</f>
        <v>450000</v>
      </c>
    </row>
    <row r="714" spans="1:25">
      <c r="A714" t="s">
        <v>1526</v>
      </c>
      <c r="B714" s="9">
        <v>45733</v>
      </c>
      <c r="C714" t="s">
        <v>234</v>
      </c>
      <c r="D714" t="s">
        <v>791</v>
      </c>
      <c r="E714">
        <v>1</v>
      </c>
      <c r="F714" s="56">
        <v>50000</v>
      </c>
      <c r="G714" s="56">
        <v>50000</v>
      </c>
      <c r="H714" t="s">
        <v>872</v>
      </c>
      <c r="I714" s="56">
        <v>0</v>
      </c>
      <c r="J714" s="56">
        <v>15000</v>
      </c>
      <c r="K714" s="56">
        <v>65000</v>
      </c>
      <c r="L714" t="s">
        <v>873</v>
      </c>
      <c r="M714" t="s">
        <v>903</v>
      </c>
      <c r="N714" t="s">
        <v>875</v>
      </c>
      <c r="O714" s="57">
        <v>45717</v>
      </c>
      <c r="P714" t="s">
        <v>877</v>
      </c>
      <c r="Q714" s="56">
        <v>50000</v>
      </c>
      <c r="R714" t="s">
        <v>792</v>
      </c>
      <c r="S714" t="s">
        <v>739</v>
      </c>
      <c r="T714" t="s">
        <v>740</v>
      </c>
      <c r="U714" t="s">
        <v>235</v>
      </c>
      <c r="V714" t="s">
        <v>7</v>
      </c>
      <c r="W714" t="s">
        <v>29</v>
      </c>
      <c r="X714" t="s">
        <v>9</v>
      </c>
      <c r="Y714" s="56">
        <f>IF(clean[[#This Row],[is_delivered]]="Yes",clean[[#This Row],[net_sales]],0 )</f>
        <v>50000</v>
      </c>
    </row>
    <row r="715" spans="1:25">
      <c r="A715" t="s">
        <v>1951</v>
      </c>
      <c r="B715" s="9">
        <v>45733</v>
      </c>
      <c r="C715" t="s">
        <v>516</v>
      </c>
      <c r="D715" t="s">
        <v>773</v>
      </c>
      <c r="E715">
        <v>1</v>
      </c>
      <c r="F715" s="56">
        <v>500000</v>
      </c>
      <c r="G715" s="56">
        <v>500000</v>
      </c>
      <c r="H715" t="s">
        <v>883</v>
      </c>
      <c r="I715" s="56">
        <v>50000</v>
      </c>
      <c r="J715" s="56">
        <v>10000</v>
      </c>
      <c r="K715" s="56">
        <v>460000</v>
      </c>
      <c r="L715" t="s">
        <v>880</v>
      </c>
      <c r="M715" t="s">
        <v>881</v>
      </c>
      <c r="N715" t="s">
        <v>890</v>
      </c>
      <c r="O715" s="57">
        <v>45717</v>
      </c>
      <c r="P715" t="s">
        <v>892</v>
      </c>
      <c r="Q715" s="56">
        <v>450000</v>
      </c>
      <c r="R715" t="s">
        <v>774</v>
      </c>
      <c r="S715" t="s">
        <v>727</v>
      </c>
      <c r="T715" t="s">
        <v>728</v>
      </c>
      <c r="U715" t="s">
        <v>517</v>
      </c>
      <c r="V715" t="s">
        <v>23</v>
      </c>
      <c r="W715" t="s">
        <v>36</v>
      </c>
      <c r="X715" t="s">
        <v>9</v>
      </c>
      <c r="Y715" s="56">
        <f>IF(clean[[#This Row],[is_delivered]]="Yes",clean[[#This Row],[net_sales]],0 )</f>
        <v>0</v>
      </c>
    </row>
    <row r="716" spans="1:25">
      <c r="A716" t="s">
        <v>1959</v>
      </c>
      <c r="B716" s="9">
        <v>45733</v>
      </c>
      <c r="C716" t="s">
        <v>708</v>
      </c>
      <c r="D716" t="s">
        <v>751</v>
      </c>
      <c r="E716">
        <v>1</v>
      </c>
      <c r="F716" s="56">
        <v>150000</v>
      </c>
      <c r="G716" s="56">
        <v>150000</v>
      </c>
      <c r="H716" t="s">
        <v>872</v>
      </c>
      <c r="I716" s="56">
        <v>0</v>
      </c>
      <c r="J716" s="56">
        <v>25000</v>
      </c>
      <c r="K716" s="56">
        <v>175000</v>
      </c>
      <c r="L716" t="s">
        <v>873</v>
      </c>
      <c r="M716" t="s">
        <v>881</v>
      </c>
      <c r="N716" t="s">
        <v>905</v>
      </c>
      <c r="O716" s="57">
        <v>45717</v>
      </c>
      <c r="P716" t="s">
        <v>892</v>
      </c>
      <c r="Q716" s="56">
        <v>150000</v>
      </c>
      <c r="R716" t="s">
        <v>752</v>
      </c>
      <c r="S716" t="s">
        <v>731</v>
      </c>
      <c r="T716" t="s">
        <v>732</v>
      </c>
      <c r="U716" t="s">
        <v>709</v>
      </c>
      <c r="V716" t="s">
        <v>23</v>
      </c>
      <c r="W716" t="s">
        <v>39</v>
      </c>
      <c r="X716" t="s">
        <v>9</v>
      </c>
      <c r="Y716" s="56">
        <f>IF(clean[[#This Row],[is_delivered]]="Yes",clean[[#This Row],[net_sales]],0 )</f>
        <v>0</v>
      </c>
    </row>
    <row r="717" spans="1:25">
      <c r="A717" t="s">
        <v>2024</v>
      </c>
      <c r="B717" s="9">
        <v>45733</v>
      </c>
      <c r="C717" t="s">
        <v>412</v>
      </c>
      <c r="D717" t="s">
        <v>811</v>
      </c>
      <c r="E717">
        <v>3</v>
      </c>
      <c r="F717" s="56">
        <v>35000</v>
      </c>
      <c r="G717" s="56">
        <v>105000</v>
      </c>
      <c r="H717" t="s">
        <v>886</v>
      </c>
      <c r="I717" s="56">
        <v>10500</v>
      </c>
      <c r="J717" s="56">
        <v>25000</v>
      </c>
      <c r="K717" s="56">
        <v>119500</v>
      </c>
      <c r="L717" t="s">
        <v>884</v>
      </c>
      <c r="M717" t="s">
        <v>874</v>
      </c>
      <c r="N717" t="s">
        <v>905</v>
      </c>
      <c r="O717" s="57">
        <v>45717</v>
      </c>
      <c r="P717" t="s">
        <v>892</v>
      </c>
      <c r="Q717" s="56">
        <v>94500</v>
      </c>
      <c r="R717" t="s">
        <v>812</v>
      </c>
      <c r="S717" t="s">
        <v>731</v>
      </c>
      <c r="T717" t="s">
        <v>732</v>
      </c>
      <c r="U717" t="s">
        <v>413</v>
      </c>
      <c r="V717" t="s">
        <v>7</v>
      </c>
      <c r="W717" t="s">
        <v>8</v>
      </c>
      <c r="X717" t="s">
        <v>9</v>
      </c>
      <c r="Y717" s="56">
        <f>IF(clean[[#This Row],[is_delivered]]="Yes",clean[[#This Row],[net_sales]],0 )</f>
        <v>0</v>
      </c>
    </row>
    <row r="718" spans="1:25">
      <c r="A718" t="s">
        <v>1129</v>
      </c>
      <c r="B718" s="9">
        <v>45732</v>
      </c>
      <c r="C718" t="s">
        <v>107</v>
      </c>
      <c r="D718" t="s">
        <v>737</v>
      </c>
      <c r="E718">
        <v>1</v>
      </c>
      <c r="F718" s="56">
        <v>300000</v>
      </c>
      <c r="G718" s="56">
        <v>300000</v>
      </c>
      <c r="H718" t="s">
        <v>872</v>
      </c>
      <c r="I718" s="56">
        <v>0</v>
      </c>
      <c r="J718" s="56">
        <v>20000</v>
      </c>
      <c r="K718" s="56">
        <v>320000</v>
      </c>
      <c r="L718" t="s">
        <v>889</v>
      </c>
      <c r="M718" t="s">
        <v>874</v>
      </c>
      <c r="N718" t="s">
        <v>875</v>
      </c>
      <c r="O718" s="57">
        <v>45717</v>
      </c>
      <c r="P718" t="s">
        <v>877</v>
      </c>
      <c r="Q718" s="56">
        <v>300000</v>
      </c>
      <c r="R718" t="s">
        <v>738</v>
      </c>
      <c r="S718" t="s">
        <v>739</v>
      </c>
      <c r="T718" t="s">
        <v>740</v>
      </c>
      <c r="U718" t="s">
        <v>108</v>
      </c>
      <c r="V718" t="s">
        <v>23</v>
      </c>
      <c r="W718" t="s">
        <v>12</v>
      </c>
      <c r="X718" t="s">
        <v>24</v>
      </c>
      <c r="Y718" s="56">
        <f>IF(clean[[#This Row],[is_delivered]]="Yes",clean[[#This Row],[net_sales]],0 )</f>
        <v>300000</v>
      </c>
    </row>
    <row r="719" spans="1:25">
      <c r="A719" t="s">
        <v>1219</v>
      </c>
      <c r="B719" s="9">
        <v>45732</v>
      </c>
      <c r="C719" t="s">
        <v>584</v>
      </c>
      <c r="D719" t="s">
        <v>759</v>
      </c>
      <c r="E719">
        <v>1</v>
      </c>
      <c r="F719" s="56">
        <v>300000</v>
      </c>
      <c r="G719" s="56">
        <v>300000</v>
      </c>
      <c r="H719" t="s">
        <v>872</v>
      </c>
      <c r="I719" s="56">
        <v>0</v>
      </c>
      <c r="J719" s="56">
        <v>20000</v>
      </c>
      <c r="K719" s="56">
        <v>320000</v>
      </c>
      <c r="L719" t="s">
        <v>884</v>
      </c>
      <c r="M719" t="s">
        <v>874</v>
      </c>
      <c r="N719" t="s">
        <v>911</v>
      </c>
      <c r="O719" s="57">
        <v>45717</v>
      </c>
      <c r="P719" t="s">
        <v>892</v>
      </c>
      <c r="Q719" s="56">
        <v>300000</v>
      </c>
      <c r="R719" t="s">
        <v>760</v>
      </c>
      <c r="S719" t="s">
        <v>747</v>
      </c>
      <c r="T719" t="s">
        <v>748</v>
      </c>
      <c r="U719" t="s">
        <v>585</v>
      </c>
      <c r="V719" t="s">
        <v>7</v>
      </c>
      <c r="W719" t="s">
        <v>137</v>
      </c>
      <c r="X719" t="s">
        <v>9</v>
      </c>
      <c r="Y719" s="56">
        <f>IF(clean[[#This Row],[is_delivered]]="Yes",clean[[#This Row],[net_sales]],0 )</f>
        <v>0</v>
      </c>
    </row>
    <row r="720" spans="1:25">
      <c r="A720" t="s">
        <v>1396</v>
      </c>
      <c r="B720" s="9">
        <v>45732</v>
      </c>
      <c r="C720" t="s">
        <v>628</v>
      </c>
      <c r="D720" t="s">
        <v>749</v>
      </c>
      <c r="E720">
        <v>3</v>
      </c>
      <c r="F720" s="56">
        <v>150000</v>
      </c>
      <c r="G720" s="56">
        <v>450000</v>
      </c>
      <c r="H720" t="s">
        <v>872</v>
      </c>
      <c r="I720" s="56">
        <v>0</v>
      </c>
      <c r="J720" s="56">
        <v>15000</v>
      </c>
      <c r="K720" s="56">
        <v>465000</v>
      </c>
      <c r="L720" t="s">
        <v>884</v>
      </c>
      <c r="M720" t="s">
        <v>901</v>
      </c>
      <c r="N720" t="s">
        <v>875</v>
      </c>
      <c r="O720" s="57">
        <v>45717</v>
      </c>
      <c r="P720" t="s">
        <v>877</v>
      </c>
      <c r="Q720" s="56">
        <v>450000</v>
      </c>
      <c r="R720" t="s">
        <v>750</v>
      </c>
      <c r="S720" t="s">
        <v>727</v>
      </c>
      <c r="T720" t="s">
        <v>728</v>
      </c>
      <c r="U720" t="s">
        <v>629</v>
      </c>
      <c r="V720" t="s">
        <v>7</v>
      </c>
      <c r="W720" t="s">
        <v>36</v>
      </c>
      <c r="X720" t="s">
        <v>9</v>
      </c>
      <c r="Y720" s="56">
        <f>IF(clean[[#This Row],[is_delivered]]="Yes",clean[[#This Row],[net_sales]],0 )</f>
        <v>450000</v>
      </c>
    </row>
    <row r="721" spans="1:25">
      <c r="A721" t="s">
        <v>1457</v>
      </c>
      <c r="B721" s="9">
        <v>45732</v>
      </c>
      <c r="C721" t="s">
        <v>614</v>
      </c>
      <c r="D721" t="s">
        <v>841</v>
      </c>
      <c r="E721">
        <v>1</v>
      </c>
      <c r="F721" s="56">
        <v>75000</v>
      </c>
      <c r="G721" s="56">
        <v>75000</v>
      </c>
      <c r="H721" t="s">
        <v>872</v>
      </c>
      <c r="I721" s="56">
        <v>0</v>
      </c>
      <c r="J721" s="56">
        <v>10000</v>
      </c>
      <c r="K721" s="56">
        <v>85000</v>
      </c>
      <c r="L721" t="s">
        <v>873</v>
      </c>
      <c r="M721" t="s">
        <v>901</v>
      </c>
      <c r="N721" t="s">
        <v>875</v>
      </c>
      <c r="O721" s="57">
        <v>45717</v>
      </c>
      <c r="P721" t="s">
        <v>877</v>
      </c>
      <c r="Q721" s="56">
        <v>75000</v>
      </c>
      <c r="R721" t="s">
        <v>842</v>
      </c>
      <c r="S721" t="s">
        <v>743</v>
      </c>
      <c r="T721" t="s">
        <v>744</v>
      </c>
      <c r="U721" t="s">
        <v>615</v>
      </c>
      <c r="V721" t="s">
        <v>23</v>
      </c>
      <c r="W721" t="s">
        <v>51</v>
      </c>
      <c r="X721" t="s">
        <v>9</v>
      </c>
      <c r="Y721" s="56">
        <f>IF(clean[[#This Row],[is_delivered]]="Yes",clean[[#This Row],[net_sales]],0 )</f>
        <v>75000</v>
      </c>
    </row>
    <row r="722" spans="1:25">
      <c r="A722" t="s">
        <v>1520</v>
      </c>
      <c r="B722" s="9">
        <v>45732</v>
      </c>
      <c r="C722" t="s">
        <v>576</v>
      </c>
      <c r="D722" t="s">
        <v>803</v>
      </c>
      <c r="E722">
        <v>1</v>
      </c>
      <c r="F722" s="56">
        <v>50000</v>
      </c>
      <c r="G722" s="56">
        <v>50000</v>
      </c>
      <c r="H722" t="s">
        <v>895</v>
      </c>
      <c r="I722" s="56">
        <v>7500</v>
      </c>
      <c r="J722" s="56">
        <v>10000</v>
      </c>
      <c r="K722" s="56">
        <v>52500</v>
      </c>
      <c r="L722" t="s">
        <v>880</v>
      </c>
      <c r="M722" t="s">
        <v>901</v>
      </c>
      <c r="N722" t="s">
        <v>875</v>
      </c>
      <c r="O722" s="57">
        <v>45717</v>
      </c>
      <c r="P722" t="s">
        <v>877</v>
      </c>
      <c r="Q722" s="56">
        <v>42500</v>
      </c>
      <c r="R722" t="s">
        <v>804</v>
      </c>
      <c r="S722" t="s">
        <v>739</v>
      </c>
      <c r="T722" t="s">
        <v>740</v>
      </c>
      <c r="U722" t="s">
        <v>577</v>
      </c>
      <c r="V722" t="s">
        <v>23</v>
      </c>
      <c r="W722" t="s">
        <v>8</v>
      </c>
      <c r="X722" t="s">
        <v>9</v>
      </c>
      <c r="Y722" s="56">
        <f>IF(clean[[#This Row],[is_delivered]]="Yes",clean[[#This Row],[net_sales]],0 )</f>
        <v>42500</v>
      </c>
    </row>
    <row r="723" spans="1:25">
      <c r="A723" t="s">
        <v>1631</v>
      </c>
      <c r="B723" s="9">
        <v>45732</v>
      </c>
      <c r="C723" t="s">
        <v>432</v>
      </c>
      <c r="D723" t="s">
        <v>751</v>
      </c>
      <c r="E723">
        <v>1</v>
      </c>
      <c r="F723" s="56">
        <v>150000</v>
      </c>
      <c r="G723" s="56">
        <v>150000</v>
      </c>
      <c r="H723" t="s">
        <v>872</v>
      </c>
      <c r="I723" s="56">
        <v>0</v>
      </c>
      <c r="J723" s="56">
        <v>20000</v>
      </c>
      <c r="K723" s="56">
        <v>170000</v>
      </c>
      <c r="L723" t="s">
        <v>889</v>
      </c>
      <c r="M723" t="s">
        <v>903</v>
      </c>
      <c r="N723" t="s">
        <v>875</v>
      </c>
      <c r="O723" s="57">
        <v>45717</v>
      </c>
      <c r="P723" t="s">
        <v>877</v>
      </c>
      <c r="Q723" s="56">
        <v>150000</v>
      </c>
      <c r="R723" t="s">
        <v>752</v>
      </c>
      <c r="S723" t="s">
        <v>731</v>
      </c>
      <c r="T723" t="s">
        <v>732</v>
      </c>
      <c r="U723" t="s">
        <v>433</v>
      </c>
      <c r="V723" t="s">
        <v>23</v>
      </c>
      <c r="W723" t="s">
        <v>39</v>
      </c>
      <c r="X723" t="s">
        <v>9</v>
      </c>
      <c r="Y723" s="56">
        <f>IF(clean[[#This Row],[is_delivered]]="Yes",clean[[#This Row],[net_sales]],0 )</f>
        <v>150000</v>
      </c>
    </row>
    <row r="724" spans="1:25">
      <c r="A724" t="s">
        <v>1727</v>
      </c>
      <c r="B724" s="9">
        <v>45732</v>
      </c>
      <c r="C724" t="s">
        <v>75</v>
      </c>
      <c r="D724" t="s">
        <v>729</v>
      </c>
      <c r="E724">
        <v>2</v>
      </c>
      <c r="F724" s="56">
        <v>100000</v>
      </c>
      <c r="G724" s="56">
        <v>200000</v>
      </c>
      <c r="H724" t="s">
        <v>895</v>
      </c>
      <c r="I724" s="56">
        <v>30000</v>
      </c>
      <c r="J724" s="56">
        <v>25000</v>
      </c>
      <c r="K724" s="56">
        <v>195000</v>
      </c>
      <c r="L724" t="s">
        <v>889</v>
      </c>
      <c r="M724" t="s">
        <v>901</v>
      </c>
      <c r="N724" t="s">
        <v>875</v>
      </c>
      <c r="O724" s="57">
        <v>45717</v>
      </c>
      <c r="P724" t="s">
        <v>877</v>
      </c>
      <c r="Q724" s="56">
        <v>170000</v>
      </c>
      <c r="R724" t="s">
        <v>730</v>
      </c>
      <c r="S724" t="s">
        <v>731</v>
      </c>
      <c r="T724" t="s">
        <v>732</v>
      </c>
      <c r="U724" t="s">
        <v>76</v>
      </c>
      <c r="V724" t="s">
        <v>23</v>
      </c>
      <c r="W724" t="s">
        <v>8</v>
      </c>
      <c r="X724" t="s">
        <v>9</v>
      </c>
      <c r="Y724" s="56">
        <f>IF(clean[[#This Row],[is_delivered]]="Yes",clean[[#This Row],[net_sales]],0 )</f>
        <v>170000</v>
      </c>
    </row>
    <row r="725" spans="1:25">
      <c r="A725" t="s">
        <v>1751</v>
      </c>
      <c r="B725" s="9">
        <v>45732</v>
      </c>
      <c r="C725" t="s">
        <v>344</v>
      </c>
      <c r="D725" t="s">
        <v>821</v>
      </c>
      <c r="E725">
        <v>2</v>
      </c>
      <c r="F725" s="56">
        <v>50000</v>
      </c>
      <c r="G725" s="56">
        <v>100000</v>
      </c>
      <c r="H725" t="s">
        <v>872</v>
      </c>
      <c r="I725" s="56">
        <v>0</v>
      </c>
      <c r="J725" s="56">
        <v>30000</v>
      </c>
      <c r="K725" s="56">
        <v>130000</v>
      </c>
      <c r="L725" t="s">
        <v>889</v>
      </c>
      <c r="M725" t="s">
        <v>881</v>
      </c>
      <c r="N725" t="s">
        <v>890</v>
      </c>
      <c r="O725" s="57">
        <v>45717</v>
      </c>
      <c r="P725" t="s">
        <v>892</v>
      </c>
      <c r="Q725" s="56">
        <v>100000</v>
      </c>
      <c r="R725" t="s">
        <v>822</v>
      </c>
      <c r="S725" t="s">
        <v>727</v>
      </c>
      <c r="T725" t="s">
        <v>728</v>
      </c>
      <c r="U725" t="s">
        <v>345</v>
      </c>
      <c r="V725" t="s">
        <v>23</v>
      </c>
      <c r="W725" t="s">
        <v>137</v>
      </c>
      <c r="X725" t="s">
        <v>24</v>
      </c>
      <c r="Y725" s="56">
        <f>IF(clean[[#This Row],[is_delivered]]="Yes",clean[[#This Row],[net_sales]],0 )</f>
        <v>0</v>
      </c>
    </row>
    <row r="726" spans="1:25">
      <c r="A726" t="s">
        <v>1253</v>
      </c>
      <c r="B726" s="9">
        <v>45731</v>
      </c>
      <c r="C726" t="s">
        <v>368</v>
      </c>
      <c r="D726" t="s">
        <v>819</v>
      </c>
      <c r="E726">
        <v>1</v>
      </c>
      <c r="F726" s="56">
        <v>300000</v>
      </c>
      <c r="G726" s="56">
        <v>300000</v>
      </c>
      <c r="H726" t="s">
        <v>883</v>
      </c>
      <c r="I726" s="56">
        <v>30000</v>
      </c>
      <c r="J726" s="56">
        <v>15000</v>
      </c>
      <c r="K726" s="56">
        <v>285000</v>
      </c>
      <c r="L726" t="s">
        <v>884</v>
      </c>
      <c r="M726" t="s">
        <v>901</v>
      </c>
      <c r="N726" t="s">
        <v>875</v>
      </c>
      <c r="O726" s="57">
        <v>45717</v>
      </c>
      <c r="P726" t="s">
        <v>877</v>
      </c>
      <c r="Q726" s="56">
        <v>270000</v>
      </c>
      <c r="R726" t="s">
        <v>820</v>
      </c>
      <c r="S726" t="s">
        <v>747</v>
      </c>
      <c r="T726" t="s">
        <v>748</v>
      </c>
      <c r="U726" t="s">
        <v>369</v>
      </c>
      <c r="V726" t="s">
        <v>23</v>
      </c>
      <c r="W726" t="s">
        <v>20</v>
      </c>
      <c r="X726" t="s">
        <v>9</v>
      </c>
      <c r="Y726" s="56">
        <f>IF(clean[[#This Row],[is_delivered]]="Yes",clean[[#This Row],[net_sales]],0 )</f>
        <v>270000</v>
      </c>
    </row>
    <row r="727" spans="1:25">
      <c r="A727" t="s">
        <v>1445</v>
      </c>
      <c r="B727" s="9">
        <v>45731</v>
      </c>
      <c r="C727" t="s">
        <v>164</v>
      </c>
      <c r="D727" t="s">
        <v>839</v>
      </c>
      <c r="E727">
        <v>4</v>
      </c>
      <c r="F727" s="56">
        <v>200000</v>
      </c>
      <c r="G727" s="56">
        <v>800000</v>
      </c>
      <c r="H727" t="s">
        <v>886</v>
      </c>
      <c r="I727" s="56">
        <v>80000</v>
      </c>
      <c r="J727" s="56">
        <v>30000</v>
      </c>
      <c r="K727" s="56">
        <v>750000</v>
      </c>
      <c r="L727" t="s">
        <v>884</v>
      </c>
      <c r="M727" t="s">
        <v>881</v>
      </c>
      <c r="N727" t="s">
        <v>875</v>
      </c>
      <c r="O727" s="57">
        <v>45717</v>
      </c>
      <c r="P727" t="s">
        <v>877</v>
      </c>
      <c r="Q727" s="56">
        <v>720000</v>
      </c>
      <c r="R727" t="s">
        <v>840</v>
      </c>
      <c r="S727" t="s">
        <v>739</v>
      </c>
      <c r="T727" t="s">
        <v>740</v>
      </c>
      <c r="U727" t="s">
        <v>165</v>
      </c>
      <c r="V727" t="s">
        <v>7</v>
      </c>
      <c r="W727" t="s">
        <v>51</v>
      </c>
      <c r="X727" t="s">
        <v>24</v>
      </c>
      <c r="Y727" s="56">
        <f>IF(clean[[#This Row],[is_delivered]]="Yes",clean[[#This Row],[net_sales]],0 )</f>
        <v>720000</v>
      </c>
    </row>
    <row r="728" spans="1:25">
      <c r="A728" t="s">
        <v>1490</v>
      </c>
      <c r="B728" s="9">
        <v>45731</v>
      </c>
      <c r="C728" t="s">
        <v>67</v>
      </c>
      <c r="D728" t="s">
        <v>809</v>
      </c>
      <c r="E728">
        <v>1</v>
      </c>
      <c r="F728" s="56">
        <v>100000</v>
      </c>
      <c r="G728" s="56">
        <v>100000</v>
      </c>
      <c r="H728" t="s">
        <v>872</v>
      </c>
      <c r="I728" s="56">
        <v>0</v>
      </c>
      <c r="J728" s="56">
        <v>10000</v>
      </c>
      <c r="K728" s="56">
        <v>110000</v>
      </c>
      <c r="L728" t="s">
        <v>889</v>
      </c>
      <c r="M728" t="s">
        <v>874</v>
      </c>
      <c r="N728" t="s">
        <v>875</v>
      </c>
      <c r="O728" s="57">
        <v>45717</v>
      </c>
      <c r="P728" t="s">
        <v>877</v>
      </c>
      <c r="Q728" s="56">
        <v>100000</v>
      </c>
      <c r="R728" t="s">
        <v>810</v>
      </c>
      <c r="S728" t="s">
        <v>727</v>
      </c>
      <c r="T728" t="s">
        <v>728</v>
      </c>
      <c r="U728" t="s">
        <v>68</v>
      </c>
      <c r="V728" t="s">
        <v>7</v>
      </c>
      <c r="W728" t="s">
        <v>56</v>
      </c>
      <c r="X728" t="s">
        <v>24</v>
      </c>
      <c r="Y728" s="56">
        <f>IF(clean[[#This Row],[is_delivered]]="Yes",clean[[#This Row],[net_sales]],0 )</f>
        <v>100000</v>
      </c>
    </row>
    <row r="729" spans="1:25">
      <c r="A729" t="s">
        <v>1740</v>
      </c>
      <c r="B729" s="9">
        <v>45731</v>
      </c>
      <c r="C729" t="s">
        <v>450</v>
      </c>
      <c r="D729" t="s">
        <v>759</v>
      </c>
      <c r="E729">
        <v>1</v>
      </c>
      <c r="F729" s="56">
        <v>300000</v>
      </c>
      <c r="G729" s="56">
        <v>300000</v>
      </c>
      <c r="H729" t="s">
        <v>872</v>
      </c>
      <c r="I729" s="56">
        <v>0</v>
      </c>
      <c r="J729" s="56">
        <v>10000</v>
      </c>
      <c r="K729" s="56">
        <v>310000</v>
      </c>
      <c r="L729" t="s">
        <v>889</v>
      </c>
      <c r="M729" t="s">
        <v>901</v>
      </c>
      <c r="N729" t="s">
        <v>875</v>
      </c>
      <c r="O729" s="57">
        <v>45717</v>
      </c>
      <c r="P729" t="s">
        <v>877</v>
      </c>
      <c r="Q729" s="56">
        <v>300000</v>
      </c>
      <c r="R729" t="s">
        <v>760</v>
      </c>
      <c r="S729" t="s">
        <v>747</v>
      </c>
      <c r="T729" t="s">
        <v>748</v>
      </c>
      <c r="U729" t="s">
        <v>451</v>
      </c>
      <c r="V729" t="s">
        <v>23</v>
      </c>
      <c r="W729" t="s">
        <v>56</v>
      </c>
      <c r="X729" t="s">
        <v>9</v>
      </c>
      <c r="Y729" s="56">
        <f>IF(clean[[#This Row],[is_delivered]]="Yes",clean[[#This Row],[net_sales]],0 )</f>
        <v>300000</v>
      </c>
    </row>
    <row r="730" spans="1:25">
      <c r="A730" t="s">
        <v>1233</v>
      </c>
      <c r="B730" s="9">
        <v>45730</v>
      </c>
      <c r="C730" t="s">
        <v>514</v>
      </c>
      <c r="D730" t="s">
        <v>791</v>
      </c>
      <c r="E730">
        <v>1</v>
      </c>
      <c r="F730" s="56">
        <v>50000</v>
      </c>
      <c r="G730" s="56">
        <v>50000</v>
      </c>
      <c r="H730" t="s">
        <v>895</v>
      </c>
      <c r="I730" s="56">
        <v>7500</v>
      </c>
      <c r="J730" s="56">
        <v>10000</v>
      </c>
      <c r="K730" s="56">
        <v>52500</v>
      </c>
      <c r="L730" t="s">
        <v>873</v>
      </c>
      <c r="M730" t="s">
        <v>903</v>
      </c>
      <c r="N730" t="s">
        <v>875</v>
      </c>
      <c r="O730" s="57">
        <v>45717</v>
      </c>
      <c r="P730" t="s">
        <v>877</v>
      </c>
      <c r="Q730" s="56">
        <v>42500</v>
      </c>
      <c r="R730" t="s">
        <v>792</v>
      </c>
      <c r="S730" t="s">
        <v>739</v>
      </c>
      <c r="T730" t="s">
        <v>740</v>
      </c>
      <c r="U730" t="s">
        <v>515</v>
      </c>
      <c r="V730" t="s">
        <v>23</v>
      </c>
      <c r="W730" t="s">
        <v>39</v>
      </c>
      <c r="X730" t="s">
        <v>9</v>
      </c>
      <c r="Y730" s="56">
        <f>IF(clean[[#This Row],[is_delivered]]="Yes",clean[[#This Row],[net_sales]],0 )</f>
        <v>42500</v>
      </c>
    </row>
    <row r="731" spans="1:25">
      <c r="A731" t="s">
        <v>1441</v>
      </c>
      <c r="B731" s="9">
        <v>45730</v>
      </c>
      <c r="C731" t="s">
        <v>44</v>
      </c>
      <c r="D731" t="s">
        <v>737</v>
      </c>
      <c r="E731">
        <v>4</v>
      </c>
      <c r="F731" s="56">
        <v>300000</v>
      </c>
      <c r="G731" s="56">
        <v>1200000</v>
      </c>
      <c r="H731" t="s">
        <v>879</v>
      </c>
      <c r="I731" s="56">
        <v>240000</v>
      </c>
      <c r="J731" s="56">
        <v>20000</v>
      </c>
      <c r="K731" s="56">
        <v>980000</v>
      </c>
      <c r="L731" t="s">
        <v>884</v>
      </c>
      <c r="M731" t="s">
        <v>903</v>
      </c>
      <c r="N731" t="s">
        <v>905</v>
      </c>
      <c r="O731" s="57">
        <v>45717</v>
      </c>
      <c r="P731" t="s">
        <v>892</v>
      </c>
      <c r="Q731" s="56">
        <v>960000</v>
      </c>
      <c r="R731" t="s">
        <v>738</v>
      </c>
      <c r="S731" t="s">
        <v>739</v>
      </c>
      <c r="T731" t="s">
        <v>740</v>
      </c>
      <c r="U731" t="s">
        <v>45</v>
      </c>
      <c r="V731" t="s">
        <v>7</v>
      </c>
      <c r="W731" t="s">
        <v>46</v>
      </c>
      <c r="X731" t="s">
        <v>24</v>
      </c>
      <c r="Y731" s="56">
        <f>IF(clean[[#This Row],[is_delivered]]="Yes",clean[[#This Row],[net_sales]],0 )</f>
        <v>0</v>
      </c>
    </row>
    <row r="732" spans="1:25">
      <c r="A732" t="s">
        <v>1822</v>
      </c>
      <c r="B732" s="9">
        <v>45730</v>
      </c>
      <c r="C732" t="s">
        <v>69</v>
      </c>
      <c r="D732" t="s">
        <v>771</v>
      </c>
      <c r="E732">
        <v>2</v>
      </c>
      <c r="F732" s="56">
        <v>500000</v>
      </c>
      <c r="G732" s="56">
        <v>1000000</v>
      </c>
      <c r="H732" t="s">
        <v>872</v>
      </c>
      <c r="I732" s="56">
        <v>0</v>
      </c>
      <c r="J732" s="56">
        <v>20000</v>
      </c>
      <c r="K732" s="56">
        <v>1020000</v>
      </c>
      <c r="L732" t="s">
        <v>884</v>
      </c>
      <c r="M732" t="s">
        <v>874</v>
      </c>
      <c r="N732" t="s">
        <v>875</v>
      </c>
      <c r="O732" s="57">
        <v>45717</v>
      </c>
      <c r="P732" t="s">
        <v>877</v>
      </c>
      <c r="Q732" s="56">
        <v>1000000</v>
      </c>
      <c r="R732" t="s">
        <v>772</v>
      </c>
      <c r="S732" t="s">
        <v>747</v>
      </c>
      <c r="T732" t="s">
        <v>748</v>
      </c>
      <c r="U732" t="s">
        <v>70</v>
      </c>
      <c r="V732" t="s">
        <v>7</v>
      </c>
      <c r="W732" t="s">
        <v>29</v>
      </c>
      <c r="X732" t="s">
        <v>9</v>
      </c>
      <c r="Y732" s="56">
        <f>IF(clean[[#This Row],[is_delivered]]="Yes",clean[[#This Row],[net_sales]],0 )</f>
        <v>1000000</v>
      </c>
    </row>
    <row r="733" spans="1:25">
      <c r="A733" t="s">
        <v>1985</v>
      </c>
      <c r="B733" s="9">
        <v>45730</v>
      </c>
      <c r="C733" t="s">
        <v>370</v>
      </c>
      <c r="D733" t="s">
        <v>755</v>
      </c>
      <c r="E733">
        <v>1</v>
      </c>
      <c r="F733" s="56">
        <v>50000</v>
      </c>
      <c r="G733" s="56">
        <v>50000</v>
      </c>
      <c r="H733" t="s">
        <v>872</v>
      </c>
      <c r="I733" s="56">
        <v>0</v>
      </c>
      <c r="J733" s="56">
        <v>30000</v>
      </c>
      <c r="K733" s="56">
        <v>80000</v>
      </c>
      <c r="L733" t="s">
        <v>889</v>
      </c>
      <c r="M733" t="s">
        <v>901</v>
      </c>
      <c r="N733" t="s">
        <v>875</v>
      </c>
      <c r="O733" s="57">
        <v>45717</v>
      </c>
      <c r="P733" t="s">
        <v>877</v>
      </c>
      <c r="Q733" s="56">
        <v>50000</v>
      </c>
      <c r="R733" t="s">
        <v>756</v>
      </c>
      <c r="S733" t="s">
        <v>739</v>
      </c>
      <c r="T733" t="s">
        <v>740</v>
      </c>
      <c r="U733" t="s">
        <v>371</v>
      </c>
      <c r="V733" t="s">
        <v>23</v>
      </c>
      <c r="W733" t="s">
        <v>36</v>
      </c>
      <c r="X733" t="s">
        <v>15</v>
      </c>
      <c r="Y733" s="56">
        <f>IF(clean[[#This Row],[is_delivered]]="Yes",clean[[#This Row],[net_sales]],0 )</f>
        <v>50000</v>
      </c>
    </row>
    <row r="734" spans="1:25">
      <c r="A734" t="s">
        <v>897</v>
      </c>
      <c r="B734" s="9">
        <v>45729</v>
      </c>
      <c r="C734" t="s">
        <v>125</v>
      </c>
      <c r="D734" t="s">
        <v>849</v>
      </c>
      <c r="E734">
        <v>4</v>
      </c>
      <c r="F734" s="56">
        <v>500000</v>
      </c>
      <c r="G734" s="56">
        <v>2000000</v>
      </c>
      <c r="H734" t="s">
        <v>872</v>
      </c>
      <c r="I734" s="56">
        <v>0</v>
      </c>
      <c r="J734" s="56">
        <v>15000</v>
      </c>
      <c r="K734" s="56">
        <v>2015000</v>
      </c>
      <c r="L734" t="s">
        <v>880</v>
      </c>
      <c r="M734" t="s">
        <v>874</v>
      </c>
      <c r="N734" t="s">
        <v>875</v>
      </c>
      <c r="O734" s="57">
        <v>45717</v>
      </c>
      <c r="P734" t="s">
        <v>877</v>
      </c>
      <c r="Q734" s="56">
        <v>2000000</v>
      </c>
      <c r="R734" t="s">
        <v>850</v>
      </c>
      <c r="S734" t="s">
        <v>735</v>
      </c>
      <c r="T734" t="s">
        <v>736</v>
      </c>
      <c r="U734" t="s">
        <v>126</v>
      </c>
      <c r="V734" t="s">
        <v>23</v>
      </c>
      <c r="W734" t="s">
        <v>56</v>
      </c>
      <c r="X734" t="s">
        <v>9</v>
      </c>
      <c r="Y734" s="56">
        <f>IF(clean[[#This Row],[is_delivered]]="Yes",clean[[#This Row],[net_sales]],0 )</f>
        <v>2000000</v>
      </c>
    </row>
    <row r="735" spans="1:25">
      <c r="A735" t="s">
        <v>1996</v>
      </c>
      <c r="B735" s="9">
        <v>45729</v>
      </c>
      <c r="C735" t="s">
        <v>672</v>
      </c>
      <c r="D735" t="s">
        <v>803</v>
      </c>
      <c r="E735">
        <v>2</v>
      </c>
      <c r="F735" s="56">
        <v>50000</v>
      </c>
      <c r="G735" s="56">
        <v>100000</v>
      </c>
      <c r="H735" t="s">
        <v>883</v>
      </c>
      <c r="I735" s="56">
        <v>10000</v>
      </c>
      <c r="J735" s="56">
        <v>10000</v>
      </c>
      <c r="K735" s="56">
        <v>100000</v>
      </c>
      <c r="L735" t="s">
        <v>880</v>
      </c>
      <c r="M735" t="s">
        <v>874</v>
      </c>
      <c r="N735" t="s">
        <v>875</v>
      </c>
      <c r="O735" s="57">
        <v>45717</v>
      </c>
      <c r="P735" t="s">
        <v>877</v>
      </c>
      <c r="Q735" s="56">
        <v>90000</v>
      </c>
      <c r="R735" t="s">
        <v>804</v>
      </c>
      <c r="S735" t="s">
        <v>739</v>
      </c>
      <c r="T735" t="s">
        <v>740</v>
      </c>
      <c r="U735" t="s">
        <v>673</v>
      </c>
      <c r="V735" t="s">
        <v>7</v>
      </c>
      <c r="W735" t="s">
        <v>51</v>
      </c>
      <c r="X735" t="s">
        <v>9</v>
      </c>
      <c r="Y735" s="56">
        <f>IF(clean[[#This Row],[is_delivered]]="Yes",clean[[#This Row],[net_sales]],0 )</f>
        <v>90000</v>
      </c>
    </row>
    <row r="736" spans="1:25">
      <c r="A736" t="s">
        <v>882</v>
      </c>
      <c r="B736" s="9">
        <v>45728</v>
      </c>
      <c r="C736" t="s">
        <v>532</v>
      </c>
      <c r="D736" t="s">
        <v>799</v>
      </c>
      <c r="E736">
        <v>2</v>
      </c>
      <c r="F736" s="56">
        <v>35000</v>
      </c>
      <c r="G736" s="56">
        <v>70000</v>
      </c>
      <c r="H736" t="s">
        <v>883</v>
      </c>
      <c r="I736" s="56">
        <v>7000</v>
      </c>
      <c r="J736" s="56">
        <v>30000</v>
      </c>
      <c r="K736" s="56">
        <v>93000</v>
      </c>
      <c r="L736" t="s">
        <v>884</v>
      </c>
      <c r="M736" t="s">
        <v>874</v>
      </c>
      <c r="N736" t="s">
        <v>875</v>
      </c>
      <c r="O736" s="57">
        <v>45717</v>
      </c>
      <c r="P736" t="s">
        <v>877</v>
      </c>
      <c r="Q736" s="56">
        <v>63000</v>
      </c>
      <c r="R736" t="s">
        <v>800</v>
      </c>
      <c r="S736" t="s">
        <v>731</v>
      </c>
      <c r="T736" t="s">
        <v>732</v>
      </c>
      <c r="U736" t="s">
        <v>533</v>
      </c>
      <c r="V736" t="s">
        <v>7</v>
      </c>
      <c r="W736" t="s">
        <v>12</v>
      </c>
      <c r="X736" t="s">
        <v>24</v>
      </c>
      <c r="Y736" s="56">
        <f>IF(clean[[#This Row],[is_delivered]]="Yes",clean[[#This Row],[net_sales]],0 )</f>
        <v>63000</v>
      </c>
    </row>
    <row r="737" spans="1:25">
      <c r="A737" t="s">
        <v>1075</v>
      </c>
      <c r="B737" s="9">
        <v>45728</v>
      </c>
      <c r="C737" t="s">
        <v>190</v>
      </c>
      <c r="D737" t="s">
        <v>845</v>
      </c>
      <c r="E737">
        <v>1</v>
      </c>
      <c r="F737" s="56">
        <v>300000</v>
      </c>
      <c r="G737" s="56">
        <v>300000</v>
      </c>
      <c r="H737" t="s">
        <v>872</v>
      </c>
      <c r="I737" s="56">
        <v>0</v>
      </c>
      <c r="J737" s="56">
        <v>20000</v>
      </c>
      <c r="K737" s="56">
        <v>320000</v>
      </c>
      <c r="L737" t="s">
        <v>889</v>
      </c>
      <c r="M737" t="s">
        <v>903</v>
      </c>
      <c r="N737" t="s">
        <v>875</v>
      </c>
      <c r="O737" s="57">
        <v>45717</v>
      </c>
      <c r="P737" t="s">
        <v>877</v>
      </c>
      <c r="Q737" s="56">
        <v>300000</v>
      </c>
      <c r="R737" t="s">
        <v>846</v>
      </c>
      <c r="S737" t="s">
        <v>727</v>
      </c>
      <c r="T737" t="s">
        <v>728</v>
      </c>
      <c r="U737" t="s">
        <v>191</v>
      </c>
      <c r="V737" t="s">
        <v>7</v>
      </c>
      <c r="W737" t="s">
        <v>56</v>
      </c>
      <c r="X737" t="s">
        <v>24</v>
      </c>
      <c r="Y737" s="56">
        <f>IF(clean[[#This Row],[is_delivered]]="Yes",clean[[#This Row],[net_sales]],0 )</f>
        <v>300000</v>
      </c>
    </row>
    <row r="738" spans="1:25">
      <c r="A738" t="s">
        <v>1359</v>
      </c>
      <c r="B738" s="9">
        <v>45728</v>
      </c>
      <c r="C738" t="s">
        <v>378</v>
      </c>
      <c r="D738" t="s">
        <v>855</v>
      </c>
      <c r="E738">
        <v>2</v>
      </c>
      <c r="F738" s="56">
        <v>150000</v>
      </c>
      <c r="G738" s="56">
        <v>300000</v>
      </c>
      <c r="H738" t="s">
        <v>895</v>
      </c>
      <c r="I738" s="56">
        <v>45000</v>
      </c>
      <c r="J738" s="56">
        <v>25000</v>
      </c>
      <c r="K738" s="56">
        <v>280000</v>
      </c>
      <c r="L738" t="s">
        <v>884</v>
      </c>
      <c r="M738" t="s">
        <v>874</v>
      </c>
      <c r="N738" t="s">
        <v>875</v>
      </c>
      <c r="O738" s="57">
        <v>45717</v>
      </c>
      <c r="P738" t="s">
        <v>877</v>
      </c>
      <c r="Q738" s="56">
        <v>255000</v>
      </c>
      <c r="R738" t="s">
        <v>856</v>
      </c>
      <c r="S738" t="s">
        <v>747</v>
      </c>
      <c r="T738" t="s">
        <v>748</v>
      </c>
      <c r="U738" t="s">
        <v>379</v>
      </c>
      <c r="V738" t="s">
        <v>23</v>
      </c>
      <c r="W738" t="s">
        <v>137</v>
      </c>
      <c r="X738" t="s">
        <v>9</v>
      </c>
      <c r="Y738" s="56">
        <f>IF(clean[[#This Row],[is_delivered]]="Yes",clean[[#This Row],[net_sales]],0 )</f>
        <v>255000</v>
      </c>
    </row>
    <row r="739" spans="1:25">
      <c r="A739" t="s">
        <v>1455</v>
      </c>
      <c r="B739" s="9">
        <v>45728</v>
      </c>
      <c r="C739" t="s">
        <v>236</v>
      </c>
      <c r="D739" t="s">
        <v>725</v>
      </c>
      <c r="E739">
        <v>2</v>
      </c>
      <c r="F739" s="56">
        <v>300000</v>
      </c>
      <c r="G739" s="56">
        <v>600000</v>
      </c>
      <c r="H739" t="s">
        <v>886</v>
      </c>
      <c r="I739" s="56">
        <v>60000</v>
      </c>
      <c r="J739" s="56">
        <v>20000</v>
      </c>
      <c r="K739" s="56">
        <v>560000</v>
      </c>
      <c r="L739" t="s">
        <v>873</v>
      </c>
      <c r="M739" t="s">
        <v>874</v>
      </c>
      <c r="N739" t="s">
        <v>890</v>
      </c>
      <c r="O739" s="57">
        <v>45717</v>
      </c>
      <c r="P739" t="s">
        <v>892</v>
      </c>
      <c r="Q739" s="56">
        <v>540000</v>
      </c>
      <c r="R739" t="s">
        <v>726</v>
      </c>
      <c r="S739" t="s">
        <v>727</v>
      </c>
      <c r="T739" t="s">
        <v>728</v>
      </c>
      <c r="U739" t="s">
        <v>237</v>
      </c>
      <c r="V739" t="s">
        <v>7</v>
      </c>
      <c r="W739" t="s">
        <v>29</v>
      </c>
      <c r="X739" t="s">
        <v>15</v>
      </c>
      <c r="Y739" s="56">
        <f>IF(clean[[#This Row],[is_delivered]]="Yes",clean[[#This Row],[net_sales]],0 )</f>
        <v>0</v>
      </c>
    </row>
    <row r="740" spans="1:25">
      <c r="A740" t="s">
        <v>1472</v>
      </c>
      <c r="B740" s="9">
        <v>45728</v>
      </c>
      <c r="C740" t="s">
        <v>514</v>
      </c>
      <c r="D740" t="s">
        <v>771</v>
      </c>
      <c r="E740">
        <v>1</v>
      </c>
      <c r="F740" s="56">
        <v>500000</v>
      </c>
      <c r="G740" s="56">
        <v>500000</v>
      </c>
      <c r="H740" t="s">
        <v>886</v>
      </c>
      <c r="I740" s="56">
        <v>50000</v>
      </c>
      <c r="J740" s="56">
        <v>10000</v>
      </c>
      <c r="K740" s="56">
        <v>460000</v>
      </c>
      <c r="L740" t="s">
        <v>884</v>
      </c>
      <c r="M740" t="s">
        <v>903</v>
      </c>
      <c r="N740" t="s">
        <v>875</v>
      </c>
      <c r="O740" s="57">
        <v>45717</v>
      </c>
      <c r="P740" t="s">
        <v>877</v>
      </c>
      <c r="Q740" s="56">
        <v>450000</v>
      </c>
      <c r="R740" t="s">
        <v>772</v>
      </c>
      <c r="S740" t="s">
        <v>747</v>
      </c>
      <c r="T740" t="s">
        <v>748</v>
      </c>
      <c r="U740" t="s">
        <v>515</v>
      </c>
      <c r="V740" t="s">
        <v>23</v>
      </c>
      <c r="W740" t="s">
        <v>39</v>
      </c>
      <c r="X740" t="s">
        <v>9</v>
      </c>
      <c r="Y740" s="56">
        <f>IF(clean[[#This Row],[is_delivered]]="Yes",clean[[#This Row],[net_sales]],0 )</f>
        <v>450000</v>
      </c>
    </row>
    <row r="741" spans="1:25">
      <c r="A741" t="s">
        <v>1487</v>
      </c>
      <c r="B741" s="9">
        <v>45728</v>
      </c>
      <c r="C741" t="s">
        <v>198</v>
      </c>
      <c r="D741" t="s">
        <v>803</v>
      </c>
      <c r="E741">
        <v>3</v>
      </c>
      <c r="F741" s="56">
        <v>50000</v>
      </c>
      <c r="G741" s="56">
        <v>150000</v>
      </c>
      <c r="H741" t="s">
        <v>872</v>
      </c>
      <c r="I741" s="56">
        <v>0</v>
      </c>
      <c r="J741" s="56">
        <v>20000</v>
      </c>
      <c r="K741" s="56">
        <v>170000</v>
      </c>
      <c r="L741" t="s">
        <v>884</v>
      </c>
      <c r="M741" t="s">
        <v>901</v>
      </c>
      <c r="N741" t="s">
        <v>905</v>
      </c>
      <c r="O741" s="57">
        <v>45717</v>
      </c>
      <c r="P741" t="s">
        <v>892</v>
      </c>
      <c r="Q741" s="56">
        <v>150000</v>
      </c>
      <c r="R741" t="s">
        <v>804</v>
      </c>
      <c r="S741" t="s">
        <v>739</v>
      </c>
      <c r="T741" t="s">
        <v>740</v>
      </c>
      <c r="U741" t="s">
        <v>199</v>
      </c>
      <c r="V741" t="s">
        <v>23</v>
      </c>
      <c r="W741" t="s">
        <v>39</v>
      </c>
      <c r="X741" t="s">
        <v>15</v>
      </c>
      <c r="Y741" s="56">
        <f>IF(clean[[#This Row],[is_delivered]]="Yes",clean[[#This Row],[net_sales]],0 )</f>
        <v>0</v>
      </c>
    </row>
    <row r="742" spans="1:25">
      <c r="A742" t="s">
        <v>1818</v>
      </c>
      <c r="B742" s="9">
        <v>45728</v>
      </c>
      <c r="C742" t="s">
        <v>502</v>
      </c>
      <c r="D742" t="s">
        <v>787</v>
      </c>
      <c r="E742">
        <v>3</v>
      </c>
      <c r="F742" s="56">
        <v>200000</v>
      </c>
      <c r="G742" s="56">
        <v>600000</v>
      </c>
      <c r="H742" t="s">
        <v>895</v>
      </c>
      <c r="I742" s="56">
        <v>90000</v>
      </c>
      <c r="J742" s="56">
        <v>10000</v>
      </c>
      <c r="K742" s="56">
        <v>520000</v>
      </c>
      <c r="L742" t="s">
        <v>873</v>
      </c>
      <c r="M742" t="s">
        <v>903</v>
      </c>
      <c r="N742" t="s">
        <v>875</v>
      </c>
      <c r="O742" s="57">
        <v>45717</v>
      </c>
      <c r="P742" t="s">
        <v>877</v>
      </c>
      <c r="Q742" s="56">
        <v>510000</v>
      </c>
      <c r="R742" t="s">
        <v>788</v>
      </c>
      <c r="S742" t="s">
        <v>731</v>
      </c>
      <c r="T742" t="s">
        <v>732</v>
      </c>
      <c r="U742" t="s">
        <v>503</v>
      </c>
      <c r="V742" t="s">
        <v>7</v>
      </c>
      <c r="W742" t="s">
        <v>56</v>
      </c>
      <c r="X742" t="s">
        <v>24</v>
      </c>
      <c r="Y742" s="56">
        <f>IF(clean[[#This Row],[is_delivered]]="Yes",clean[[#This Row],[net_sales]],0 )</f>
        <v>510000</v>
      </c>
    </row>
    <row r="743" spans="1:25">
      <c r="A743" t="s">
        <v>1830</v>
      </c>
      <c r="B743" s="9">
        <v>45728</v>
      </c>
      <c r="C743" t="s">
        <v>111</v>
      </c>
      <c r="D743" t="s">
        <v>849</v>
      </c>
      <c r="E743">
        <v>4</v>
      </c>
      <c r="F743" s="56">
        <v>500000</v>
      </c>
      <c r="G743" s="56">
        <v>2000000</v>
      </c>
      <c r="H743" t="s">
        <v>879</v>
      </c>
      <c r="I743" s="56">
        <v>400000</v>
      </c>
      <c r="J743" s="56">
        <v>25000</v>
      </c>
      <c r="K743" s="56">
        <v>1625000</v>
      </c>
      <c r="L743" t="s">
        <v>889</v>
      </c>
      <c r="M743" t="s">
        <v>901</v>
      </c>
      <c r="N743" t="s">
        <v>875</v>
      </c>
      <c r="O743" s="57">
        <v>45717</v>
      </c>
      <c r="P743" t="s">
        <v>877</v>
      </c>
      <c r="Q743" s="56">
        <v>1600000</v>
      </c>
      <c r="R743" t="s">
        <v>850</v>
      </c>
      <c r="S743" t="s">
        <v>735</v>
      </c>
      <c r="T743" t="s">
        <v>736</v>
      </c>
      <c r="U743" t="s">
        <v>112</v>
      </c>
      <c r="V743" t="s">
        <v>23</v>
      </c>
      <c r="W743" t="s">
        <v>51</v>
      </c>
      <c r="X743" t="s">
        <v>15</v>
      </c>
      <c r="Y743" s="56">
        <f>IF(clean[[#This Row],[is_delivered]]="Yes",clean[[#This Row],[net_sales]],0 )</f>
        <v>1600000</v>
      </c>
    </row>
    <row r="744" spans="1:25">
      <c r="A744" t="s">
        <v>1938</v>
      </c>
      <c r="B744" s="9">
        <v>45728</v>
      </c>
      <c r="C744" t="s">
        <v>360</v>
      </c>
      <c r="D744" t="s">
        <v>851</v>
      </c>
      <c r="E744">
        <v>3</v>
      </c>
      <c r="F744" s="56">
        <v>35000</v>
      </c>
      <c r="G744" s="56">
        <v>105000</v>
      </c>
      <c r="H744" t="s">
        <v>879</v>
      </c>
      <c r="I744" s="56">
        <v>21000</v>
      </c>
      <c r="J744" s="56">
        <v>30000</v>
      </c>
      <c r="K744" s="56">
        <v>114000</v>
      </c>
      <c r="L744" t="s">
        <v>884</v>
      </c>
      <c r="M744" t="s">
        <v>874</v>
      </c>
      <c r="N744" t="s">
        <v>905</v>
      </c>
      <c r="O744" s="57">
        <v>45717</v>
      </c>
      <c r="P744" t="s">
        <v>892</v>
      </c>
      <c r="Q744" s="56">
        <v>84000</v>
      </c>
      <c r="R744" t="s">
        <v>852</v>
      </c>
      <c r="S744" t="s">
        <v>739</v>
      </c>
      <c r="T744" t="s">
        <v>740</v>
      </c>
      <c r="U744" t="s">
        <v>361</v>
      </c>
      <c r="V744" t="s">
        <v>23</v>
      </c>
      <c r="W744" t="s">
        <v>137</v>
      </c>
      <c r="X744" t="s">
        <v>9</v>
      </c>
      <c r="Y744" s="56">
        <f>IF(clean[[#This Row],[is_delivered]]="Yes",clean[[#This Row],[net_sales]],0 )</f>
        <v>0</v>
      </c>
    </row>
    <row r="745" spans="1:25">
      <c r="A745" t="s">
        <v>1070</v>
      </c>
      <c r="B745" s="9">
        <v>45727</v>
      </c>
      <c r="C745" t="s">
        <v>105</v>
      </c>
      <c r="D745" t="s">
        <v>753</v>
      </c>
      <c r="E745">
        <v>2</v>
      </c>
      <c r="F745" s="56">
        <v>300000</v>
      </c>
      <c r="G745" s="56">
        <v>600000</v>
      </c>
      <c r="H745" t="s">
        <v>879</v>
      </c>
      <c r="I745" s="56">
        <v>120000</v>
      </c>
      <c r="J745" s="56">
        <v>10000</v>
      </c>
      <c r="K745" s="56">
        <v>490000</v>
      </c>
      <c r="L745" t="s">
        <v>889</v>
      </c>
      <c r="M745" t="s">
        <v>903</v>
      </c>
      <c r="N745" t="s">
        <v>905</v>
      </c>
      <c r="O745" s="57">
        <v>45717</v>
      </c>
      <c r="P745" t="s">
        <v>892</v>
      </c>
      <c r="Q745" s="56">
        <v>480000</v>
      </c>
      <c r="R745" t="s">
        <v>754</v>
      </c>
      <c r="S745" t="s">
        <v>735</v>
      </c>
      <c r="T745" t="s">
        <v>736</v>
      </c>
      <c r="U745" t="s">
        <v>106</v>
      </c>
      <c r="V745" t="s">
        <v>23</v>
      </c>
      <c r="W745" t="s">
        <v>8</v>
      </c>
      <c r="X745" t="s">
        <v>15</v>
      </c>
      <c r="Y745" s="56">
        <f>IF(clean[[#This Row],[is_delivered]]="Yes",clean[[#This Row],[net_sales]],0 )</f>
        <v>0</v>
      </c>
    </row>
    <row r="746" spans="1:25">
      <c r="A746" t="s">
        <v>1640</v>
      </c>
      <c r="B746" s="9">
        <v>45727</v>
      </c>
      <c r="C746" t="s">
        <v>512</v>
      </c>
      <c r="D746" t="s">
        <v>831</v>
      </c>
      <c r="E746">
        <v>1</v>
      </c>
      <c r="F746" s="56">
        <v>300000</v>
      </c>
      <c r="G746" s="56">
        <v>300000</v>
      </c>
      <c r="H746" t="s">
        <v>872</v>
      </c>
      <c r="I746" s="56">
        <v>0</v>
      </c>
      <c r="J746" s="56">
        <v>30000</v>
      </c>
      <c r="K746" s="56">
        <v>330000</v>
      </c>
      <c r="L746" t="s">
        <v>884</v>
      </c>
      <c r="M746" t="s">
        <v>901</v>
      </c>
      <c r="N746" t="s">
        <v>890</v>
      </c>
      <c r="O746" s="57">
        <v>45717</v>
      </c>
      <c r="P746" t="s">
        <v>892</v>
      </c>
      <c r="Q746" s="56">
        <v>300000</v>
      </c>
      <c r="R746" t="s">
        <v>832</v>
      </c>
      <c r="S746" t="s">
        <v>747</v>
      </c>
      <c r="T746" t="s">
        <v>748</v>
      </c>
      <c r="U746" t="s">
        <v>513</v>
      </c>
      <c r="V746" t="s">
        <v>23</v>
      </c>
      <c r="W746" t="s">
        <v>39</v>
      </c>
      <c r="X746" t="s">
        <v>24</v>
      </c>
      <c r="Y746" s="56">
        <f>IF(clean[[#This Row],[is_delivered]]="Yes",clean[[#This Row],[net_sales]],0 )</f>
        <v>0</v>
      </c>
    </row>
    <row r="747" spans="1:25">
      <c r="A747" t="s">
        <v>1715</v>
      </c>
      <c r="B747" s="9">
        <v>45727</v>
      </c>
      <c r="C747" t="s">
        <v>284</v>
      </c>
      <c r="D747" t="s">
        <v>781</v>
      </c>
      <c r="E747">
        <v>1</v>
      </c>
      <c r="F747" s="56">
        <v>50000</v>
      </c>
      <c r="G747" s="56">
        <v>50000</v>
      </c>
      <c r="H747" t="s">
        <v>872</v>
      </c>
      <c r="I747" s="56">
        <v>0</v>
      </c>
      <c r="J747" s="56">
        <v>20000</v>
      </c>
      <c r="K747" s="56">
        <v>70000</v>
      </c>
      <c r="L747" t="s">
        <v>880</v>
      </c>
      <c r="M747" t="s">
        <v>903</v>
      </c>
      <c r="N747" t="s">
        <v>921</v>
      </c>
      <c r="O747" s="57">
        <v>45717</v>
      </c>
      <c r="P747" t="s">
        <v>892</v>
      </c>
      <c r="Q747" s="56">
        <v>50000</v>
      </c>
      <c r="R747" t="s">
        <v>782</v>
      </c>
      <c r="S747" t="s">
        <v>743</v>
      </c>
      <c r="T747" t="s">
        <v>744</v>
      </c>
      <c r="U747" t="s">
        <v>285</v>
      </c>
      <c r="V747" t="s">
        <v>7</v>
      </c>
      <c r="W747" t="s">
        <v>137</v>
      </c>
      <c r="X747" t="s">
        <v>24</v>
      </c>
      <c r="Y747" s="56">
        <f>IF(clean[[#This Row],[is_delivered]]="Yes",clean[[#This Row],[net_sales]],0 )</f>
        <v>0</v>
      </c>
    </row>
    <row r="748" spans="1:25">
      <c r="A748" t="s">
        <v>1878</v>
      </c>
      <c r="B748" s="9">
        <v>45727</v>
      </c>
      <c r="C748" t="s">
        <v>49</v>
      </c>
      <c r="D748" t="s">
        <v>855</v>
      </c>
      <c r="E748">
        <v>1</v>
      </c>
      <c r="F748" s="56">
        <v>150000</v>
      </c>
      <c r="G748" s="56">
        <v>150000</v>
      </c>
      <c r="H748" t="s">
        <v>872</v>
      </c>
      <c r="I748" s="56">
        <v>0</v>
      </c>
      <c r="J748" s="56">
        <v>15000</v>
      </c>
      <c r="K748" s="56">
        <v>165000</v>
      </c>
      <c r="L748" t="s">
        <v>880</v>
      </c>
      <c r="M748" t="s">
        <v>881</v>
      </c>
      <c r="N748" t="s">
        <v>875</v>
      </c>
      <c r="O748" s="57">
        <v>45717</v>
      </c>
      <c r="P748" t="s">
        <v>877</v>
      </c>
      <c r="Q748" s="56">
        <v>150000</v>
      </c>
      <c r="R748" t="s">
        <v>856</v>
      </c>
      <c r="S748" t="s">
        <v>747</v>
      </c>
      <c r="T748" t="s">
        <v>748</v>
      </c>
      <c r="U748" t="s">
        <v>50</v>
      </c>
      <c r="V748" t="s">
        <v>23</v>
      </c>
      <c r="W748" t="s">
        <v>51</v>
      </c>
      <c r="X748" t="s">
        <v>9</v>
      </c>
      <c r="Y748" s="56">
        <f>IF(clean[[#This Row],[is_delivered]]="Yes",clean[[#This Row],[net_sales]],0 )</f>
        <v>150000</v>
      </c>
    </row>
    <row r="749" spans="1:25">
      <c r="A749" t="s">
        <v>2093</v>
      </c>
      <c r="B749" s="9">
        <v>45727</v>
      </c>
      <c r="C749" t="s">
        <v>49</v>
      </c>
      <c r="D749" t="s">
        <v>831</v>
      </c>
      <c r="E749">
        <v>1</v>
      </c>
      <c r="F749" s="56">
        <v>300000</v>
      </c>
      <c r="G749" s="56">
        <v>300000</v>
      </c>
      <c r="H749" t="s">
        <v>886</v>
      </c>
      <c r="I749" s="56">
        <v>30000</v>
      </c>
      <c r="J749" s="56">
        <v>10000</v>
      </c>
      <c r="K749" s="56">
        <v>280000</v>
      </c>
      <c r="L749" t="s">
        <v>889</v>
      </c>
      <c r="M749" t="s">
        <v>901</v>
      </c>
      <c r="N749" t="s">
        <v>875</v>
      </c>
      <c r="O749" s="57">
        <v>45717</v>
      </c>
      <c r="P749" t="s">
        <v>877</v>
      </c>
      <c r="Q749" s="56">
        <v>270000</v>
      </c>
      <c r="R749" t="s">
        <v>832</v>
      </c>
      <c r="S749" t="s">
        <v>747</v>
      </c>
      <c r="T749" t="s">
        <v>748</v>
      </c>
      <c r="U749" t="s">
        <v>50</v>
      </c>
      <c r="V749" t="s">
        <v>23</v>
      </c>
      <c r="W749" t="s">
        <v>51</v>
      </c>
      <c r="X749" t="s">
        <v>9</v>
      </c>
      <c r="Y749" s="56">
        <f>IF(clean[[#This Row],[is_delivered]]="Yes",clean[[#This Row],[net_sales]],0 )</f>
        <v>270000</v>
      </c>
    </row>
    <row r="750" spans="1:25">
      <c r="A750" t="s">
        <v>1306</v>
      </c>
      <c r="B750" s="9">
        <v>45726</v>
      </c>
      <c r="C750" t="s">
        <v>398</v>
      </c>
      <c r="D750" t="s">
        <v>839</v>
      </c>
      <c r="E750">
        <v>1</v>
      </c>
      <c r="F750" s="56">
        <v>200000</v>
      </c>
      <c r="G750" s="56">
        <v>200000</v>
      </c>
      <c r="H750" t="s">
        <v>883</v>
      </c>
      <c r="I750" s="56">
        <v>20000</v>
      </c>
      <c r="J750" s="56">
        <v>25000</v>
      </c>
      <c r="K750" s="56">
        <v>205000</v>
      </c>
      <c r="L750" t="s">
        <v>884</v>
      </c>
      <c r="M750" t="s">
        <v>901</v>
      </c>
      <c r="N750" t="s">
        <v>875</v>
      </c>
      <c r="O750" s="57">
        <v>45717</v>
      </c>
      <c r="P750" t="s">
        <v>877</v>
      </c>
      <c r="Q750" s="56">
        <v>180000</v>
      </c>
      <c r="R750" t="s">
        <v>840</v>
      </c>
      <c r="S750" t="s">
        <v>739</v>
      </c>
      <c r="T750" t="s">
        <v>740</v>
      </c>
      <c r="U750" t="s">
        <v>399</v>
      </c>
      <c r="V750" t="s">
        <v>7</v>
      </c>
      <c r="W750" t="s">
        <v>51</v>
      </c>
      <c r="X750" t="s">
        <v>15</v>
      </c>
      <c r="Y750" s="56">
        <f>IF(clean[[#This Row],[is_delivered]]="Yes",clean[[#This Row],[net_sales]],0 )</f>
        <v>180000</v>
      </c>
    </row>
    <row r="751" spans="1:25">
      <c r="A751" t="s">
        <v>1466</v>
      </c>
      <c r="B751" s="9">
        <v>45726</v>
      </c>
      <c r="C751" t="s">
        <v>156</v>
      </c>
      <c r="D751" t="s">
        <v>775</v>
      </c>
      <c r="E751">
        <v>1</v>
      </c>
      <c r="F751" s="56">
        <v>75000</v>
      </c>
      <c r="G751" s="56">
        <v>75000</v>
      </c>
      <c r="H751" t="s">
        <v>883</v>
      </c>
      <c r="I751" s="56">
        <v>7500</v>
      </c>
      <c r="J751" s="56">
        <v>15000</v>
      </c>
      <c r="K751" s="56">
        <v>82500</v>
      </c>
      <c r="L751" t="s">
        <v>889</v>
      </c>
      <c r="M751" t="s">
        <v>901</v>
      </c>
      <c r="N751" t="s">
        <v>875</v>
      </c>
      <c r="O751" s="57">
        <v>45717</v>
      </c>
      <c r="P751" t="s">
        <v>877</v>
      </c>
      <c r="Q751" s="56">
        <v>67500</v>
      </c>
      <c r="R751" t="s">
        <v>776</v>
      </c>
      <c r="S751" t="s">
        <v>731</v>
      </c>
      <c r="T751" t="s">
        <v>732</v>
      </c>
      <c r="U751" t="s">
        <v>157</v>
      </c>
      <c r="V751" t="s">
        <v>23</v>
      </c>
      <c r="W751" t="s">
        <v>137</v>
      </c>
      <c r="X751" t="s">
        <v>15</v>
      </c>
      <c r="Y751" s="56">
        <f>IF(clean[[#This Row],[is_delivered]]="Yes",clean[[#This Row],[net_sales]],0 )</f>
        <v>67500</v>
      </c>
    </row>
    <row r="752" spans="1:25">
      <c r="A752" t="s">
        <v>1539</v>
      </c>
      <c r="B752" s="9">
        <v>45726</v>
      </c>
      <c r="C752" t="s">
        <v>486</v>
      </c>
      <c r="D752" t="s">
        <v>725</v>
      </c>
      <c r="E752">
        <v>4</v>
      </c>
      <c r="F752" s="56">
        <v>300000</v>
      </c>
      <c r="G752" s="56">
        <v>1200000</v>
      </c>
      <c r="H752" t="s">
        <v>872</v>
      </c>
      <c r="I752" s="56">
        <v>0</v>
      </c>
      <c r="J752" s="56">
        <v>20000</v>
      </c>
      <c r="K752" s="56">
        <v>1220000</v>
      </c>
      <c r="L752" t="s">
        <v>889</v>
      </c>
      <c r="M752" t="s">
        <v>881</v>
      </c>
      <c r="N752" t="s">
        <v>875</v>
      </c>
      <c r="O752" s="57">
        <v>45717</v>
      </c>
      <c r="P752" t="s">
        <v>877</v>
      </c>
      <c r="Q752" s="56">
        <v>1200000</v>
      </c>
      <c r="R752" t="s">
        <v>726</v>
      </c>
      <c r="S752" t="s">
        <v>727</v>
      </c>
      <c r="T752" t="s">
        <v>728</v>
      </c>
      <c r="U752" t="s">
        <v>487</v>
      </c>
      <c r="V752" t="s">
        <v>23</v>
      </c>
      <c r="W752" t="s">
        <v>36</v>
      </c>
      <c r="X752" t="s">
        <v>24</v>
      </c>
      <c r="Y752" s="56">
        <f>IF(clean[[#This Row],[is_delivered]]="Yes",clean[[#This Row],[net_sales]],0 )</f>
        <v>1200000</v>
      </c>
    </row>
    <row r="753" spans="1:25">
      <c r="A753" t="s">
        <v>1547</v>
      </c>
      <c r="B753" s="9">
        <v>45726</v>
      </c>
      <c r="C753" t="s">
        <v>127</v>
      </c>
      <c r="D753" t="s">
        <v>755</v>
      </c>
      <c r="E753">
        <v>1</v>
      </c>
      <c r="F753" s="56">
        <v>50000</v>
      </c>
      <c r="G753" s="56">
        <v>50000</v>
      </c>
      <c r="H753" t="s">
        <v>886</v>
      </c>
      <c r="I753" s="56">
        <v>5000</v>
      </c>
      <c r="J753" s="56">
        <v>20000</v>
      </c>
      <c r="K753" s="56">
        <v>65000</v>
      </c>
      <c r="L753" t="s">
        <v>889</v>
      </c>
      <c r="M753" t="s">
        <v>903</v>
      </c>
      <c r="N753" t="s">
        <v>875</v>
      </c>
      <c r="O753" s="57">
        <v>45717</v>
      </c>
      <c r="P753" t="s">
        <v>877</v>
      </c>
      <c r="Q753" s="56">
        <v>45000</v>
      </c>
      <c r="R753" t="s">
        <v>756</v>
      </c>
      <c r="S753" t="s">
        <v>739</v>
      </c>
      <c r="T753" t="s">
        <v>740</v>
      </c>
      <c r="U753" t="s">
        <v>128</v>
      </c>
      <c r="V753" t="s">
        <v>7</v>
      </c>
      <c r="W753" t="s">
        <v>39</v>
      </c>
      <c r="X753" t="s">
        <v>15</v>
      </c>
      <c r="Y753" s="56">
        <f>IF(clean[[#This Row],[is_delivered]]="Yes",clean[[#This Row],[net_sales]],0 )</f>
        <v>45000</v>
      </c>
    </row>
    <row r="754" spans="1:25">
      <c r="A754" t="s">
        <v>1572</v>
      </c>
      <c r="B754" s="9">
        <v>45726</v>
      </c>
      <c r="C754" t="s">
        <v>456</v>
      </c>
      <c r="D754" t="s">
        <v>761</v>
      </c>
      <c r="E754">
        <v>1</v>
      </c>
      <c r="F754" s="56">
        <v>75000</v>
      </c>
      <c r="G754" s="56">
        <v>75000</v>
      </c>
      <c r="H754" t="s">
        <v>879</v>
      </c>
      <c r="I754" s="56">
        <v>15000</v>
      </c>
      <c r="J754" s="56">
        <v>20000</v>
      </c>
      <c r="K754" s="56">
        <v>80000</v>
      </c>
      <c r="L754" t="s">
        <v>880</v>
      </c>
      <c r="M754" t="s">
        <v>874</v>
      </c>
      <c r="N754" t="s">
        <v>875</v>
      </c>
      <c r="O754" s="57">
        <v>45717</v>
      </c>
      <c r="P754" t="s">
        <v>877</v>
      </c>
      <c r="Q754" s="56">
        <v>60000</v>
      </c>
      <c r="R754" t="s">
        <v>762</v>
      </c>
      <c r="S754" t="s">
        <v>727</v>
      </c>
      <c r="T754" t="s">
        <v>728</v>
      </c>
      <c r="U754" t="s">
        <v>457</v>
      </c>
      <c r="V754" t="s">
        <v>7</v>
      </c>
      <c r="W754" t="s">
        <v>46</v>
      </c>
      <c r="X754" t="s">
        <v>9</v>
      </c>
      <c r="Y754" s="56">
        <f>IF(clean[[#This Row],[is_delivered]]="Yes",clean[[#This Row],[net_sales]],0 )</f>
        <v>60000</v>
      </c>
    </row>
    <row r="755" spans="1:25">
      <c r="A755" t="s">
        <v>1591</v>
      </c>
      <c r="B755" s="9">
        <v>45726</v>
      </c>
      <c r="C755" t="s">
        <v>548</v>
      </c>
      <c r="D755" t="s">
        <v>729</v>
      </c>
      <c r="E755">
        <v>1</v>
      </c>
      <c r="F755" s="56">
        <v>100000</v>
      </c>
      <c r="G755" s="56">
        <v>100000</v>
      </c>
      <c r="H755" t="s">
        <v>872</v>
      </c>
      <c r="I755" s="56">
        <v>0</v>
      </c>
      <c r="J755" s="56">
        <v>25000</v>
      </c>
      <c r="K755" s="56">
        <v>125000</v>
      </c>
      <c r="L755" t="s">
        <v>880</v>
      </c>
      <c r="M755" t="s">
        <v>903</v>
      </c>
      <c r="N755" t="s">
        <v>875</v>
      </c>
      <c r="O755" s="57">
        <v>45717</v>
      </c>
      <c r="P755" t="s">
        <v>877</v>
      </c>
      <c r="Q755" s="56">
        <v>100000</v>
      </c>
      <c r="R755" t="s">
        <v>730</v>
      </c>
      <c r="S755" t="s">
        <v>731</v>
      </c>
      <c r="T755" t="s">
        <v>732</v>
      </c>
      <c r="U755" t="s">
        <v>549</v>
      </c>
      <c r="V755" t="s">
        <v>23</v>
      </c>
      <c r="W755" t="s">
        <v>12</v>
      </c>
      <c r="X755" t="s">
        <v>9</v>
      </c>
      <c r="Y755" s="56">
        <f>IF(clean[[#This Row],[is_delivered]]="Yes",clean[[#This Row],[net_sales]],0 )</f>
        <v>100000</v>
      </c>
    </row>
    <row r="756" spans="1:25">
      <c r="A756" t="s">
        <v>1870</v>
      </c>
      <c r="B756" s="9">
        <v>45726</v>
      </c>
      <c r="C756" t="s">
        <v>258</v>
      </c>
      <c r="D756" t="s">
        <v>733</v>
      </c>
      <c r="E756">
        <v>2</v>
      </c>
      <c r="F756" s="56">
        <v>150000</v>
      </c>
      <c r="G756" s="56">
        <v>300000</v>
      </c>
      <c r="H756" t="s">
        <v>895</v>
      </c>
      <c r="I756" s="56">
        <v>45000</v>
      </c>
      <c r="J756" s="56">
        <v>25000</v>
      </c>
      <c r="K756" s="56">
        <v>280000</v>
      </c>
      <c r="L756" t="s">
        <v>889</v>
      </c>
      <c r="M756" t="s">
        <v>903</v>
      </c>
      <c r="N756" t="s">
        <v>905</v>
      </c>
      <c r="O756" s="57">
        <v>45717</v>
      </c>
      <c r="P756" t="s">
        <v>892</v>
      </c>
      <c r="Q756" s="56">
        <v>255000</v>
      </c>
      <c r="R756" t="s">
        <v>734</v>
      </c>
      <c r="S756" t="s">
        <v>735</v>
      </c>
      <c r="T756" t="s">
        <v>736</v>
      </c>
      <c r="U756" t="s">
        <v>259</v>
      </c>
      <c r="V756" t="s">
        <v>7</v>
      </c>
      <c r="W756" t="s">
        <v>56</v>
      </c>
      <c r="X756" t="s">
        <v>9</v>
      </c>
      <c r="Y756" s="56">
        <f>IF(clean[[#This Row],[is_delivered]]="Yes",clean[[#This Row],[net_sales]],0 )</f>
        <v>0</v>
      </c>
    </row>
    <row r="757" spans="1:25">
      <c r="A757" t="s">
        <v>949</v>
      </c>
      <c r="B757" s="9">
        <v>45725</v>
      </c>
      <c r="C757" t="s">
        <v>456</v>
      </c>
      <c r="D757" t="s">
        <v>769</v>
      </c>
      <c r="E757">
        <v>2</v>
      </c>
      <c r="F757" s="56">
        <v>100000</v>
      </c>
      <c r="G757" s="56">
        <v>200000</v>
      </c>
      <c r="H757" t="s">
        <v>872</v>
      </c>
      <c r="I757" s="56">
        <v>0</v>
      </c>
      <c r="J757" s="56">
        <v>20000</v>
      </c>
      <c r="K757" s="56">
        <v>220000</v>
      </c>
      <c r="L757" t="s">
        <v>884</v>
      </c>
      <c r="M757" t="s">
        <v>901</v>
      </c>
      <c r="N757" t="s">
        <v>875</v>
      </c>
      <c r="O757" s="57">
        <v>45717</v>
      </c>
      <c r="P757" t="s">
        <v>877</v>
      </c>
      <c r="Q757" s="56">
        <v>200000</v>
      </c>
      <c r="R757" t="s">
        <v>770</v>
      </c>
      <c r="S757" t="s">
        <v>743</v>
      </c>
      <c r="T757" t="s">
        <v>744</v>
      </c>
      <c r="U757" t="s">
        <v>457</v>
      </c>
      <c r="V757" t="s">
        <v>7</v>
      </c>
      <c r="W757" t="s">
        <v>46</v>
      </c>
      <c r="X757" t="s">
        <v>9</v>
      </c>
      <c r="Y757" s="56">
        <f>IF(clean[[#This Row],[is_delivered]]="Yes",clean[[#This Row],[net_sales]],0 )</f>
        <v>200000</v>
      </c>
    </row>
    <row r="758" spans="1:25">
      <c r="A758" t="s">
        <v>1422</v>
      </c>
      <c r="B758" s="9">
        <v>45725</v>
      </c>
      <c r="C758" t="s">
        <v>622</v>
      </c>
      <c r="D758" t="s">
        <v>849</v>
      </c>
      <c r="E758">
        <v>1</v>
      </c>
      <c r="F758" s="56">
        <v>500000</v>
      </c>
      <c r="G758" s="56">
        <v>500000</v>
      </c>
      <c r="H758" t="s">
        <v>895</v>
      </c>
      <c r="I758" s="56">
        <v>75000</v>
      </c>
      <c r="J758" s="56">
        <v>30000</v>
      </c>
      <c r="K758" s="56">
        <v>455000</v>
      </c>
      <c r="L758" t="s">
        <v>880</v>
      </c>
      <c r="M758" t="s">
        <v>903</v>
      </c>
      <c r="N758" t="s">
        <v>875</v>
      </c>
      <c r="O758" s="57">
        <v>45717</v>
      </c>
      <c r="P758" t="s">
        <v>877</v>
      </c>
      <c r="Q758" s="56">
        <v>425000</v>
      </c>
      <c r="R758" t="s">
        <v>850</v>
      </c>
      <c r="S758" t="s">
        <v>735</v>
      </c>
      <c r="T758" t="s">
        <v>736</v>
      </c>
      <c r="U758" t="s">
        <v>623</v>
      </c>
      <c r="V758" t="s">
        <v>7</v>
      </c>
      <c r="W758" t="s">
        <v>39</v>
      </c>
      <c r="X758" t="s">
        <v>9</v>
      </c>
      <c r="Y758" s="56">
        <f>IF(clean[[#This Row],[is_delivered]]="Yes",clean[[#This Row],[net_sales]],0 )</f>
        <v>425000</v>
      </c>
    </row>
    <row r="759" spans="1:25">
      <c r="A759" t="s">
        <v>1449</v>
      </c>
      <c r="B759" s="9">
        <v>45725</v>
      </c>
      <c r="C759" t="s">
        <v>44</v>
      </c>
      <c r="D759" t="s">
        <v>785</v>
      </c>
      <c r="E759">
        <v>2</v>
      </c>
      <c r="F759" s="56">
        <v>100000</v>
      </c>
      <c r="G759" s="56">
        <v>200000</v>
      </c>
      <c r="H759" t="s">
        <v>895</v>
      </c>
      <c r="I759" s="56">
        <v>30000</v>
      </c>
      <c r="J759" s="56">
        <v>25000</v>
      </c>
      <c r="K759" s="56">
        <v>195000</v>
      </c>
      <c r="L759" t="s">
        <v>880</v>
      </c>
      <c r="M759" t="s">
        <v>901</v>
      </c>
      <c r="N759" t="s">
        <v>911</v>
      </c>
      <c r="O759" s="57">
        <v>45717</v>
      </c>
      <c r="P759" t="s">
        <v>892</v>
      </c>
      <c r="Q759" s="56">
        <v>170000</v>
      </c>
      <c r="R759" t="s">
        <v>786</v>
      </c>
      <c r="S759" t="s">
        <v>727</v>
      </c>
      <c r="T759" t="s">
        <v>728</v>
      </c>
      <c r="U759" t="s">
        <v>45</v>
      </c>
      <c r="V759" t="s">
        <v>7</v>
      </c>
      <c r="W759" t="s">
        <v>46</v>
      </c>
      <c r="X759" t="s">
        <v>24</v>
      </c>
      <c r="Y759" s="56">
        <f>IF(clean[[#This Row],[is_delivered]]="Yes",clean[[#This Row],[net_sales]],0 )</f>
        <v>0</v>
      </c>
    </row>
    <row r="760" spans="1:25">
      <c r="A760" t="s">
        <v>1573</v>
      </c>
      <c r="B760" s="9">
        <v>45725</v>
      </c>
      <c r="C760" t="s">
        <v>354</v>
      </c>
      <c r="D760" t="s">
        <v>831</v>
      </c>
      <c r="E760">
        <v>3</v>
      </c>
      <c r="F760" s="56">
        <v>300000</v>
      </c>
      <c r="G760" s="56">
        <v>900000</v>
      </c>
      <c r="H760" t="s">
        <v>895</v>
      </c>
      <c r="I760" s="56">
        <v>135000</v>
      </c>
      <c r="J760" s="56">
        <v>25000</v>
      </c>
      <c r="K760" s="56">
        <v>790000</v>
      </c>
      <c r="L760" t="s">
        <v>884</v>
      </c>
      <c r="M760" t="s">
        <v>901</v>
      </c>
      <c r="N760" t="s">
        <v>875</v>
      </c>
      <c r="O760" s="57">
        <v>45717</v>
      </c>
      <c r="P760" t="s">
        <v>877</v>
      </c>
      <c r="Q760" s="56">
        <v>765000</v>
      </c>
      <c r="R760" t="s">
        <v>832</v>
      </c>
      <c r="S760" t="s">
        <v>747</v>
      </c>
      <c r="T760" t="s">
        <v>748</v>
      </c>
      <c r="U760" t="s">
        <v>355</v>
      </c>
      <c r="V760" t="s">
        <v>23</v>
      </c>
      <c r="W760" t="s">
        <v>46</v>
      </c>
      <c r="X760" t="s">
        <v>24</v>
      </c>
      <c r="Y760" s="56">
        <f>IF(clean[[#This Row],[is_delivered]]="Yes",clean[[#This Row],[net_sales]],0 )</f>
        <v>765000</v>
      </c>
    </row>
    <row r="761" spans="1:25">
      <c r="A761" t="s">
        <v>1730</v>
      </c>
      <c r="B761" s="9">
        <v>45725</v>
      </c>
      <c r="C761" t="s">
        <v>390</v>
      </c>
      <c r="D761" t="s">
        <v>745</v>
      </c>
      <c r="E761">
        <v>1</v>
      </c>
      <c r="F761" s="56">
        <v>500000</v>
      </c>
      <c r="G761" s="56">
        <v>500000</v>
      </c>
      <c r="H761" t="s">
        <v>886</v>
      </c>
      <c r="I761" s="56">
        <v>50000</v>
      </c>
      <c r="J761" s="56">
        <v>10000</v>
      </c>
      <c r="K761" s="56">
        <v>460000</v>
      </c>
      <c r="L761" t="s">
        <v>884</v>
      </c>
      <c r="M761" t="s">
        <v>903</v>
      </c>
      <c r="N761" t="s">
        <v>875</v>
      </c>
      <c r="O761" s="57">
        <v>45717</v>
      </c>
      <c r="P761" t="s">
        <v>877</v>
      </c>
      <c r="Q761" s="56">
        <v>450000</v>
      </c>
      <c r="R761" t="s">
        <v>746</v>
      </c>
      <c r="S761" t="s">
        <v>747</v>
      </c>
      <c r="T761" t="s">
        <v>748</v>
      </c>
      <c r="U761" t="s">
        <v>391</v>
      </c>
      <c r="V761" t="s">
        <v>23</v>
      </c>
      <c r="W761" t="s">
        <v>56</v>
      </c>
      <c r="X761" t="s">
        <v>15</v>
      </c>
      <c r="Y761" s="56">
        <f>IF(clean[[#This Row],[is_delivered]]="Yes",clean[[#This Row],[net_sales]],0 )</f>
        <v>450000</v>
      </c>
    </row>
    <row r="762" spans="1:25">
      <c r="A762" t="s">
        <v>1816</v>
      </c>
      <c r="B762" s="9">
        <v>45725</v>
      </c>
      <c r="C762" t="s">
        <v>496</v>
      </c>
      <c r="D762" t="s">
        <v>753</v>
      </c>
      <c r="E762">
        <v>4</v>
      </c>
      <c r="F762" s="56">
        <v>300000</v>
      </c>
      <c r="G762" s="56">
        <v>1200000</v>
      </c>
      <c r="H762" t="s">
        <v>895</v>
      </c>
      <c r="I762" s="56">
        <v>180000</v>
      </c>
      <c r="J762" s="56">
        <v>25000</v>
      </c>
      <c r="K762" s="56">
        <v>1045000</v>
      </c>
      <c r="L762" t="s">
        <v>884</v>
      </c>
      <c r="M762" t="s">
        <v>881</v>
      </c>
      <c r="N762" t="s">
        <v>890</v>
      </c>
      <c r="O762" s="57">
        <v>45717</v>
      </c>
      <c r="P762" t="s">
        <v>892</v>
      </c>
      <c r="Q762" s="56">
        <v>1020000</v>
      </c>
      <c r="R762" t="s">
        <v>754</v>
      </c>
      <c r="S762" t="s">
        <v>735</v>
      </c>
      <c r="T762" t="s">
        <v>736</v>
      </c>
      <c r="U762" t="s">
        <v>497</v>
      </c>
      <c r="V762" t="s">
        <v>7</v>
      </c>
      <c r="W762" t="s">
        <v>56</v>
      </c>
      <c r="X762" t="s">
        <v>24</v>
      </c>
      <c r="Y762" s="56">
        <f>IF(clean[[#This Row],[is_delivered]]="Yes",clean[[#This Row],[net_sales]],0 )</f>
        <v>0</v>
      </c>
    </row>
    <row r="763" spans="1:25">
      <c r="A763" t="s">
        <v>1825</v>
      </c>
      <c r="B763" s="9">
        <v>45725</v>
      </c>
      <c r="C763" t="s">
        <v>105</v>
      </c>
      <c r="D763" t="s">
        <v>825</v>
      </c>
      <c r="E763">
        <v>2</v>
      </c>
      <c r="F763" s="56">
        <v>100000</v>
      </c>
      <c r="G763" s="56">
        <v>200000</v>
      </c>
      <c r="H763" t="s">
        <v>879</v>
      </c>
      <c r="I763" s="56">
        <v>40000</v>
      </c>
      <c r="J763" s="56">
        <v>15000</v>
      </c>
      <c r="K763" s="56">
        <v>175000</v>
      </c>
      <c r="L763" t="s">
        <v>884</v>
      </c>
      <c r="M763" t="s">
        <v>901</v>
      </c>
      <c r="N763" t="s">
        <v>875</v>
      </c>
      <c r="O763" s="57">
        <v>45717</v>
      </c>
      <c r="P763" t="s">
        <v>877</v>
      </c>
      <c r="Q763" s="56">
        <v>160000</v>
      </c>
      <c r="R763" t="s">
        <v>826</v>
      </c>
      <c r="S763" t="s">
        <v>735</v>
      </c>
      <c r="T763" t="s">
        <v>736</v>
      </c>
      <c r="U763" t="s">
        <v>106</v>
      </c>
      <c r="V763" t="s">
        <v>23</v>
      </c>
      <c r="W763" t="s">
        <v>8</v>
      </c>
      <c r="X763" t="s">
        <v>15</v>
      </c>
      <c r="Y763" s="56">
        <f>IF(clean[[#This Row],[is_delivered]]="Yes",clean[[#This Row],[net_sales]],0 )</f>
        <v>160000</v>
      </c>
    </row>
    <row r="764" spans="1:25">
      <c r="A764" t="s">
        <v>2088</v>
      </c>
      <c r="B764" s="9">
        <v>45725</v>
      </c>
      <c r="C764" t="s">
        <v>460</v>
      </c>
      <c r="D764" t="s">
        <v>765</v>
      </c>
      <c r="E764">
        <v>1</v>
      </c>
      <c r="F764" s="56">
        <v>500000</v>
      </c>
      <c r="G764" s="56">
        <v>500000</v>
      </c>
      <c r="H764" t="s">
        <v>886</v>
      </c>
      <c r="I764" s="56">
        <v>50000</v>
      </c>
      <c r="J764" s="56">
        <v>25000</v>
      </c>
      <c r="K764" s="56">
        <v>475000</v>
      </c>
      <c r="L764" t="s">
        <v>884</v>
      </c>
      <c r="M764" t="s">
        <v>901</v>
      </c>
      <c r="N764" t="s">
        <v>875</v>
      </c>
      <c r="O764" s="57">
        <v>45717</v>
      </c>
      <c r="P764" t="s">
        <v>877</v>
      </c>
      <c r="Q764" s="56">
        <v>450000</v>
      </c>
      <c r="R764" t="s">
        <v>766</v>
      </c>
      <c r="S764" t="s">
        <v>735</v>
      </c>
      <c r="T764" t="s">
        <v>736</v>
      </c>
      <c r="U764" t="s">
        <v>461</v>
      </c>
      <c r="V764" t="s">
        <v>23</v>
      </c>
      <c r="W764" t="s">
        <v>51</v>
      </c>
      <c r="X764" t="s">
        <v>9</v>
      </c>
      <c r="Y764" s="56">
        <f>IF(clean[[#This Row],[is_delivered]]="Yes",clean[[#This Row],[net_sales]],0 )</f>
        <v>450000</v>
      </c>
    </row>
    <row r="765" spans="1:25">
      <c r="A765" t="s">
        <v>1013</v>
      </c>
      <c r="B765" s="9">
        <v>45724</v>
      </c>
      <c r="C765" t="s">
        <v>618</v>
      </c>
      <c r="D765" t="s">
        <v>851</v>
      </c>
      <c r="E765">
        <v>1</v>
      </c>
      <c r="F765" s="56">
        <v>35000</v>
      </c>
      <c r="G765" s="56">
        <v>35000</v>
      </c>
      <c r="H765" t="s">
        <v>895</v>
      </c>
      <c r="I765" s="56">
        <v>5250</v>
      </c>
      <c r="J765" s="56">
        <v>10000</v>
      </c>
      <c r="K765" s="56">
        <v>39750</v>
      </c>
      <c r="L765" t="s">
        <v>889</v>
      </c>
      <c r="M765" t="s">
        <v>874</v>
      </c>
      <c r="N765" t="s">
        <v>875</v>
      </c>
      <c r="O765" s="57">
        <v>45717</v>
      </c>
      <c r="P765" t="s">
        <v>877</v>
      </c>
      <c r="Q765" s="56">
        <v>29750</v>
      </c>
      <c r="R765" t="s">
        <v>852</v>
      </c>
      <c r="S765" t="s">
        <v>739</v>
      </c>
      <c r="T765" t="s">
        <v>740</v>
      </c>
      <c r="U765" t="s">
        <v>619</v>
      </c>
      <c r="V765" t="s">
        <v>7</v>
      </c>
      <c r="W765" t="s">
        <v>29</v>
      </c>
      <c r="X765" t="s">
        <v>15</v>
      </c>
      <c r="Y765" s="56">
        <f>IF(clean[[#This Row],[is_delivered]]="Yes",clean[[#This Row],[net_sales]],0 )</f>
        <v>29750</v>
      </c>
    </row>
    <row r="766" spans="1:25">
      <c r="A766" t="s">
        <v>1322</v>
      </c>
      <c r="B766" s="9">
        <v>45724</v>
      </c>
      <c r="C766" t="s">
        <v>518</v>
      </c>
      <c r="D766" t="s">
        <v>783</v>
      </c>
      <c r="E766">
        <v>3</v>
      </c>
      <c r="F766" s="56">
        <v>500000</v>
      </c>
      <c r="G766" s="56">
        <v>1500000</v>
      </c>
      <c r="H766" t="s">
        <v>895</v>
      </c>
      <c r="I766" s="56">
        <v>225000</v>
      </c>
      <c r="J766" s="56">
        <v>15000</v>
      </c>
      <c r="K766" s="56">
        <v>1290000</v>
      </c>
      <c r="L766" t="s">
        <v>880</v>
      </c>
      <c r="M766" t="s">
        <v>874</v>
      </c>
      <c r="N766" t="s">
        <v>875</v>
      </c>
      <c r="O766" s="57">
        <v>45717</v>
      </c>
      <c r="P766" t="s">
        <v>877</v>
      </c>
      <c r="Q766" s="56">
        <v>1275000</v>
      </c>
      <c r="R766" t="s">
        <v>784</v>
      </c>
      <c r="S766" t="s">
        <v>747</v>
      </c>
      <c r="T766" t="s">
        <v>748</v>
      </c>
      <c r="U766" t="s">
        <v>519</v>
      </c>
      <c r="V766" t="s">
        <v>23</v>
      </c>
      <c r="W766" t="s">
        <v>12</v>
      </c>
      <c r="X766" t="s">
        <v>15</v>
      </c>
      <c r="Y766" s="56">
        <f>IF(clean[[#This Row],[is_delivered]]="Yes",clean[[#This Row],[net_sales]],0 )</f>
        <v>1275000</v>
      </c>
    </row>
    <row r="767" spans="1:25">
      <c r="A767" t="s">
        <v>1323</v>
      </c>
      <c r="B767" s="9">
        <v>45724</v>
      </c>
      <c r="C767" t="s">
        <v>322</v>
      </c>
      <c r="D767" t="s">
        <v>741</v>
      </c>
      <c r="E767">
        <v>1</v>
      </c>
      <c r="F767" s="56">
        <v>75000</v>
      </c>
      <c r="G767" s="56">
        <v>75000</v>
      </c>
      <c r="H767" t="s">
        <v>886</v>
      </c>
      <c r="I767" s="56">
        <v>7500</v>
      </c>
      <c r="J767" s="56">
        <v>10000</v>
      </c>
      <c r="K767" s="56">
        <v>77500</v>
      </c>
      <c r="L767" t="s">
        <v>889</v>
      </c>
      <c r="M767" t="s">
        <v>881</v>
      </c>
      <c r="N767" t="s">
        <v>890</v>
      </c>
      <c r="O767" s="57">
        <v>45717</v>
      </c>
      <c r="P767" t="s">
        <v>892</v>
      </c>
      <c r="Q767" s="56">
        <v>67500</v>
      </c>
      <c r="R767" t="s">
        <v>742</v>
      </c>
      <c r="S767" t="s">
        <v>743</v>
      </c>
      <c r="T767" t="s">
        <v>744</v>
      </c>
      <c r="U767" t="s">
        <v>323</v>
      </c>
      <c r="V767" t="s">
        <v>7</v>
      </c>
      <c r="W767" t="s">
        <v>8</v>
      </c>
      <c r="X767" t="s">
        <v>9</v>
      </c>
      <c r="Y767" s="56">
        <f>IF(clean[[#This Row],[is_delivered]]="Yes",clean[[#This Row],[net_sales]],0 )</f>
        <v>0</v>
      </c>
    </row>
    <row r="768" spans="1:25">
      <c r="A768" t="s">
        <v>1416</v>
      </c>
      <c r="B768" s="9">
        <v>45724</v>
      </c>
      <c r="C768" t="s">
        <v>27</v>
      </c>
      <c r="D768" t="s">
        <v>845</v>
      </c>
      <c r="E768">
        <v>1</v>
      </c>
      <c r="F768" s="56">
        <v>300000</v>
      </c>
      <c r="G768" s="56">
        <v>300000</v>
      </c>
      <c r="H768" t="s">
        <v>872</v>
      </c>
      <c r="I768" s="56">
        <v>0</v>
      </c>
      <c r="J768" s="56">
        <v>30000</v>
      </c>
      <c r="K768" s="56">
        <v>330000</v>
      </c>
      <c r="L768" t="s">
        <v>884</v>
      </c>
      <c r="M768" t="s">
        <v>901</v>
      </c>
      <c r="N768" t="s">
        <v>875</v>
      </c>
      <c r="O768" s="57">
        <v>45717</v>
      </c>
      <c r="P768" t="s">
        <v>877</v>
      </c>
      <c r="Q768" s="56">
        <v>300000</v>
      </c>
      <c r="R768" t="s">
        <v>846</v>
      </c>
      <c r="S768" t="s">
        <v>727</v>
      </c>
      <c r="T768" t="s">
        <v>728</v>
      </c>
      <c r="U768" t="s">
        <v>28</v>
      </c>
      <c r="V768" t="s">
        <v>7</v>
      </c>
      <c r="W768" t="s">
        <v>29</v>
      </c>
      <c r="X768" t="s">
        <v>9</v>
      </c>
      <c r="Y768" s="56">
        <f>IF(clean[[#This Row],[is_delivered]]="Yes",clean[[#This Row],[net_sales]],0 )</f>
        <v>300000</v>
      </c>
    </row>
    <row r="769" spans="1:25">
      <c r="A769" t="s">
        <v>1576</v>
      </c>
      <c r="B769" s="9">
        <v>45724</v>
      </c>
      <c r="C769" t="s">
        <v>472</v>
      </c>
      <c r="D769" t="s">
        <v>855</v>
      </c>
      <c r="E769">
        <v>1</v>
      </c>
      <c r="F769" s="56">
        <v>150000</v>
      </c>
      <c r="G769" s="56">
        <v>150000</v>
      </c>
      <c r="H769" t="s">
        <v>879</v>
      </c>
      <c r="I769" s="56">
        <v>30000</v>
      </c>
      <c r="J769" s="56">
        <v>10000</v>
      </c>
      <c r="K769" s="56">
        <v>130000</v>
      </c>
      <c r="L769" t="s">
        <v>880</v>
      </c>
      <c r="M769" t="s">
        <v>881</v>
      </c>
      <c r="N769" t="s">
        <v>921</v>
      </c>
      <c r="O769" s="57">
        <v>45717</v>
      </c>
      <c r="P769" t="s">
        <v>892</v>
      </c>
      <c r="Q769" s="56">
        <v>120000</v>
      </c>
      <c r="R769" t="s">
        <v>856</v>
      </c>
      <c r="S769" t="s">
        <v>747</v>
      </c>
      <c r="T769" t="s">
        <v>748</v>
      </c>
      <c r="U769" t="s">
        <v>473</v>
      </c>
      <c r="V769" t="s">
        <v>7</v>
      </c>
      <c r="W769" t="s">
        <v>137</v>
      </c>
      <c r="X769" t="s">
        <v>9</v>
      </c>
      <c r="Y769" s="56">
        <f>IF(clean[[#This Row],[is_delivered]]="Yes",clean[[#This Row],[net_sales]],0 )</f>
        <v>0</v>
      </c>
    </row>
    <row r="770" spans="1:25">
      <c r="A770" t="s">
        <v>1641</v>
      </c>
      <c r="B770" s="9">
        <v>45724</v>
      </c>
      <c r="C770" t="s">
        <v>296</v>
      </c>
      <c r="D770" t="s">
        <v>849</v>
      </c>
      <c r="E770">
        <v>3</v>
      </c>
      <c r="F770" s="56">
        <v>500000</v>
      </c>
      <c r="G770" s="56">
        <v>1500000</v>
      </c>
      <c r="H770" t="s">
        <v>886</v>
      </c>
      <c r="I770" s="56">
        <v>150000</v>
      </c>
      <c r="J770" s="56">
        <v>15000</v>
      </c>
      <c r="K770" s="56">
        <v>1365000</v>
      </c>
      <c r="L770" t="s">
        <v>880</v>
      </c>
      <c r="M770" t="s">
        <v>874</v>
      </c>
      <c r="N770" t="s">
        <v>875</v>
      </c>
      <c r="O770" s="57">
        <v>45717</v>
      </c>
      <c r="P770" t="s">
        <v>877</v>
      </c>
      <c r="Q770" s="56">
        <v>1350000</v>
      </c>
      <c r="R770" t="s">
        <v>850</v>
      </c>
      <c r="S770" t="s">
        <v>735</v>
      </c>
      <c r="T770" t="s">
        <v>736</v>
      </c>
      <c r="U770" t="s">
        <v>297</v>
      </c>
      <c r="V770" t="s">
        <v>7</v>
      </c>
      <c r="W770" t="s">
        <v>137</v>
      </c>
      <c r="X770" t="s">
        <v>24</v>
      </c>
      <c r="Y770" s="56">
        <f>IF(clean[[#This Row],[is_delivered]]="Yes",clean[[#This Row],[net_sales]],0 )</f>
        <v>1350000</v>
      </c>
    </row>
    <row r="771" spans="1:25">
      <c r="A771" t="s">
        <v>1898</v>
      </c>
      <c r="B771" s="9">
        <v>45724</v>
      </c>
      <c r="C771" t="s">
        <v>474</v>
      </c>
      <c r="D771" t="s">
        <v>805</v>
      </c>
      <c r="E771">
        <v>4</v>
      </c>
      <c r="F771" s="56">
        <v>200000</v>
      </c>
      <c r="G771" s="56">
        <v>800000</v>
      </c>
      <c r="H771" t="s">
        <v>872</v>
      </c>
      <c r="I771" s="56">
        <v>0</v>
      </c>
      <c r="J771" s="56">
        <v>20000</v>
      </c>
      <c r="K771" s="56">
        <v>820000</v>
      </c>
      <c r="L771" t="s">
        <v>889</v>
      </c>
      <c r="M771" t="s">
        <v>881</v>
      </c>
      <c r="N771" t="s">
        <v>875</v>
      </c>
      <c r="O771" s="57">
        <v>45717</v>
      </c>
      <c r="P771" t="s">
        <v>877</v>
      </c>
      <c r="Q771" s="56">
        <v>800000</v>
      </c>
      <c r="R771" t="s">
        <v>806</v>
      </c>
      <c r="S771" t="s">
        <v>743</v>
      </c>
      <c r="T771" t="s">
        <v>744</v>
      </c>
      <c r="U771" t="s">
        <v>475</v>
      </c>
      <c r="V771" t="s">
        <v>7</v>
      </c>
      <c r="W771" t="s">
        <v>46</v>
      </c>
      <c r="X771" t="s">
        <v>9</v>
      </c>
      <c r="Y771" s="56">
        <f>IF(clean[[#This Row],[is_delivered]]="Yes",clean[[#This Row],[net_sales]],0 )</f>
        <v>800000</v>
      </c>
    </row>
    <row r="772" spans="1:25">
      <c r="A772" t="s">
        <v>2047</v>
      </c>
      <c r="B772" s="9">
        <v>45724</v>
      </c>
      <c r="C772" t="s">
        <v>490</v>
      </c>
      <c r="D772" t="s">
        <v>751</v>
      </c>
      <c r="E772">
        <v>2</v>
      </c>
      <c r="F772" s="56">
        <v>150000</v>
      </c>
      <c r="G772" s="56">
        <v>300000</v>
      </c>
      <c r="H772" t="s">
        <v>883</v>
      </c>
      <c r="I772" s="56">
        <v>30000</v>
      </c>
      <c r="J772" s="56">
        <v>10000</v>
      </c>
      <c r="K772" s="56">
        <v>280000</v>
      </c>
      <c r="L772" t="s">
        <v>884</v>
      </c>
      <c r="M772" t="s">
        <v>901</v>
      </c>
      <c r="N772" t="s">
        <v>875</v>
      </c>
      <c r="O772" s="57">
        <v>45717</v>
      </c>
      <c r="P772" t="s">
        <v>877</v>
      </c>
      <c r="Q772" s="56">
        <v>270000</v>
      </c>
      <c r="R772" t="s">
        <v>752</v>
      </c>
      <c r="S772" t="s">
        <v>731</v>
      </c>
      <c r="T772" t="s">
        <v>732</v>
      </c>
      <c r="U772" t="s">
        <v>491</v>
      </c>
      <c r="V772" t="s">
        <v>23</v>
      </c>
      <c r="W772" t="s">
        <v>39</v>
      </c>
      <c r="X772" t="s">
        <v>9</v>
      </c>
      <c r="Y772" s="56">
        <f>IF(clean[[#This Row],[is_delivered]]="Yes",clean[[#This Row],[net_sales]],0 )</f>
        <v>270000</v>
      </c>
    </row>
    <row r="773" spans="1:25">
      <c r="A773" t="s">
        <v>974</v>
      </c>
      <c r="B773" s="9">
        <v>45723</v>
      </c>
      <c r="C773" t="s">
        <v>688</v>
      </c>
      <c r="D773" t="s">
        <v>803</v>
      </c>
      <c r="E773">
        <v>2</v>
      </c>
      <c r="F773" s="56">
        <v>50000</v>
      </c>
      <c r="G773" s="56">
        <v>100000</v>
      </c>
      <c r="H773" t="s">
        <v>872</v>
      </c>
      <c r="I773" s="56">
        <v>0</v>
      </c>
      <c r="J773" s="56">
        <v>30000</v>
      </c>
      <c r="K773" s="56">
        <v>130000</v>
      </c>
      <c r="L773" t="s">
        <v>884</v>
      </c>
      <c r="M773" t="s">
        <v>881</v>
      </c>
      <c r="N773" t="s">
        <v>875</v>
      </c>
      <c r="O773" s="57">
        <v>45717</v>
      </c>
      <c r="P773" t="s">
        <v>877</v>
      </c>
      <c r="Q773" s="56">
        <v>100000</v>
      </c>
      <c r="R773" t="s">
        <v>804</v>
      </c>
      <c r="S773" t="s">
        <v>739</v>
      </c>
      <c r="T773" t="s">
        <v>740</v>
      </c>
      <c r="U773" t="s">
        <v>689</v>
      </c>
      <c r="V773" t="s">
        <v>7</v>
      </c>
      <c r="W773" t="s">
        <v>46</v>
      </c>
      <c r="X773" t="s">
        <v>24</v>
      </c>
      <c r="Y773" s="56">
        <f>IF(clean[[#This Row],[is_delivered]]="Yes",clean[[#This Row],[net_sales]],0 )</f>
        <v>100000</v>
      </c>
    </row>
    <row r="774" spans="1:25">
      <c r="A774" t="s">
        <v>1287</v>
      </c>
      <c r="B774" s="9">
        <v>45723</v>
      </c>
      <c r="C774" t="s">
        <v>604</v>
      </c>
      <c r="D774" t="s">
        <v>833</v>
      </c>
      <c r="E774">
        <v>3</v>
      </c>
      <c r="F774" s="56">
        <v>200000</v>
      </c>
      <c r="G774" s="56">
        <v>600000</v>
      </c>
      <c r="H774" t="s">
        <v>886</v>
      </c>
      <c r="I774" s="56">
        <v>60000</v>
      </c>
      <c r="J774" s="56">
        <v>20000</v>
      </c>
      <c r="K774" s="56">
        <v>560000</v>
      </c>
      <c r="L774" t="s">
        <v>889</v>
      </c>
      <c r="M774" t="s">
        <v>881</v>
      </c>
      <c r="N774" t="s">
        <v>875</v>
      </c>
      <c r="O774" s="57">
        <v>45717</v>
      </c>
      <c r="P774" t="s">
        <v>877</v>
      </c>
      <c r="Q774" s="56">
        <v>540000</v>
      </c>
      <c r="R774" t="s">
        <v>834</v>
      </c>
      <c r="S774" t="s">
        <v>727</v>
      </c>
      <c r="T774" t="s">
        <v>728</v>
      </c>
      <c r="U774" t="s">
        <v>605</v>
      </c>
      <c r="V774" t="s">
        <v>7</v>
      </c>
      <c r="W774" t="s">
        <v>20</v>
      </c>
      <c r="X774" t="s">
        <v>24</v>
      </c>
      <c r="Y774" s="56">
        <f>IF(clean[[#This Row],[is_delivered]]="Yes",clean[[#This Row],[net_sales]],0 )</f>
        <v>540000</v>
      </c>
    </row>
    <row r="775" spans="1:25">
      <c r="A775" t="s">
        <v>1374</v>
      </c>
      <c r="B775" s="9">
        <v>45723</v>
      </c>
      <c r="C775" t="s">
        <v>37</v>
      </c>
      <c r="D775" t="s">
        <v>815</v>
      </c>
      <c r="E775">
        <v>1</v>
      </c>
      <c r="F775" s="56">
        <v>75000</v>
      </c>
      <c r="G775" s="56">
        <v>75000</v>
      </c>
      <c r="H775" t="s">
        <v>883</v>
      </c>
      <c r="I775" s="56">
        <v>7500</v>
      </c>
      <c r="J775" s="56">
        <v>25000</v>
      </c>
      <c r="K775" s="56">
        <v>92500</v>
      </c>
      <c r="L775" t="s">
        <v>889</v>
      </c>
      <c r="M775" t="s">
        <v>874</v>
      </c>
      <c r="N775" t="s">
        <v>875</v>
      </c>
      <c r="O775" s="57">
        <v>45717</v>
      </c>
      <c r="P775" t="s">
        <v>877</v>
      </c>
      <c r="Q775" s="56">
        <v>67500</v>
      </c>
      <c r="R775" t="s">
        <v>816</v>
      </c>
      <c r="S775" t="s">
        <v>739</v>
      </c>
      <c r="T775" t="s">
        <v>740</v>
      </c>
      <c r="U775" t="s">
        <v>38</v>
      </c>
      <c r="V775" t="s">
        <v>23</v>
      </c>
      <c r="W775" t="s">
        <v>39</v>
      </c>
      <c r="X775" t="s">
        <v>9</v>
      </c>
      <c r="Y775" s="56">
        <f>IF(clean[[#This Row],[is_delivered]]="Yes",clean[[#This Row],[net_sales]],0 )</f>
        <v>67500</v>
      </c>
    </row>
    <row r="776" spans="1:25">
      <c r="A776" t="s">
        <v>1896</v>
      </c>
      <c r="B776" s="9">
        <v>45723</v>
      </c>
      <c r="C776" t="s">
        <v>550</v>
      </c>
      <c r="D776" t="s">
        <v>767</v>
      </c>
      <c r="E776">
        <v>2</v>
      </c>
      <c r="F776" s="56">
        <v>150000</v>
      </c>
      <c r="G776" s="56">
        <v>300000</v>
      </c>
      <c r="H776" t="s">
        <v>872</v>
      </c>
      <c r="I776" s="56">
        <v>0</v>
      </c>
      <c r="J776" s="56">
        <v>20000</v>
      </c>
      <c r="K776" s="56">
        <v>320000</v>
      </c>
      <c r="L776" t="s">
        <v>873</v>
      </c>
      <c r="M776" t="s">
        <v>901</v>
      </c>
      <c r="N776" t="s">
        <v>875</v>
      </c>
      <c r="O776" s="57">
        <v>45717</v>
      </c>
      <c r="P776" t="s">
        <v>877</v>
      </c>
      <c r="Q776" s="56">
        <v>300000</v>
      </c>
      <c r="R776" t="s">
        <v>768</v>
      </c>
      <c r="S776" t="s">
        <v>739</v>
      </c>
      <c r="T776" t="s">
        <v>740</v>
      </c>
      <c r="U776" t="s">
        <v>551</v>
      </c>
      <c r="V776" t="s">
        <v>23</v>
      </c>
      <c r="W776" t="s">
        <v>36</v>
      </c>
      <c r="X776" t="s">
        <v>15</v>
      </c>
      <c r="Y776" s="56">
        <f>IF(clean[[#This Row],[is_delivered]]="Yes",clean[[#This Row],[net_sales]],0 )</f>
        <v>300000</v>
      </c>
    </row>
    <row r="777" spans="1:25">
      <c r="A777" t="s">
        <v>1960</v>
      </c>
      <c r="B777" s="9">
        <v>45723</v>
      </c>
      <c r="C777" t="s">
        <v>710</v>
      </c>
      <c r="D777" t="s">
        <v>841</v>
      </c>
      <c r="E777">
        <v>1</v>
      </c>
      <c r="F777" s="56">
        <v>75000</v>
      </c>
      <c r="G777" s="56">
        <v>75000</v>
      </c>
      <c r="H777" t="s">
        <v>872</v>
      </c>
      <c r="I777" s="56">
        <v>0</v>
      </c>
      <c r="J777" s="56">
        <v>25000</v>
      </c>
      <c r="K777" s="56">
        <v>100000</v>
      </c>
      <c r="L777" t="s">
        <v>884</v>
      </c>
      <c r="M777" t="s">
        <v>881</v>
      </c>
      <c r="N777" t="s">
        <v>875</v>
      </c>
      <c r="O777" s="57">
        <v>45717</v>
      </c>
      <c r="P777" t="s">
        <v>877</v>
      </c>
      <c r="Q777" s="56">
        <v>75000</v>
      </c>
      <c r="R777" t="s">
        <v>842</v>
      </c>
      <c r="S777" t="s">
        <v>743</v>
      </c>
      <c r="T777" t="s">
        <v>744</v>
      </c>
      <c r="U777" t="s">
        <v>711</v>
      </c>
      <c r="V777" t="s">
        <v>23</v>
      </c>
      <c r="W777" t="s">
        <v>46</v>
      </c>
      <c r="X777" t="s">
        <v>9</v>
      </c>
      <c r="Y777" s="56">
        <f>IF(clean[[#This Row],[is_delivered]]="Yes",clean[[#This Row],[net_sales]],0 )</f>
        <v>75000</v>
      </c>
    </row>
    <row r="778" spans="1:25">
      <c r="A778" t="s">
        <v>1033</v>
      </c>
      <c r="B778" s="9">
        <v>45722</v>
      </c>
      <c r="C778" t="s">
        <v>40</v>
      </c>
      <c r="D778" t="s">
        <v>777</v>
      </c>
      <c r="E778">
        <v>1</v>
      </c>
      <c r="F778" s="56">
        <v>200000</v>
      </c>
      <c r="G778" s="56">
        <v>200000</v>
      </c>
      <c r="H778" t="s">
        <v>872</v>
      </c>
      <c r="I778" s="56">
        <v>0</v>
      </c>
      <c r="J778" s="56">
        <v>25000</v>
      </c>
      <c r="K778" s="56">
        <v>225000</v>
      </c>
      <c r="L778" t="s">
        <v>880</v>
      </c>
      <c r="M778" t="s">
        <v>903</v>
      </c>
      <c r="N778" t="s">
        <v>875</v>
      </c>
      <c r="O778" s="57">
        <v>45717</v>
      </c>
      <c r="P778" t="s">
        <v>877</v>
      </c>
      <c r="Q778" s="56">
        <v>200000</v>
      </c>
      <c r="R778" t="s">
        <v>778</v>
      </c>
      <c r="S778" t="s">
        <v>735</v>
      </c>
      <c r="T778" t="s">
        <v>736</v>
      </c>
      <c r="U778" t="s">
        <v>41</v>
      </c>
      <c r="V778" t="s">
        <v>7</v>
      </c>
      <c r="W778" t="s">
        <v>36</v>
      </c>
      <c r="X778" t="s">
        <v>15</v>
      </c>
      <c r="Y778" s="56">
        <f>IF(clean[[#This Row],[is_delivered]]="Yes",clean[[#This Row],[net_sales]],0 )</f>
        <v>200000</v>
      </c>
    </row>
    <row r="779" spans="1:25">
      <c r="A779" t="s">
        <v>1128</v>
      </c>
      <c r="B779" s="9">
        <v>45722</v>
      </c>
      <c r="C779" t="s">
        <v>79</v>
      </c>
      <c r="D779" t="s">
        <v>737</v>
      </c>
      <c r="E779">
        <v>1</v>
      </c>
      <c r="F779" s="56">
        <v>300000</v>
      </c>
      <c r="G779" s="56">
        <v>300000</v>
      </c>
      <c r="H779" t="s">
        <v>879</v>
      </c>
      <c r="I779" s="56">
        <v>60000</v>
      </c>
      <c r="J779" s="56">
        <v>20000</v>
      </c>
      <c r="K779" s="56">
        <v>260000</v>
      </c>
      <c r="L779" t="s">
        <v>884</v>
      </c>
      <c r="M779" t="s">
        <v>874</v>
      </c>
      <c r="N779" t="s">
        <v>875</v>
      </c>
      <c r="O779" s="57">
        <v>45717</v>
      </c>
      <c r="P779" t="s">
        <v>877</v>
      </c>
      <c r="Q779" s="56">
        <v>240000</v>
      </c>
      <c r="R779" t="s">
        <v>738</v>
      </c>
      <c r="S779" t="s">
        <v>739</v>
      </c>
      <c r="T779" t="s">
        <v>740</v>
      </c>
      <c r="U779" t="s">
        <v>80</v>
      </c>
      <c r="V779" t="s">
        <v>23</v>
      </c>
      <c r="W779" t="s">
        <v>51</v>
      </c>
      <c r="X779" t="s">
        <v>9</v>
      </c>
      <c r="Y779" s="56">
        <f>IF(clean[[#This Row],[is_delivered]]="Yes",clean[[#This Row],[net_sales]],0 )</f>
        <v>240000</v>
      </c>
    </row>
    <row r="780" spans="1:25">
      <c r="A780" t="s">
        <v>1180</v>
      </c>
      <c r="B780" s="9">
        <v>45722</v>
      </c>
      <c r="C780" t="s">
        <v>115</v>
      </c>
      <c r="D780" t="s">
        <v>829</v>
      </c>
      <c r="E780">
        <v>2</v>
      </c>
      <c r="F780" s="56">
        <v>500000</v>
      </c>
      <c r="G780" s="56">
        <v>1000000</v>
      </c>
      <c r="H780" t="s">
        <v>883</v>
      </c>
      <c r="I780" s="56">
        <v>100000</v>
      </c>
      <c r="J780" s="56">
        <v>10000</v>
      </c>
      <c r="K780" s="56">
        <v>910000</v>
      </c>
      <c r="L780" t="s">
        <v>873</v>
      </c>
      <c r="M780" t="s">
        <v>901</v>
      </c>
      <c r="N780" t="s">
        <v>875</v>
      </c>
      <c r="O780" s="57">
        <v>45717</v>
      </c>
      <c r="P780" t="s">
        <v>877</v>
      </c>
      <c r="Q780" s="56">
        <v>900000</v>
      </c>
      <c r="R780" t="s">
        <v>830</v>
      </c>
      <c r="S780" t="s">
        <v>743</v>
      </c>
      <c r="T780" t="s">
        <v>744</v>
      </c>
      <c r="U780" t="s">
        <v>116</v>
      </c>
      <c r="V780" t="s">
        <v>23</v>
      </c>
      <c r="W780" t="s">
        <v>46</v>
      </c>
      <c r="X780" t="s">
        <v>24</v>
      </c>
      <c r="Y780" s="56">
        <f>IF(clean[[#This Row],[is_delivered]]="Yes",clean[[#This Row],[net_sales]],0 )</f>
        <v>900000</v>
      </c>
    </row>
    <row r="781" spans="1:25">
      <c r="A781" t="s">
        <v>1284</v>
      </c>
      <c r="B781" s="9">
        <v>45722</v>
      </c>
      <c r="C781" t="s">
        <v>146</v>
      </c>
      <c r="D781" t="s">
        <v>749</v>
      </c>
      <c r="E781">
        <v>2</v>
      </c>
      <c r="F781" s="56">
        <v>150000</v>
      </c>
      <c r="G781" s="56">
        <v>300000</v>
      </c>
      <c r="H781" t="s">
        <v>886</v>
      </c>
      <c r="I781" s="56">
        <v>30000</v>
      </c>
      <c r="J781" s="56">
        <v>10000</v>
      </c>
      <c r="K781" s="56">
        <v>280000</v>
      </c>
      <c r="L781" t="s">
        <v>889</v>
      </c>
      <c r="M781" t="s">
        <v>903</v>
      </c>
      <c r="N781" t="s">
        <v>875</v>
      </c>
      <c r="O781" s="57">
        <v>45717</v>
      </c>
      <c r="P781" t="s">
        <v>877</v>
      </c>
      <c r="Q781" s="56">
        <v>270000</v>
      </c>
      <c r="R781" t="s">
        <v>750</v>
      </c>
      <c r="S781" t="s">
        <v>727</v>
      </c>
      <c r="T781" t="s">
        <v>728</v>
      </c>
      <c r="U781" t="s">
        <v>147</v>
      </c>
      <c r="V781" t="s">
        <v>7</v>
      </c>
      <c r="W781" t="s">
        <v>51</v>
      </c>
      <c r="X781" t="s">
        <v>24</v>
      </c>
      <c r="Y781" s="56">
        <f>IF(clean[[#This Row],[is_delivered]]="Yes",clean[[#This Row],[net_sales]],0 )</f>
        <v>270000</v>
      </c>
    </row>
    <row r="782" spans="1:25">
      <c r="A782" t="s">
        <v>1430</v>
      </c>
      <c r="B782" s="9">
        <v>45722</v>
      </c>
      <c r="C782" t="s">
        <v>286</v>
      </c>
      <c r="D782" t="s">
        <v>781</v>
      </c>
      <c r="E782">
        <v>1</v>
      </c>
      <c r="F782" s="56">
        <v>50000</v>
      </c>
      <c r="G782" s="56">
        <v>50000</v>
      </c>
      <c r="H782" t="s">
        <v>886</v>
      </c>
      <c r="I782" s="56">
        <v>5000</v>
      </c>
      <c r="J782" s="56">
        <v>30000</v>
      </c>
      <c r="K782" s="56">
        <v>75000</v>
      </c>
      <c r="L782" t="s">
        <v>884</v>
      </c>
      <c r="M782" t="s">
        <v>881</v>
      </c>
      <c r="N782" t="s">
        <v>875</v>
      </c>
      <c r="O782" s="57">
        <v>45717</v>
      </c>
      <c r="P782" t="s">
        <v>877</v>
      </c>
      <c r="Q782" s="56">
        <v>45000</v>
      </c>
      <c r="R782" t="s">
        <v>782</v>
      </c>
      <c r="S782" t="s">
        <v>743</v>
      </c>
      <c r="T782" t="s">
        <v>744</v>
      </c>
      <c r="U782" t="s">
        <v>287</v>
      </c>
      <c r="V782" t="s">
        <v>7</v>
      </c>
      <c r="W782" t="s">
        <v>46</v>
      </c>
      <c r="X782" t="s">
        <v>24</v>
      </c>
      <c r="Y782" s="56">
        <f>IF(clean[[#This Row],[is_delivered]]="Yes",clean[[#This Row],[net_sales]],0 )</f>
        <v>45000</v>
      </c>
    </row>
    <row r="783" spans="1:25">
      <c r="A783" t="s">
        <v>1845</v>
      </c>
      <c r="B783" s="9">
        <v>45722</v>
      </c>
      <c r="C783" t="s">
        <v>194</v>
      </c>
      <c r="D783" t="s">
        <v>783</v>
      </c>
      <c r="E783">
        <v>1</v>
      </c>
      <c r="F783" s="56">
        <v>500000</v>
      </c>
      <c r="G783" s="56">
        <v>500000</v>
      </c>
      <c r="H783" t="s">
        <v>872</v>
      </c>
      <c r="I783" s="56">
        <v>0</v>
      </c>
      <c r="J783" s="56">
        <v>20000</v>
      </c>
      <c r="K783" s="56">
        <v>520000</v>
      </c>
      <c r="L783" t="s">
        <v>884</v>
      </c>
      <c r="M783" t="s">
        <v>901</v>
      </c>
      <c r="N783" t="s">
        <v>875</v>
      </c>
      <c r="O783" s="57">
        <v>45717</v>
      </c>
      <c r="P783" t="s">
        <v>877</v>
      </c>
      <c r="Q783" s="56">
        <v>500000</v>
      </c>
      <c r="R783" t="s">
        <v>784</v>
      </c>
      <c r="S783" t="s">
        <v>747</v>
      </c>
      <c r="T783" t="s">
        <v>748</v>
      </c>
      <c r="U783" t="s">
        <v>195</v>
      </c>
      <c r="V783" t="s">
        <v>7</v>
      </c>
      <c r="W783" t="s">
        <v>36</v>
      </c>
      <c r="X783" t="s">
        <v>24</v>
      </c>
      <c r="Y783" s="56">
        <f>IF(clean[[#This Row],[is_delivered]]="Yes",clean[[#This Row],[net_sales]],0 )</f>
        <v>500000</v>
      </c>
    </row>
    <row r="784" spans="1:25">
      <c r="A784" t="s">
        <v>1838</v>
      </c>
      <c r="B784" s="9">
        <v>45721</v>
      </c>
      <c r="C784" t="s">
        <v>113</v>
      </c>
      <c r="D784" t="s">
        <v>755</v>
      </c>
      <c r="E784">
        <v>1</v>
      </c>
      <c r="F784" s="56">
        <v>50000</v>
      </c>
      <c r="G784" s="56">
        <v>50000</v>
      </c>
      <c r="H784" t="s">
        <v>895</v>
      </c>
      <c r="I784" s="56">
        <v>7500</v>
      </c>
      <c r="J784" s="56">
        <v>10000</v>
      </c>
      <c r="K784" s="56">
        <v>52500</v>
      </c>
      <c r="L784" t="s">
        <v>884</v>
      </c>
      <c r="M784" t="s">
        <v>901</v>
      </c>
      <c r="N784" t="s">
        <v>875</v>
      </c>
      <c r="O784" s="57">
        <v>45717</v>
      </c>
      <c r="P784" t="s">
        <v>877</v>
      </c>
      <c r="Q784" s="56">
        <v>42500</v>
      </c>
      <c r="R784" t="s">
        <v>756</v>
      </c>
      <c r="S784" t="s">
        <v>739</v>
      </c>
      <c r="T784" t="s">
        <v>740</v>
      </c>
      <c r="U784" t="s">
        <v>114</v>
      </c>
      <c r="V784" t="s">
        <v>23</v>
      </c>
      <c r="W784" t="s">
        <v>39</v>
      </c>
      <c r="X784" t="s">
        <v>24</v>
      </c>
      <c r="Y784" s="56">
        <f>IF(clean[[#This Row],[is_delivered]]="Yes",clean[[#This Row],[net_sales]],0 )</f>
        <v>42500</v>
      </c>
    </row>
    <row r="785" spans="1:25">
      <c r="A785" t="s">
        <v>1942</v>
      </c>
      <c r="B785" s="9">
        <v>45721</v>
      </c>
      <c r="C785" t="s">
        <v>556</v>
      </c>
      <c r="D785" t="s">
        <v>793</v>
      </c>
      <c r="E785">
        <v>1</v>
      </c>
      <c r="F785" s="56">
        <v>500000</v>
      </c>
      <c r="G785" s="56">
        <v>500000</v>
      </c>
      <c r="H785" t="s">
        <v>895</v>
      </c>
      <c r="I785" s="56">
        <v>75000</v>
      </c>
      <c r="J785" s="56">
        <v>30000</v>
      </c>
      <c r="K785" s="56">
        <v>455000</v>
      </c>
      <c r="L785" t="s">
        <v>873</v>
      </c>
      <c r="M785" t="s">
        <v>881</v>
      </c>
      <c r="N785" t="s">
        <v>875</v>
      </c>
      <c r="O785" s="57">
        <v>45717</v>
      </c>
      <c r="P785" t="s">
        <v>877</v>
      </c>
      <c r="Q785" s="56">
        <v>425000</v>
      </c>
      <c r="R785" t="s">
        <v>794</v>
      </c>
      <c r="S785" t="s">
        <v>743</v>
      </c>
      <c r="T785" t="s">
        <v>744</v>
      </c>
      <c r="U785" t="s">
        <v>557</v>
      </c>
      <c r="V785" t="s">
        <v>23</v>
      </c>
      <c r="W785" t="s">
        <v>46</v>
      </c>
      <c r="X785" t="s">
        <v>9</v>
      </c>
      <c r="Y785" s="56">
        <f>IF(clean[[#This Row],[is_delivered]]="Yes",clean[[#This Row],[net_sales]],0 )</f>
        <v>425000</v>
      </c>
    </row>
    <row r="786" spans="1:25">
      <c r="A786" t="s">
        <v>2033</v>
      </c>
      <c r="B786" s="9">
        <v>45721</v>
      </c>
      <c r="C786" t="s">
        <v>228</v>
      </c>
      <c r="D786" t="s">
        <v>847</v>
      </c>
      <c r="E786">
        <v>1</v>
      </c>
      <c r="F786" s="56">
        <v>100000</v>
      </c>
      <c r="G786" s="56">
        <v>100000</v>
      </c>
      <c r="H786" t="s">
        <v>879</v>
      </c>
      <c r="I786" s="56">
        <v>20000</v>
      </c>
      <c r="J786" s="56">
        <v>10000</v>
      </c>
      <c r="K786" s="56">
        <v>90000</v>
      </c>
      <c r="L786" t="s">
        <v>884</v>
      </c>
      <c r="M786" t="s">
        <v>881</v>
      </c>
      <c r="N786" t="s">
        <v>875</v>
      </c>
      <c r="O786" s="57">
        <v>45717</v>
      </c>
      <c r="P786" t="s">
        <v>877</v>
      </c>
      <c r="Q786" s="56">
        <v>80000</v>
      </c>
      <c r="R786" t="s">
        <v>848</v>
      </c>
      <c r="S786" t="s">
        <v>731</v>
      </c>
      <c r="T786" t="s">
        <v>732</v>
      </c>
      <c r="U786" t="s">
        <v>229</v>
      </c>
      <c r="V786" t="s">
        <v>23</v>
      </c>
      <c r="W786" t="s">
        <v>39</v>
      </c>
      <c r="X786" t="s">
        <v>9</v>
      </c>
      <c r="Y786" s="56">
        <f>IF(clean[[#This Row],[is_delivered]]="Yes",clean[[#This Row],[net_sales]],0 )</f>
        <v>80000</v>
      </c>
    </row>
    <row r="787" spans="1:25">
      <c r="A787" t="s">
        <v>948</v>
      </c>
      <c r="B787" s="9">
        <v>45720</v>
      </c>
      <c r="C787" t="s">
        <v>138</v>
      </c>
      <c r="D787" t="s">
        <v>765</v>
      </c>
      <c r="E787">
        <v>3</v>
      </c>
      <c r="F787" s="56">
        <v>500000</v>
      </c>
      <c r="G787" s="56">
        <v>1500000</v>
      </c>
      <c r="H787" t="s">
        <v>895</v>
      </c>
      <c r="I787" s="56">
        <v>225000</v>
      </c>
      <c r="J787" s="56">
        <v>15000</v>
      </c>
      <c r="K787" s="56">
        <v>1290000</v>
      </c>
      <c r="L787" t="s">
        <v>873</v>
      </c>
      <c r="M787" t="s">
        <v>874</v>
      </c>
      <c r="N787" t="s">
        <v>890</v>
      </c>
      <c r="O787" s="57">
        <v>45717</v>
      </c>
      <c r="P787" t="s">
        <v>892</v>
      </c>
      <c r="Q787" s="56">
        <v>1275000</v>
      </c>
      <c r="R787" t="s">
        <v>766</v>
      </c>
      <c r="S787" t="s">
        <v>735</v>
      </c>
      <c r="T787" t="s">
        <v>736</v>
      </c>
      <c r="U787" t="s">
        <v>139</v>
      </c>
      <c r="V787" t="s">
        <v>7</v>
      </c>
      <c r="W787" t="s">
        <v>29</v>
      </c>
      <c r="X787" t="s">
        <v>9</v>
      </c>
      <c r="Y787" s="56">
        <f>IF(clean[[#This Row],[is_delivered]]="Yes",clean[[#This Row],[net_sales]],0 )</f>
        <v>0</v>
      </c>
    </row>
    <row r="788" spans="1:25">
      <c r="A788" t="s">
        <v>1144</v>
      </c>
      <c r="B788" s="9">
        <v>45720</v>
      </c>
      <c r="C788" t="s">
        <v>606</v>
      </c>
      <c r="D788" t="s">
        <v>733</v>
      </c>
      <c r="E788">
        <v>1</v>
      </c>
      <c r="F788" s="56">
        <v>150000</v>
      </c>
      <c r="G788" s="56">
        <v>150000</v>
      </c>
      <c r="H788" t="s">
        <v>879</v>
      </c>
      <c r="I788" s="56">
        <v>30000</v>
      </c>
      <c r="J788" s="56">
        <v>15000</v>
      </c>
      <c r="K788" s="56">
        <v>135000</v>
      </c>
      <c r="L788" t="s">
        <v>880</v>
      </c>
      <c r="M788" t="s">
        <v>901</v>
      </c>
      <c r="N788" t="s">
        <v>875</v>
      </c>
      <c r="O788" s="57">
        <v>45717</v>
      </c>
      <c r="P788" t="s">
        <v>877</v>
      </c>
      <c r="Q788" s="56">
        <v>120000</v>
      </c>
      <c r="R788" t="s">
        <v>734</v>
      </c>
      <c r="S788" t="s">
        <v>735</v>
      </c>
      <c r="T788" t="s">
        <v>736</v>
      </c>
      <c r="U788" t="s">
        <v>607</v>
      </c>
      <c r="V788" t="s">
        <v>23</v>
      </c>
      <c r="W788" t="s">
        <v>46</v>
      </c>
      <c r="X788" t="s">
        <v>24</v>
      </c>
      <c r="Y788" s="56">
        <f>IF(clean[[#This Row],[is_delivered]]="Yes",clean[[#This Row],[net_sales]],0 )</f>
        <v>120000</v>
      </c>
    </row>
    <row r="789" spans="1:25">
      <c r="A789" t="s">
        <v>1060</v>
      </c>
      <c r="B789" s="9">
        <v>45720</v>
      </c>
      <c r="C789" t="s">
        <v>440</v>
      </c>
      <c r="D789" t="s">
        <v>779</v>
      </c>
      <c r="E789">
        <v>2</v>
      </c>
      <c r="F789" s="56">
        <v>150000</v>
      </c>
      <c r="G789" s="56">
        <v>300000</v>
      </c>
      <c r="H789" t="s">
        <v>895</v>
      </c>
      <c r="I789" s="56">
        <v>45000</v>
      </c>
      <c r="J789" s="56">
        <v>20000</v>
      </c>
      <c r="K789" s="56">
        <v>275000</v>
      </c>
      <c r="L789" t="s">
        <v>880</v>
      </c>
      <c r="M789" t="s">
        <v>901</v>
      </c>
      <c r="N789" t="s">
        <v>890</v>
      </c>
      <c r="O789" s="57">
        <v>45717</v>
      </c>
      <c r="P789" t="s">
        <v>892</v>
      </c>
      <c r="Q789" s="56">
        <v>255000</v>
      </c>
      <c r="R789" t="s">
        <v>780</v>
      </c>
      <c r="S789" t="s">
        <v>739</v>
      </c>
      <c r="T789" t="s">
        <v>740</v>
      </c>
      <c r="U789" t="s">
        <v>441</v>
      </c>
      <c r="V789" t="s">
        <v>23</v>
      </c>
      <c r="W789" t="s">
        <v>137</v>
      </c>
      <c r="X789" t="s">
        <v>9</v>
      </c>
      <c r="Y789" s="56">
        <f>IF(clean[[#This Row],[is_delivered]]="Yes",clean[[#This Row],[net_sales]],0 )</f>
        <v>0</v>
      </c>
    </row>
    <row r="790" spans="1:25">
      <c r="A790" t="s">
        <v>1339</v>
      </c>
      <c r="B790" s="9">
        <v>45720</v>
      </c>
      <c r="C790" t="s">
        <v>496</v>
      </c>
      <c r="D790" t="s">
        <v>823</v>
      </c>
      <c r="E790">
        <v>1</v>
      </c>
      <c r="F790" s="56">
        <v>500000</v>
      </c>
      <c r="G790" s="56">
        <v>500000</v>
      </c>
      <c r="H790" t="s">
        <v>895</v>
      </c>
      <c r="I790" s="56">
        <v>75000</v>
      </c>
      <c r="J790" s="56">
        <v>15000</v>
      </c>
      <c r="K790" s="56">
        <v>440000</v>
      </c>
      <c r="L790" t="s">
        <v>884</v>
      </c>
      <c r="M790" t="s">
        <v>874</v>
      </c>
      <c r="N790" t="s">
        <v>875</v>
      </c>
      <c r="O790" s="57">
        <v>45717</v>
      </c>
      <c r="P790" t="s">
        <v>877</v>
      </c>
      <c r="Q790" s="56">
        <v>425000</v>
      </c>
      <c r="R790" t="s">
        <v>824</v>
      </c>
      <c r="S790" t="s">
        <v>731</v>
      </c>
      <c r="T790" t="s">
        <v>732</v>
      </c>
      <c r="U790" t="s">
        <v>497</v>
      </c>
      <c r="V790" t="s">
        <v>7</v>
      </c>
      <c r="W790" t="s">
        <v>56</v>
      </c>
      <c r="X790" t="s">
        <v>24</v>
      </c>
      <c r="Y790" s="56">
        <f>IF(clean[[#This Row],[is_delivered]]="Yes",clean[[#This Row],[net_sales]],0 )</f>
        <v>425000</v>
      </c>
    </row>
    <row r="791" spans="1:25">
      <c r="A791" t="s">
        <v>1475</v>
      </c>
      <c r="B791" s="9">
        <v>45720</v>
      </c>
      <c r="C791" t="s">
        <v>388</v>
      </c>
      <c r="D791" t="s">
        <v>845</v>
      </c>
      <c r="E791">
        <v>2</v>
      </c>
      <c r="F791" s="56">
        <v>300000</v>
      </c>
      <c r="G791" s="56">
        <v>600000</v>
      </c>
      <c r="H791" t="s">
        <v>879</v>
      </c>
      <c r="I791" s="56">
        <v>120000</v>
      </c>
      <c r="J791" s="56">
        <v>30000</v>
      </c>
      <c r="K791" s="56">
        <v>510000</v>
      </c>
      <c r="L791" t="s">
        <v>884</v>
      </c>
      <c r="M791" t="s">
        <v>903</v>
      </c>
      <c r="N791" t="s">
        <v>875</v>
      </c>
      <c r="O791" s="57">
        <v>45717</v>
      </c>
      <c r="P791" t="s">
        <v>877</v>
      </c>
      <c r="Q791" s="56">
        <v>480000</v>
      </c>
      <c r="R791" t="s">
        <v>846</v>
      </c>
      <c r="S791" t="s">
        <v>727</v>
      </c>
      <c r="T791" t="s">
        <v>728</v>
      </c>
      <c r="U791" t="s">
        <v>389</v>
      </c>
      <c r="V791" t="s">
        <v>7</v>
      </c>
      <c r="W791" t="s">
        <v>51</v>
      </c>
      <c r="X791" t="s">
        <v>9</v>
      </c>
      <c r="Y791" s="56">
        <f>IF(clean[[#This Row],[is_delivered]]="Yes",clean[[#This Row],[net_sales]],0 )</f>
        <v>480000</v>
      </c>
    </row>
    <row r="792" spans="1:25">
      <c r="A792" t="s">
        <v>1550</v>
      </c>
      <c r="B792" s="9">
        <v>45720</v>
      </c>
      <c r="C792" t="s">
        <v>312</v>
      </c>
      <c r="D792" t="s">
        <v>807</v>
      </c>
      <c r="E792">
        <v>1</v>
      </c>
      <c r="F792" s="56">
        <v>150000</v>
      </c>
      <c r="G792" s="56">
        <v>150000</v>
      </c>
      <c r="H792" t="s">
        <v>886</v>
      </c>
      <c r="I792" s="56">
        <v>15000</v>
      </c>
      <c r="J792" s="56">
        <v>20000</v>
      </c>
      <c r="K792" s="56">
        <v>155000</v>
      </c>
      <c r="L792" t="s">
        <v>873</v>
      </c>
      <c r="M792" t="s">
        <v>901</v>
      </c>
      <c r="N792" t="s">
        <v>875</v>
      </c>
      <c r="O792" s="57">
        <v>45717</v>
      </c>
      <c r="P792" t="s">
        <v>877</v>
      </c>
      <c r="Q792" s="56">
        <v>135000</v>
      </c>
      <c r="R792" t="s">
        <v>808</v>
      </c>
      <c r="S792" t="s">
        <v>747</v>
      </c>
      <c r="T792" t="s">
        <v>748</v>
      </c>
      <c r="U792" t="s">
        <v>313</v>
      </c>
      <c r="V792" t="s">
        <v>23</v>
      </c>
      <c r="W792" t="s">
        <v>39</v>
      </c>
      <c r="X792" t="s">
        <v>9</v>
      </c>
      <c r="Y792" s="56">
        <f>IF(clean[[#This Row],[is_delivered]]="Yes",clean[[#This Row],[net_sales]],0 )</f>
        <v>135000</v>
      </c>
    </row>
    <row r="793" spans="1:25">
      <c r="A793" t="s">
        <v>1955</v>
      </c>
      <c r="B793" s="9">
        <v>45720</v>
      </c>
      <c r="C793" t="s">
        <v>192</v>
      </c>
      <c r="D793" t="s">
        <v>817</v>
      </c>
      <c r="E793">
        <v>3</v>
      </c>
      <c r="F793" s="56">
        <v>75000</v>
      </c>
      <c r="G793" s="56">
        <v>225000</v>
      </c>
      <c r="H793" t="s">
        <v>872</v>
      </c>
      <c r="I793" s="56">
        <v>0</v>
      </c>
      <c r="J793" s="56">
        <v>30000</v>
      </c>
      <c r="K793" s="56">
        <v>255000</v>
      </c>
      <c r="L793" t="s">
        <v>873</v>
      </c>
      <c r="M793" t="s">
        <v>903</v>
      </c>
      <c r="N793" t="s">
        <v>875</v>
      </c>
      <c r="O793" s="57">
        <v>45717</v>
      </c>
      <c r="P793" t="s">
        <v>877</v>
      </c>
      <c r="Q793" s="56">
        <v>225000</v>
      </c>
      <c r="R793" t="s">
        <v>818</v>
      </c>
      <c r="S793" t="s">
        <v>743</v>
      </c>
      <c r="T793" t="s">
        <v>744</v>
      </c>
      <c r="U793" t="s">
        <v>193</v>
      </c>
      <c r="V793" t="s">
        <v>7</v>
      </c>
      <c r="W793" t="s">
        <v>12</v>
      </c>
      <c r="X793" t="s">
        <v>9</v>
      </c>
      <c r="Y793" s="56">
        <f>IF(clean[[#This Row],[is_delivered]]="Yes",clean[[#This Row],[net_sales]],0 )</f>
        <v>225000</v>
      </c>
    </row>
    <row r="794" spans="1:25">
      <c r="A794" t="s">
        <v>1966</v>
      </c>
      <c r="B794" s="9">
        <v>45720</v>
      </c>
      <c r="C794" t="s">
        <v>196</v>
      </c>
      <c r="D794" t="s">
        <v>853</v>
      </c>
      <c r="E794">
        <v>1</v>
      </c>
      <c r="F794" s="56">
        <v>75000</v>
      </c>
      <c r="G794" s="56">
        <v>75000</v>
      </c>
      <c r="H794" t="s">
        <v>879</v>
      </c>
      <c r="I794" s="56">
        <v>15000</v>
      </c>
      <c r="J794" s="56">
        <v>20000</v>
      </c>
      <c r="K794" s="56">
        <v>80000</v>
      </c>
      <c r="L794" t="s">
        <v>889</v>
      </c>
      <c r="M794" t="s">
        <v>881</v>
      </c>
      <c r="N794" t="s">
        <v>875</v>
      </c>
      <c r="O794" s="57">
        <v>45717</v>
      </c>
      <c r="P794" t="s">
        <v>877</v>
      </c>
      <c r="Q794" s="56">
        <v>60000</v>
      </c>
      <c r="R794" t="s">
        <v>854</v>
      </c>
      <c r="S794" t="s">
        <v>743</v>
      </c>
      <c r="T794" t="s">
        <v>744</v>
      </c>
      <c r="U794" t="s">
        <v>197</v>
      </c>
      <c r="V794" t="s">
        <v>7</v>
      </c>
      <c r="W794" t="s">
        <v>36</v>
      </c>
      <c r="X794" t="s">
        <v>15</v>
      </c>
      <c r="Y794" s="56">
        <f>IF(clean[[#This Row],[is_delivered]]="Yes",clean[[#This Row],[net_sales]],0 )</f>
        <v>60000</v>
      </c>
    </row>
    <row r="795" spans="1:25">
      <c r="A795" t="s">
        <v>1975</v>
      </c>
      <c r="B795" s="9">
        <v>45720</v>
      </c>
      <c r="C795" t="s">
        <v>452</v>
      </c>
      <c r="D795" t="s">
        <v>803</v>
      </c>
      <c r="E795">
        <v>4</v>
      </c>
      <c r="F795" s="56">
        <v>50000</v>
      </c>
      <c r="G795" s="56">
        <v>200000</v>
      </c>
      <c r="H795" t="s">
        <v>879</v>
      </c>
      <c r="I795" s="56">
        <v>40000</v>
      </c>
      <c r="J795" s="56">
        <v>30000</v>
      </c>
      <c r="K795" s="56">
        <v>190000</v>
      </c>
      <c r="L795" t="s">
        <v>889</v>
      </c>
      <c r="M795" t="s">
        <v>874</v>
      </c>
      <c r="N795" t="s">
        <v>875</v>
      </c>
      <c r="O795" s="57">
        <v>45717</v>
      </c>
      <c r="P795" t="s">
        <v>877</v>
      </c>
      <c r="Q795" s="56">
        <v>160000</v>
      </c>
      <c r="R795" t="s">
        <v>804</v>
      </c>
      <c r="S795" t="s">
        <v>739</v>
      </c>
      <c r="T795" t="s">
        <v>740</v>
      </c>
      <c r="U795" t="s">
        <v>453</v>
      </c>
      <c r="V795" t="s">
        <v>7</v>
      </c>
      <c r="W795" t="s">
        <v>36</v>
      </c>
      <c r="X795" t="s">
        <v>9</v>
      </c>
      <c r="Y795" s="56">
        <f>IF(clean[[#This Row],[is_delivered]]="Yes",clean[[#This Row],[net_sales]],0 )</f>
        <v>160000</v>
      </c>
    </row>
    <row r="796" spans="1:25">
      <c r="A796" t="s">
        <v>967</v>
      </c>
      <c r="B796" s="9">
        <v>45719</v>
      </c>
      <c r="C796" t="s">
        <v>186</v>
      </c>
      <c r="D796" t="s">
        <v>829</v>
      </c>
      <c r="E796">
        <v>1</v>
      </c>
      <c r="F796" s="56">
        <v>500000</v>
      </c>
      <c r="G796" s="56">
        <v>500000</v>
      </c>
      <c r="H796" t="s">
        <v>886</v>
      </c>
      <c r="I796" s="56">
        <v>50000</v>
      </c>
      <c r="J796" s="56">
        <v>15000</v>
      </c>
      <c r="K796" s="56">
        <v>465000</v>
      </c>
      <c r="L796" t="s">
        <v>873</v>
      </c>
      <c r="M796" t="s">
        <v>874</v>
      </c>
      <c r="N796" t="s">
        <v>875</v>
      </c>
      <c r="O796" s="57">
        <v>45717</v>
      </c>
      <c r="P796" t="s">
        <v>877</v>
      </c>
      <c r="Q796" s="56">
        <v>450000</v>
      </c>
      <c r="R796" t="s">
        <v>830</v>
      </c>
      <c r="S796" t="s">
        <v>743</v>
      </c>
      <c r="T796" t="s">
        <v>744</v>
      </c>
      <c r="U796" t="s">
        <v>187</v>
      </c>
      <c r="V796" t="s">
        <v>23</v>
      </c>
      <c r="W796" t="s">
        <v>51</v>
      </c>
      <c r="X796" t="s">
        <v>9</v>
      </c>
      <c r="Y796" s="56">
        <f>IF(clean[[#This Row],[is_delivered]]="Yes",clean[[#This Row],[net_sales]],0 )</f>
        <v>450000</v>
      </c>
    </row>
    <row r="797" spans="1:25">
      <c r="A797" t="s">
        <v>1032</v>
      </c>
      <c r="B797" s="9">
        <v>45719</v>
      </c>
      <c r="C797" t="s">
        <v>456</v>
      </c>
      <c r="D797" t="s">
        <v>777</v>
      </c>
      <c r="E797">
        <v>3</v>
      </c>
      <c r="F797" s="56">
        <v>200000</v>
      </c>
      <c r="G797" s="56">
        <v>600000</v>
      </c>
      <c r="H797" t="s">
        <v>872</v>
      </c>
      <c r="I797" s="56">
        <v>0</v>
      </c>
      <c r="J797" s="56">
        <v>30000</v>
      </c>
      <c r="K797" s="56">
        <v>630000</v>
      </c>
      <c r="L797" t="s">
        <v>884</v>
      </c>
      <c r="M797" t="s">
        <v>881</v>
      </c>
      <c r="N797" t="s">
        <v>890</v>
      </c>
      <c r="O797" s="57">
        <v>45717</v>
      </c>
      <c r="P797" t="s">
        <v>892</v>
      </c>
      <c r="Q797" s="56">
        <v>600000</v>
      </c>
      <c r="R797" t="s">
        <v>778</v>
      </c>
      <c r="S797" t="s">
        <v>735</v>
      </c>
      <c r="T797" t="s">
        <v>736</v>
      </c>
      <c r="U797" t="s">
        <v>457</v>
      </c>
      <c r="V797" t="s">
        <v>7</v>
      </c>
      <c r="W797" t="s">
        <v>46</v>
      </c>
      <c r="X797" t="s">
        <v>9</v>
      </c>
      <c r="Y797" s="56">
        <f>IF(clean[[#This Row],[is_delivered]]="Yes",clean[[#This Row],[net_sales]],0 )</f>
        <v>0</v>
      </c>
    </row>
    <row r="798" spans="1:25">
      <c r="A798" t="s">
        <v>934</v>
      </c>
      <c r="B798" s="9">
        <v>45719</v>
      </c>
      <c r="C798" t="s">
        <v>684</v>
      </c>
      <c r="D798" t="s">
        <v>803</v>
      </c>
      <c r="E798">
        <v>1</v>
      </c>
      <c r="F798" s="56">
        <v>50000</v>
      </c>
      <c r="G798" s="56">
        <v>50000</v>
      </c>
      <c r="H798" t="s">
        <v>879</v>
      </c>
      <c r="I798" s="56">
        <v>10000</v>
      </c>
      <c r="J798" s="56">
        <v>30000</v>
      </c>
      <c r="K798" s="56">
        <v>70000</v>
      </c>
      <c r="L798" t="s">
        <v>889</v>
      </c>
      <c r="M798" t="s">
        <v>874</v>
      </c>
      <c r="N798" t="s">
        <v>890</v>
      </c>
      <c r="O798" s="57">
        <v>45717</v>
      </c>
      <c r="P798" t="s">
        <v>892</v>
      </c>
      <c r="Q798" s="56">
        <v>40000</v>
      </c>
      <c r="R798" t="s">
        <v>804</v>
      </c>
      <c r="S798" t="s">
        <v>739</v>
      </c>
      <c r="T798" t="s">
        <v>740</v>
      </c>
      <c r="U798" t="s">
        <v>685</v>
      </c>
      <c r="V798" t="s">
        <v>23</v>
      </c>
      <c r="W798" t="s">
        <v>46</v>
      </c>
      <c r="X798" t="s">
        <v>9</v>
      </c>
      <c r="Y798" s="56">
        <f>IF(clean[[#This Row],[is_delivered]]="Yes",clean[[#This Row],[net_sales]],0 )</f>
        <v>0</v>
      </c>
    </row>
    <row r="799" spans="1:25">
      <c r="A799" t="s">
        <v>977</v>
      </c>
      <c r="B799" s="9">
        <v>45719</v>
      </c>
      <c r="C799" t="s">
        <v>650</v>
      </c>
      <c r="D799" t="s">
        <v>829</v>
      </c>
      <c r="E799">
        <v>3</v>
      </c>
      <c r="F799" s="56">
        <v>500000</v>
      </c>
      <c r="G799" s="56">
        <v>1500000</v>
      </c>
      <c r="H799" t="s">
        <v>872</v>
      </c>
      <c r="I799" s="56">
        <v>0</v>
      </c>
      <c r="J799" s="56">
        <v>10000</v>
      </c>
      <c r="K799" s="56">
        <v>1510000</v>
      </c>
      <c r="L799" t="s">
        <v>884</v>
      </c>
      <c r="M799" t="s">
        <v>903</v>
      </c>
      <c r="N799" t="s">
        <v>875</v>
      </c>
      <c r="O799" s="57">
        <v>45717</v>
      </c>
      <c r="P799" t="s">
        <v>877</v>
      </c>
      <c r="Q799" s="56">
        <v>1500000</v>
      </c>
      <c r="R799" t="s">
        <v>830</v>
      </c>
      <c r="S799" t="s">
        <v>743</v>
      </c>
      <c r="T799" t="s">
        <v>744</v>
      </c>
      <c r="U799" t="s">
        <v>651</v>
      </c>
      <c r="V799" t="s">
        <v>23</v>
      </c>
      <c r="W799" t="s">
        <v>20</v>
      </c>
      <c r="X799" t="s">
        <v>9</v>
      </c>
      <c r="Y799" s="56">
        <f>IF(clean[[#This Row],[is_delivered]]="Yes",clean[[#This Row],[net_sales]],0 )</f>
        <v>1500000</v>
      </c>
    </row>
    <row r="800" spans="1:25">
      <c r="A800" t="s">
        <v>1256</v>
      </c>
      <c r="B800" s="9">
        <v>45719</v>
      </c>
      <c r="C800" t="s">
        <v>49</v>
      </c>
      <c r="D800" t="s">
        <v>821</v>
      </c>
      <c r="E800">
        <v>1</v>
      </c>
      <c r="F800" s="56">
        <v>50000</v>
      </c>
      <c r="G800" s="56">
        <v>50000</v>
      </c>
      <c r="H800" t="s">
        <v>886</v>
      </c>
      <c r="I800" s="56">
        <v>5000</v>
      </c>
      <c r="J800" s="56">
        <v>15000</v>
      </c>
      <c r="K800" s="56">
        <v>60000</v>
      </c>
      <c r="L800" t="s">
        <v>884</v>
      </c>
      <c r="M800" t="s">
        <v>901</v>
      </c>
      <c r="N800" t="s">
        <v>875</v>
      </c>
      <c r="O800" s="57">
        <v>45717</v>
      </c>
      <c r="P800" t="s">
        <v>877</v>
      </c>
      <c r="Q800" s="56">
        <v>45000</v>
      </c>
      <c r="R800" t="s">
        <v>822</v>
      </c>
      <c r="S800" t="s">
        <v>727</v>
      </c>
      <c r="T800" t="s">
        <v>728</v>
      </c>
      <c r="U800" t="s">
        <v>50</v>
      </c>
      <c r="V800" t="s">
        <v>23</v>
      </c>
      <c r="W800" t="s">
        <v>51</v>
      </c>
      <c r="X800" t="s">
        <v>9</v>
      </c>
      <c r="Y800" s="56">
        <f>IF(clean[[#This Row],[is_delivered]]="Yes",clean[[#This Row],[net_sales]],0 )</f>
        <v>45000</v>
      </c>
    </row>
    <row r="801" spans="1:25">
      <c r="A801" t="s">
        <v>1262</v>
      </c>
      <c r="B801" s="9">
        <v>45719</v>
      </c>
      <c r="C801" t="s">
        <v>282</v>
      </c>
      <c r="D801" t="s">
        <v>853</v>
      </c>
      <c r="E801">
        <v>2</v>
      </c>
      <c r="F801" s="56">
        <v>75000</v>
      </c>
      <c r="G801" s="56">
        <v>150000</v>
      </c>
      <c r="H801" t="s">
        <v>879</v>
      </c>
      <c r="I801" s="56">
        <v>30000</v>
      </c>
      <c r="J801" s="56">
        <v>20000</v>
      </c>
      <c r="K801" s="56">
        <v>140000</v>
      </c>
      <c r="L801" t="s">
        <v>873</v>
      </c>
      <c r="M801" t="s">
        <v>881</v>
      </c>
      <c r="N801" t="s">
        <v>890</v>
      </c>
      <c r="O801" s="57">
        <v>45717</v>
      </c>
      <c r="P801" t="s">
        <v>892</v>
      </c>
      <c r="Q801" s="56">
        <v>120000</v>
      </c>
      <c r="R801" t="s">
        <v>854</v>
      </c>
      <c r="S801" t="s">
        <v>743</v>
      </c>
      <c r="T801" t="s">
        <v>744</v>
      </c>
      <c r="U801" t="s">
        <v>283</v>
      </c>
      <c r="V801" t="s">
        <v>7</v>
      </c>
      <c r="W801" t="s">
        <v>46</v>
      </c>
      <c r="X801" t="s">
        <v>9</v>
      </c>
      <c r="Y801" s="56">
        <f>IF(clean[[#This Row],[is_delivered]]="Yes",clean[[#This Row],[net_sales]],0 )</f>
        <v>0</v>
      </c>
    </row>
    <row r="802" spans="1:25">
      <c r="A802" t="s">
        <v>1546</v>
      </c>
      <c r="B802" s="9">
        <v>45719</v>
      </c>
      <c r="C802" t="s">
        <v>634</v>
      </c>
      <c r="D802" t="s">
        <v>773</v>
      </c>
      <c r="E802">
        <v>2</v>
      </c>
      <c r="F802" s="56">
        <v>500000</v>
      </c>
      <c r="G802" s="56">
        <v>1000000</v>
      </c>
      <c r="H802" t="s">
        <v>872</v>
      </c>
      <c r="I802" s="56">
        <v>0</v>
      </c>
      <c r="J802" s="56">
        <v>15000</v>
      </c>
      <c r="K802" s="56">
        <v>1015000</v>
      </c>
      <c r="L802" t="s">
        <v>889</v>
      </c>
      <c r="M802" t="s">
        <v>901</v>
      </c>
      <c r="N802" t="s">
        <v>875</v>
      </c>
      <c r="O802" s="57">
        <v>45717</v>
      </c>
      <c r="P802" t="s">
        <v>877</v>
      </c>
      <c r="Q802" s="56">
        <v>1000000</v>
      </c>
      <c r="R802" t="s">
        <v>774</v>
      </c>
      <c r="S802" t="s">
        <v>727</v>
      </c>
      <c r="T802" t="s">
        <v>728</v>
      </c>
      <c r="U802" t="s">
        <v>635</v>
      </c>
      <c r="V802" t="s">
        <v>23</v>
      </c>
      <c r="W802" t="s">
        <v>8</v>
      </c>
      <c r="X802" t="s">
        <v>24</v>
      </c>
      <c r="Y802" s="56">
        <f>IF(clean[[#This Row],[is_delivered]]="Yes",clean[[#This Row],[net_sales]],0 )</f>
        <v>1000000</v>
      </c>
    </row>
    <row r="803" spans="1:25">
      <c r="A803" t="s">
        <v>1708</v>
      </c>
      <c r="B803" s="9">
        <v>45719</v>
      </c>
      <c r="C803" t="s">
        <v>236</v>
      </c>
      <c r="D803" t="s">
        <v>813</v>
      </c>
      <c r="E803">
        <v>2</v>
      </c>
      <c r="F803" s="56">
        <v>35000</v>
      </c>
      <c r="G803" s="56">
        <v>70000</v>
      </c>
      <c r="H803" t="s">
        <v>872</v>
      </c>
      <c r="I803" s="56">
        <v>0</v>
      </c>
      <c r="J803" s="56">
        <v>20000</v>
      </c>
      <c r="K803" s="56">
        <v>90000</v>
      </c>
      <c r="L803" t="s">
        <v>884</v>
      </c>
      <c r="M803" t="s">
        <v>874</v>
      </c>
      <c r="N803" t="s">
        <v>905</v>
      </c>
      <c r="O803" s="57">
        <v>45717</v>
      </c>
      <c r="P803" t="s">
        <v>892</v>
      </c>
      <c r="Q803" s="56">
        <v>70000</v>
      </c>
      <c r="R803" t="s">
        <v>814</v>
      </c>
      <c r="S803" t="s">
        <v>735</v>
      </c>
      <c r="T803" t="s">
        <v>736</v>
      </c>
      <c r="U803" t="s">
        <v>237</v>
      </c>
      <c r="V803" t="s">
        <v>7</v>
      </c>
      <c r="W803" t="s">
        <v>29</v>
      </c>
      <c r="X803" t="s">
        <v>15</v>
      </c>
      <c r="Y803" s="56">
        <f>IF(clean[[#This Row],[is_delivered]]="Yes",clean[[#This Row],[net_sales]],0 )</f>
        <v>0</v>
      </c>
    </row>
    <row r="804" spans="1:25">
      <c r="A804" t="s">
        <v>1874</v>
      </c>
      <c r="B804" s="9">
        <v>45719</v>
      </c>
      <c r="C804" t="s">
        <v>592</v>
      </c>
      <c r="D804" t="s">
        <v>839</v>
      </c>
      <c r="E804">
        <v>1</v>
      </c>
      <c r="F804" s="56">
        <v>200000</v>
      </c>
      <c r="G804" s="56">
        <v>200000</v>
      </c>
      <c r="H804" t="s">
        <v>872</v>
      </c>
      <c r="I804" s="56">
        <v>0</v>
      </c>
      <c r="J804" s="56">
        <v>15000</v>
      </c>
      <c r="K804" s="56">
        <v>215000</v>
      </c>
      <c r="L804" t="s">
        <v>873</v>
      </c>
      <c r="M804" t="s">
        <v>2106</v>
      </c>
      <c r="N804" t="s">
        <v>875</v>
      </c>
      <c r="O804" s="57">
        <v>45717</v>
      </c>
      <c r="P804" t="s">
        <v>877</v>
      </c>
      <c r="Q804" s="56">
        <v>200000</v>
      </c>
      <c r="R804" t="s">
        <v>840</v>
      </c>
      <c r="S804" t="s">
        <v>739</v>
      </c>
      <c r="T804" t="s">
        <v>740</v>
      </c>
      <c r="U804" t="s">
        <v>593</v>
      </c>
      <c r="V804" t="s">
        <v>7</v>
      </c>
      <c r="W804" t="s">
        <v>56</v>
      </c>
      <c r="X804" t="s">
        <v>9</v>
      </c>
      <c r="Y804" s="56">
        <f>IF(clean[[#This Row],[is_delivered]]="Yes",clean[[#This Row],[net_sales]],0 )</f>
        <v>200000</v>
      </c>
    </row>
    <row r="805" spans="1:25">
      <c r="A805" t="s">
        <v>1064</v>
      </c>
      <c r="B805" s="9">
        <v>45718</v>
      </c>
      <c r="C805" t="s">
        <v>294</v>
      </c>
      <c r="D805" t="s">
        <v>835</v>
      </c>
      <c r="E805">
        <v>1</v>
      </c>
      <c r="F805" s="56">
        <v>200000</v>
      </c>
      <c r="G805" s="56">
        <v>200000</v>
      </c>
      <c r="H805" t="s">
        <v>886</v>
      </c>
      <c r="I805" s="56">
        <v>20000</v>
      </c>
      <c r="J805" s="56">
        <v>10000</v>
      </c>
      <c r="K805" s="56">
        <v>190000</v>
      </c>
      <c r="L805" t="s">
        <v>889</v>
      </c>
      <c r="M805" t="s">
        <v>903</v>
      </c>
      <c r="N805" t="s">
        <v>875</v>
      </c>
      <c r="O805" s="57">
        <v>45717</v>
      </c>
      <c r="P805" t="s">
        <v>877</v>
      </c>
      <c r="Q805" s="56">
        <v>180000</v>
      </c>
      <c r="R805" t="s">
        <v>836</v>
      </c>
      <c r="S805" t="s">
        <v>731</v>
      </c>
      <c r="T805" t="s">
        <v>732</v>
      </c>
      <c r="U805" t="s">
        <v>295</v>
      </c>
      <c r="V805" t="s">
        <v>23</v>
      </c>
      <c r="W805" t="s">
        <v>39</v>
      </c>
      <c r="X805" t="s">
        <v>9</v>
      </c>
      <c r="Y805" s="56">
        <f>IF(clean[[#This Row],[is_delivered]]="Yes",clean[[#This Row],[net_sales]],0 )</f>
        <v>180000</v>
      </c>
    </row>
    <row r="806" spans="1:25">
      <c r="A806" t="s">
        <v>1459</v>
      </c>
      <c r="B806" s="9">
        <v>45718</v>
      </c>
      <c r="C806" t="s">
        <v>208</v>
      </c>
      <c r="D806" t="s">
        <v>769</v>
      </c>
      <c r="E806">
        <v>2</v>
      </c>
      <c r="F806" s="56">
        <v>100000</v>
      </c>
      <c r="G806" s="56">
        <v>200000</v>
      </c>
      <c r="H806" t="s">
        <v>872</v>
      </c>
      <c r="I806" s="56">
        <v>0</v>
      </c>
      <c r="J806" s="56">
        <v>15000</v>
      </c>
      <c r="K806" s="56">
        <v>215000</v>
      </c>
      <c r="L806" t="s">
        <v>889</v>
      </c>
      <c r="M806" t="s">
        <v>903</v>
      </c>
      <c r="N806" t="s">
        <v>890</v>
      </c>
      <c r="O806" s="57">
        <v>45717</v>
      </c>
      <c r="P806" t="s">
        <v>892</v>
      </c>
      <c r="Q806" s="56">
        <v>200000</v>
      </c>
      <c r="R806" t="s">
        <v>770</v>
      </c>
      <c r="S806" t="s">
        <v>743</v>
      </c>
      <c r="T806" t="s">
        <v>744</v>
      </c>
      <c r="U806" t="s">
        <v>209</v>
      </c>
      <c r="V806" t="s">
        <v>7</v>
      </c>
      <c r="W806" t="s">
        <v>20</v>
      </c>
      <c r="X806" t="s">
        <v>9</v>
      </c>
      <c r="Y806" s="56">
        <f>IF(clean[[#This Row],[is_delivered]]="Yes",clean[[#This Row],[net_sales]],0 )</f>
        <v>0</v>
      </c>
    </row>
    <row r="807" spans="1:25">
      <c r="A807" t="s">
        <v>1866</v>
      </c>
      <c r="B807" s="9">
        <v>45718</v>
      </c>
      <c r="C807" t="s">
        <v>312</v>
      </c>
      <c r="D807" t="s">
        <v>827</v>
      </c>
      <c r="E807">
        <v>1</v>
      </c>
      <c r="F807" s="56">
        <v>100000</v>
      </c>
      <c r="G807" s="56">
        <v>100000</v>
      </c>
      <c r="H807" t="s">
        <v>872</v>
      </c>
      <c r="I807" s="56">
        <v>0</v>
      </c>
      <c r="J807" s="56">
        <v>10000</v>
      </c>
      <c r="K807" s="56">
        <v>110000</v>
      </c>
      <c r="L807" t="s">
        <v>873</v>
      </c>
      <c r="M807" t="s">
        <v>881</v>
      </c>
      <c r="N807" t="s">
        <v>905</v>
      </c>
      <c r="O807" s="57">
        <v>45717</v>
      </c>
      <c r="P807" t="s">
        <v>892</v>
      </c>
      <c r="Q807" s="56">
        <v>100000</v>
      </c>
      <c r="R807" t="s">
        <v>828</v>
      </c>
      <c r="S807" t="s">
        <v>739</v>
      </c>
      <c r="T807" t="s">
        <v>740</v>
      </c>
      <c r="U807" t="s">
        <v>313</v>
      </c>
      <c r="V807" t="s">
        <v>23</v>
      </c>
      <c r="W807" t="s">
        <v>39</v>
      </c>
      <c r="X807" t="s">
        <v>9</v>
      </c>
      <c r="Y807" s="56">
        <f>IF(clean[[#This Row],[is_delivered]]="Yes",clean[[#This Row],[net_sales]],0 )</f>
        <v>0</v>
      </c>
    </row>
    <row r="808" spans="1:25">
      <c r="A808" t="s">
        <v>2054</v>
      </c>
      <c r="B808" s="9">
        <v>45718</v>
      </c>
      <c r="C808" t="s">
        <v>248</v>
      </c>
      <c r="D808" t="s">
        <v>759</v>
      </c>
      <c r="E808">
        <v>1</v>
      </c>
      <c r="F808" s="56">
        <v>300000</v>
      </c>
      <c r="G808" s="56">
        <v>300000</v>
      </c>
      <c r="H808" t="s">
        <v>879</v>
      </c>
      <c r="I808" s="56">
        <v>60000</v>
      </c>
      <c r="J808" s="56">
        <v>20000</v>
      </c>
      <c r="K808" s="56">
        <v>260000</v>
      </c>
      <c r="L808" t="s">
        <v>889</v>
      </c>
      <c r="M808" t="s">
        <v>881</v>
      </c>
      <c r="N808" t="s">
        <v>875</v>
      </c>
      <c r="O808" s="57">
        <v>45717</v>
      </c>
      <c r="P808" t="s">
        <v>877</v>
      </c>
      <c r="Q808" s="56">
        <v>240000</v>
      </c>
      <c r="R808" t="s">
        <v>760</v>
      </c>
      <c r="S808" t="s">
        <v>747</v>
      </c>
      <c r="T808" t="s">
        <v>748</v>
      </c>
      <c r="U808" t="s">
        <v>249</v>
      </c>
      <c r="V808" t="s">
        <v>23</v>
      </c>
      <c r="W808" t="s">
        <v>56</v>
      </c>
      <c r="X808" t="s">
        <v>9</v>
      </c>
      <c r="Y808" s="56">
        <f>IF(clean[[#This Row],[is_delivered]]="Yes",clean[[#This Row],[net_sales]],0 )</f>
        <v>240000</v>
      </c>
    </row>
    <row r="809" spans="1:25">
      <c r="A809" t="s">
        <v>2080</v>
      </c>
      <c r="B809" s="9">
        <v>45718</v>
      </c>
      <c r="C809" t="s">
        <v>554</v>
      </c>
      <c r="D809" t="s">
        <v>833</v>
      </c>
      <c r="E809">
        <v>2</v>
      </c>
      <c r="F809" s="56">
        <v>200000</v>
      </c>
      <c r="G809" s="56">
        <v>400000</v>
      </c>
      <c r="H809" t="s">
        <v>883</v>
      </c>
      <c r="I809" s="56">
        <v>40000</v>
      </c>
      <c r="J809" s="56">
        <v>10000</v>
      </c>
      <c r="K809" s="56">
        <v>370000</v>
      </c>
      <c r="L809" t="s">
        <v>884</v>
      </c>
      <c r="M809" t="s">
        <v>881</v>
      </c>
      <c r="N809" t="s">
        <v>875</v>
      </c>
      <c r="O809" s="57">
        <v>45717</v>
      </c>
      <c r="P809" t="s">
        <v>877</v>
      </c>
      <c r="Q809" s="56">
        <v>360000</v>
      </c>
      <c r="R809" t="s">
        <v>834</v>
      </c>
      <c r="S809" t="s">
        <v>727</v>
      </c>
      <c r="T809" t="s">
        <v>728</v>
      </c>
      <c r="U809" t="s">
        <v>555</v>
      </c>
      <c r="V809" t="s">
        <v>7</v>
      </c>
      <c r="W809" t="s">
        <v>36</v>
      </c>
      <c r="X809" t="s">
        <v>9</v>
      </c>
      <c r="Y809" s="56">
        <f>IF(clean[[#This Row],[is_delivered]]="Yes",clean[[#This Row],[net_sales]],0 )</f>
        <v>360000</v>
      </c>
    </row>
    <row r="810" spans="1:25">
      <c r="A810" t="s">
        <v>1027</v>
      </c>
      <c r="B810" s="9">
        <v>45717</v>
      </c>
      <c r="C810" t="s">
        <v>320</v>
      </c>
      <c r="D810" t="s">
        <v>773</v>
      </c>
      <c r="E810">
        <v>4</v>
      </c>
      <c r="F810" s="56">
        <v>500000</v>
      </c>
      <c r="G810" s="56">
        <v>2000000</v>
      </c>
      <c r="H810" t="s">
        <v>872</v>
      </c>
      <c r="I810" s="56">
        <v>0</v>
      </c>
      <c r="J810" s="56">
        <v>20000</v>
      </c>
      <c r="K810" s="56">
        <v>2020000</v>
      </c>
      <c r="L810" t="s">
        <v>873</v>
      </c>
      <c r="M810" t="s">
        <v>903</v>
      </c>
      <c r="N810" t="s">
        <v>875</v>
      </c>
      <c r="O810" s="57">
        <v>45717</v>
      </c>
      <c r="P810" t="s">
        <v>877</v>
      </c>
      <c r="Q810" s="56">
        <v>2000000</v>
      </c>
      <c r="R810" t="s">
        <v>774</v>
      </c>
      <c r="S810" t="s">
        <v>727</v>
      </c>
      <c r="T810" t="s">
        <v>728</v>
      </c>
      <c r="U810" t="s">
        <v>321</v>
      </c>
      <c r="V810" t="s">
        <v>7</v>
      </c>
      <c r="W810" t="s">
        <v>56</v>
      </c>
      <c r="X810" t="s">
        <v>9</v>
      </c>
      <c r="Y810" s="56">
        <f>IF(clean[[#This Row],[is_delivered]]="Yes",clean[[#This Row],[net_sales]],0 )</f>
        <v>2000000</v>
      </c>
    </row>
    <row r="811" spans="1:25">
      <c r="A811" t="s">
        <v>1090</v>
      </c>
      <c r="B811" s="9">
        <v>45717</v>
      </c>
      <c r="C811" t="s">
        <v>444</v>
      </c>
      <c r="D811" t="s">
        <v>783</v>
      </c>
      <c r="E811">
        <v>1</v>
      </c>
      <c r="F811" s="56">
        <v>500000</v>
      </c>
      <c r="G811" s="56">
        <v>500000</v>
      </c>
      <c r="H811" t="s">
        <v>872</v>
      </c>
      <c r="I811" s="56">
        <v>0</v>
      </c>
      <c r="J811" s="56">
        <v>30000</v>
      </c>
      <c r="K811" s="56">
        <v>530000</v>
      </c>
      <c r="L811" t="s">
        <v>880</v>
      </c>
      <c r="M811" t="s">
        <v>903</v>
      </c>
      <c r="N811" t="s">
        <v>905</v>
      </c>
      <c r="O811" s="57">
        <v>45717</v>
      </c>
      <c r="P811" t="s">
        <v>892</v>
      </c>
      <c r="Q811" s="56">
        <v>500000</v>
      </c>
      <c r="R811" t="s">
        <v>784</v>
      </c>
      <c r="S811" t="s">
        <v>747</v>
      </c>
      <c r="T811" t="s">
        <v>748</v>
      </c>
      <c r="U811" t="s">
        <v>445</v>
      </c>
      <c r="V811" t="s">
        <v>23</v>
      </c>
      <c r="W811" t="s">
        <v>20</v>
      </c>
      <c r="X811" t="s">
        <v>9</v>
      </c>
      <c r="Y811" s="56">
        <f>IF(clean[[#This Row],[is_delivered]]="Yes",clean[[#This Row],[net_sales]],0 )</f>
        <v>0</v>
      </c>
    </row>
    <row r="812" spans="1:25">
      <c r="A812" t="s">
        <v>1367</v>
      </c>
      <c r="B812" s="9">
        <v>45717</v>
      </c>
      <c r="C812" t="s">
        <v>564</v>
      </c>
      <c r="D812" t="s">
        <v>799</v>
      </c>
      <c r="E812">
        <v>3</v>
      </c>
      <c r="F812" s="56">
        <v>35000</v>
      </c>
      <c r="G812" s="56">
        <v>105000</v>
      </c>
      <c r="H812" t="s">
        <v>883</v>
      </c>
      <c r="I812" s="56">
        <v>10500</v>
      </c>
      <c r="J812" s="56">
        <v>30000</v>
      </c>
      <c r="K812" s="56">
        <v>124500</v>
      </c>
      <c r="L812" t="s">
        <v>884</v>
      </c>
      <c r="M812" t="s">
        <v>874</v>
      </c>
      <c r="N812" t="s">
        <v>875</v>
      </c>
      <c r="O812" s="57">
        <v>45717</v>
      </c>
      <c r="P812" t="s">
        <v>877</v>
      </c>
      <c r="Q812" s="56">
        <v>94500</v>
      </c>
      <c r="R812" t="s">
        <v>800</v>
      </c>
      <c r="S812" t="s">
        <v>731</v>
      </c>
      <c r="T812" t="s">
        <v>732</v>
      </c>
      <c r="U812" t="s">
        <v>565</v>
      </c>
      <c r="V812" t="s">
        <v>23</v>
      </c>
      <c r="W812" t="s">
        <v>46</v>
      </c>
      <c r="X812" t="s">
        <v>15</v>
      </c>
      <c r="Y812" s="56">
        <f>IF(clean[[#This Row],[is_delivered]]="Yes",clean[[#This Row],[net_sales]],0 )</f>
        <v>94500</v>
      </c>
    </row>
    <row r="813" spans="1:25">
      <c r="A813" t="s">
        <v>1899</v>
      </c>
      <c r="B813" s="9">
        <v>45717</v>
      </c>
      <c r="C813" t="s">
        <v>610</v>
      </c>
      <c r="D813" t="s">
        <v>725</v>
      </c>
      <c r="E813">
        <v>2</v>
      </c>
      <c r="F813" s="56">
        <v>300000</v>
      </c>
      <c r="G813" s="56">
        <v>600000</v>
      </c>
      <c r="H813" t="s">
        <v>883</v>
      </c>
      <c r="I813" s="56">
        <v>60000</v>
      </c>
      <c r="J813" s="56">
        <v>20000</v>
      </c>
      <c r="K813" s="56">
        <v>560000</v>
      </c>
      <c r="L813" t="s">
        <v>880</v>
      </c>
      <c r="M813" t="s">
        <v>881</v>
      </c>
      <c r="N813" t="s">
        <v>875</v>
      </c>
      <c r="O813" s="57">
        <v>45717</v>
      </c>
      <c r="P813" t="s">
        <v>877</v>
      </c>
      <c r="Q813" s="56">
        <v>540000</v>
      </c>
      <c r="R813" t="s">
        <v>726</v>
      </c>
      <c r="S813" t="s">
        <v>727</v>
      </c>
      <c r="T813" t="s">
        <v>728</v>
      </c>
      <c r="U813" t="s">
        <v>611</v>
      </c>
      <c r="V813" t="s">
        <v>7</v>
      </c>
      <c r="W813" t="s">
        <v>29</v>
      </c>
      <c r="X813" t="s">
        <v>9</v>
      </c>
      <c r="Y813" s="56">
        <f>IF(clean[[#This Row],[is_delivered]]="Yes",clean[[#This Row],[net_sales]],0 )</f>
        <v>540000</v>
      </c>
    </row>
    <row r="814" spans="1:25">
      <c r="A814" t="s">
        <v>2006</v>
      </c>
      <c r="B814" s="9">
        <v>45717</v>
      </c>
      <c r="C814" t="s">
        <v>198</v>
      </c>
      <c r="D814" t="s">
        <v>839</v>
      </c>
      <c r="E814">
        <v>4</v>
      </c>
      <c r="F814" s="56">
        <v>200000</v>
      </c>
      <c r="G814" s="56">
        <v>800000</v>
      </c>
      <c r="H814" t="s">
        <v>895</v>
      </c>
      <c r="I814" s="56">
        <v>120000</v>
      </c>
      <c r="J814" s="56">
        <v>30000</v>
      </c>
      <c r="K814" s="56">
        <v>710000</v>
      </c>
      <c r="L814" t="s">
        <v>884</v>
      </c>
      <c r="M814" t="s">
        <v>874</v>
      </c>
      <c r="N814" t="s">
        <v>890</v>
      </c>
      <c r="O814" s="57">
        <v>45717</v>
      </c>
      <c r="P814" t="s">
        <v>892</v>
      </c>
      <c r="Q814" s="56">
        <v>680000</v>
      </c>
      <c r="R814" t="s">
        <v>840</v>
      </c>
      <c r="S814" t="s">
        <v>739</v>
      </c>
      <c r="T814" t="s">
        <v>740</v>
      </c>
      <c r="U814" t="s">
        <v>199</v>
      </c>
      <c r="V814" t="s">
        <v>23</v>
      </c>
      <c r="W814" t="s">
        <v>39</v>
      </c>
      <c r="X814" t="s">
        <v>15</v>
      </c>
      <c r="Y814" s="56">
        <f>IF(clean[[#This Row],[is_delivered]]="Yes",clean[[#This Row],[net_sales]],0 )</f>
        <v>0</v>
      </c>
    </row>
    <row r="815" spans="1:25">
      <c r="A815" t="s">
        <v>971</v>
      </c>
      <c r="B815" s="9">
        <v>45716</v>
      </c>
      <c r="C815" t="s">
        <v>280</v>
      </c>
      <c r="D815" t="s">
        <v>791</v>
      </c>
      <c r="E815">
        <v>1</v>
      </c>
      <c r="F815" s="56">
        <v>50000</v>
      </c>
      <c r="G815" s="56">
        <v>50000</v>
      </c>
      <c r="H815" t="s">
        <v>872</v>
      </c>
      <c r="I815" s="56">
        <v>0</v>
      </c>
      <c r="J815" s="56">
        <v>10000</v>
      </c>
      <c r="K815" s="56">
        <v>60000</v>
      </c>
      <c r="L815" t="s">
        <v>889</v>
      </c>
      <c r="M815" t="s">
        <v>903</v>
      </c>
      <c r="N815" t="s">
        <v>875</v>
      </c>
      <c r="O815" s="57">
        <v>45689</v>
      </c>
      <c r="P815" t="s">
        <v>877</v>
      </c>
      <c r="Q815" s="56">
        <v>50000</v>
      </c>
      <c r="R815" t="s">
        <v>792</v>
      </c>
      <c r="S815" t="s">
        <v>739</v>
      </c>
      <c r="T815" t="s">
        <v>740</v>
      </c>
      <c r="U815" t="s">
        <v>281</v>
      </c>
      <c r="V815" t="s">
        <v>7</v>
      </c>
      <c r="W815" t="s">
        <v>137</v>
      </c>
      <c r="X815" t="s">
        <v>9</v>
      </c>
      <c r="Y815" s="56">
        <f>IF(clean[[#This Row],[is_delivered]]="Yes",clean[[#This Row],[net_sales]],0 )</f>
        <v>50000</v>
      </c>
    </row>
    <row r="816" spans="1:25">
      <c r="A816" t="s">
        <v>984</v>
      </c>
      <c r="B816" s="9">
        <v>45716</v>
      </c>
      <c r="C816" t="s">
        <v>668</v>
      </c>
      <c r="D816" t="s">
        <v>801</v>
      </c>
      <c r="E816">
        <v>1</v>
      </c>
      <c r="F816" s="56">
        <v>100000</v>
      </c>
      <c r="G816" s="56">
        <v>100000</v>
      </c>
      <c r="H816" t="s">
        <v>879</v>
      </c>
      <c r="I816" s="56">
        <v>20000</v>
      </c>
      <c r="J816" s="56">
        <v>20000</v>
      </c>
      <c r="K816" s="56">
        <v>100000</v>
      </c>
      <c r="L816" t="s">
        <v>873</v>
      </c>
      <c r="M816" t="s">
        <v>874</v>
      </c>
      <c r="N816" t="s">
        <v>875</v>
      </c>
      <c r="O816" s="57">
        <v>45689</v>
      </c>
      <c r="P816" t="s">
        <v>877</v>
      </c>
      <c r="Q816" s="56">
        <v>80000</v>
      </c>
      <c r="R816" t="s">
        <v>802</v>
      </c>
      <c r="S816" t="s">
        <v>735</v>
      </c>
      <c r="T816" t="s">
        <v>736</v>
      </c>
      <c r="U816" t="s">
        <v>669</v>
      </c>
      <c r="V816" t="s">
        <v>7</v>
      </c>
      <c r="W816" t="s">
        <v>39</v>
      </c>
      <c r="X816" t="s">
        <v>15</v>
      </c>
      <c r="Y816" s="56">
        <f>IF(clean[[#This Row],[is_delivered]]="Yes",clean[[#This Row],[net_sales]],0 )</f>
        <v>80000</v>
      </c>
    </row>
    <row r="817" spans="1:25">
      <c r="A817" t="s">
        <v>1228</v>
      </c>
      <c r="B817" s="9">
        <v>45716</v>
      </c>
      <c r="C817" t="s">
        <v>534</v>
      </c>
      <c r="D817" t="s">
        <v>793</v>
      </c>
      <c r="E817">
        <v>2</v>
      </c>
      <c r="F817" s="56">
        <v>500000</v>
      </c>
      <c r="G817" s="56">
        <v>1000000</v>
      </c>
      <c r="H817" t="s">
        <v>886</v>
      </c>
      <c r="I817" s="56">
        <v>100000</v>
      </c>
      <c r="J817" s="56">
        <v>20000</v>
      </c>
      <c r="K817" s="56">
        <v>920000</v>
      </c>
      <c r="L817" t="s">
        <v>889</v>
      </c>
      <c r="M817" t="s">
        <v>903</v>
      </c>
      <c r="N817" t="s">
        <v>911</v>
      </c>
      <c r="O817" s="57">
        <v>45689</v>
      </c>
      <c r="P817" t="s">
        <v>892</v>
      </c>
      <c r="Q817" s="56">
        <v>900000</v>
      </c>
      <c r="R817" t="s">
        <v>794</v>
      </c>
      <c r="S817" t="s">
        <v>743</v>
      </c>
      <c r="T817" t="s">
        <v>744</v>
      </c>
      <c r="U817" t="s">
        <v>535</v>
      </c>
      <c r="V817" t="s">
        <v>7</v>
      </c>
      <c r="W817" t="s">
        <v>56</v>
      </c>
      <c r="X817" t="s">
        <v>9</v>
      </c>
      <c r="Y817" s="56">
        <f>IF(clean[[#This Row],[is_delivered]]="Yes",clean[[#This Row],[net_sales]],0 )</f>
        <v>0</v>
      </c>
    </row>
    <row r="818" spans="1:25">
      <c r="A818" t="s">
        <v>1281</v>
      </c>
      <c r="B818" s="9">
        <v>45716</v>
      </c>
      <c r="C818" t="s">
        <v>119</v>
      </c>
      <c r="D818" t="s">
        <v>777</v>
      </c>
      <c r="E818">
        <v>2</v>
      </c>
      <c r="F818" s="56">
        <v>200000</v>
      </c>
      <c r="G818" s="56">
        <v>400000</v>
      </c>
      <c r="H818" t="s">
        <v>895</v>
      </c>
      <c r="I818" s="56">
        <v>60000</v>
      </c>
      <c r="J818" s="56">
        <v>10000</v>
      </c>
      <c r="K818" s="56">
        <v>350000</v>
      </c>
      <c r="L818" t="s">
        <v>880</v>
      </c>
      <c r="M818" t="s">
        <v>903</v>
      </c>
      <c r="N818" t="s">
        <v>875</v>
      </c>
      <c r="O818" s="57">
        <v>45689</v>
      </c>
      <c r="P818" t="s">
        <v>877</v>
      </c>
      <c r="Q818" s="56">
        <v>340000</v>
      </c>
      <c r="R818" t="s">
        <v>778</v>
      </c>
      <c r="S818" t="s">
        <v>735</v>
      </c>
      <c r="T818" t="s">
        <v>736</v>
      </c>
      <c r="U818" t="s">
        <v>120</v>
      </c>
      <c r="V818" t="s">
        <v>23</v>
      </c>
      <c r="W818" t="s">
        <v>39</v>
      </c>
      <c r="X818" t="s">
        <v>24</v>
      </c>
      <c r="Y818" s="56">
        <f>IF(clean[[#This Row],[is_delivered]]="Yes",clean[[#This Row],[net_sales]],0 )</f>
        <v>340000</v>
      </c>
    </row>
    <row r="819" spans="1:25">
      <c r="A819" t="s">
        <v>1541</v>
      </c>
      <c r="B819" s="9">
        <v>45716</v>
      </c>
      <c r="C819" t="s">
        <v>666</v>
      </c>
      <c r="D819" t="s">
        <v>749</v>
      </c>
      <c r="E819">
        <v>4</v>
      </c>
      <c r="F819" s="56">
        <v>150000</v>
      </c>
      <c r="G819" s="56">
        <v>600000</v>
      </c>
      <c r="H819" t="s">
        <v>895</v>
      </c>
      <c r="I819" s="56">
        <v>90000</v>
      </c>
      <c r="J819" s="56">
        <v>20000</v>
      </c>
      <c r="K819" s="56">
        <v>530000</v>
      </c>
      <c r="L819" t="s">
        <v>873</v>
      </c>
      <c r="M819" t="s">
        <v>881</v>
      </c>
      <c r="N819" t="s">
        <v>875</v>
      </c>
      <c r="O819" s="57">
        <v>45689</v>
      </c>
      <c r="P819" t="s">
        <v>877</v>
      </c>
      <c r="Q819" s="56">
        <v>510000</v>
      </c>
      <c r="R819" t="s">
        <v>750</v>
      </c>
      <c r="S819" t="s">
        <v>727</v>
      </c>
      <c r="T819" t="s">
        <v>728</v>
      </c>
      <c r="U819" t="s">
        <v>667</v>
      </c>
      <c r="V819" t="s">
        <v>7</v>
      </c>
      <c r="W819" t="s">
        <v>12</v>
      </c>
      <c r="X819" t="s">
        <v>9</v>
      </c>
      <c r="Y819" s="56">
        <f>IF(clean[[#This Row],[is_delivered]]="Yes",clean[[#This Row],[net_sales]],0 )</f>
        <v>510000</v>
      </c>
    </row>
    <row r="820" spans="1:25">
      <c r="A820" t="s">
        <v>2058</v>
      </c>
      <c r="B820" s="9">
        <v>45716</v>
      </c>
      <c r="C820" t="s">
        <v>125</v>
      </c>
      <c r="D820" t="s">
        <v>779</v>
      </c>
      <c r="E820">
        <v>2</v>
      </c>
      <c r="F820" s="56">
        <v>150000</v>
      </c>
      <c r="G820" s="56">
        <v>300000</v>
      </c>
      <c r="H820" t="s">
        <v>879</v>
      </c>
      <c r="I820" s="56">
        <v>60000</v>
      </c>
      <c r="J820" s="56">
        <v>10000</v>
      </c>
      <c r="K820" s="56">
        <v>250000</v>
      </c>
      <c r="L820" t="s">
        <v>873</v>
      </c>
      <c r="M820" t="s">
        <v>874</v>
      </c>
      <c r="N820" t="s">
        <v>875</v>
      </c>
      <c r="O820" s="57">
        <v>45689</v>
      </c>
      <c r="P820" t="s">
        <v>877</v>
      </c>
      <c r="Q820" s="56">
        <v>240000</v>
      </c>
      <c r="R820" t="s">
        <v>780</v>
      </c>
      <c r="S820" t="s">
        <v>739</v>
      </c>
      <c r="T820" t="s">
        <v>740</v>
      </c>
      <c r="U820" t="s">
        <v>126</v>
      </c>
      <c r="V820" t="s">
        <v>23</v>
      </c>
      <c r="W820" t="s">
        <v>56</v>
      </c>
      <c r="X820" t="s">
        <v>9</v>
      </c>
      <c r="Y820" s="56">
        <f>IF(clean[[#This Row],[is_delivered]]="Yes",clean[[#This Row],[net_sales]],0 )</f>
        <v>240000</v>
      </c>
    </row>
    <row r="821" spans="1:25">
      <c r="A821" t="s">
        <v>1092</v>
      </c>
      <c r="B821" s="9">
        <v>45715</v>
      </c>
      <c r="C821" t="s">
        <v>168</v>
      </c>
      <c r="D821" t="s">
        <v>849</v>
      </c>
      <c r="E821">
        <v>4</v>
      </c>
      <c r="F821" s="56">
        <v>500000</v>
      </c>
      <c r="G821" s="56">
        <v>2000000</v>
      </c>
      <c r="H821" t="s">
        <v>883</v>
      </c>
      <c r="I821" s="56">
        <v>200000</v>
      </c>
      <c r="J821" s="56">
        <v>20000</v>
      </c>
      <c r="K821" s="56">
        <v>1820000</v>
      </c>
      <c r="L821" t="s">
        <v>884</v>
      </c>
      <c r="M821" t="s">
        <v>901</v>
      </c>
      <c r="N821" t="s">
        <v>875</v>
      </c>
      <c r="O821" s="57">
        <v>45689</v>
      </c>
      <c r="P821" t="s">
        <v>877</v>
      </c>
      <c r="Q821" s="56">
        <v>1800000</v>
      </c>
      <c r="R821" t="s">
        <v>850</v>
      </c>
      <c r="S821" t="s">
        <v>735</v>
      </c>
      <c r="T821" t="s">
        <v>736</v>
      </c>
      <c r="U821" t="s">
        <v>169</v>
      </c>
      <c r="V821" t="s">
        <v>7</v>
      </c>
      <c r="W821" t="s">
        <v>12</v>
      </c>
      <c r="X821" t="s">
        <v>24</v>
      </c>
      <c r="Y821" s="56">
        <f>IF(clean[[#This Row],[is_delivered]]="Yes",clean[[#This Row],[net_sales]],0 )</f>
        <v>1800000</v>
      </c>
    </row>
    <row r="822" spans="1:25">
      <c r="A822" t="s">
        <v>1319</v>
      </c>
      <c r="B822" s="9">
        <v>45715</v>
      </c>
      <c r="C822" t="s">
        <v>556</v>
      </c>
      <c r="D822" t="s">
        <v>839</v>
      </c>
      <c r="E822">
        <v>1</v>
      </c>
      <c r="F822" s="56">
        <v>200000</v>
      </c>
      <c r="G822" s="56">
        <v>200000</v>
      </c>
      <c r="H822" t="s">
        <v>872</v>
      </c>
      <c r="I822" s="56">
        <v>0</v>
      </c>
      <c r="J822" s="56">
        <v>20000</v>
      </c>
      <c r="K822" s="56">
        <v>220000</v>
      </c>
      <c r="L822" t="s">
        <v>873</v>
      </c>
      <c r="M822" t="s">
        <v>881</v>
      </c>
      <c r="N822" t="s">
        <v>890</v>
      </c>
      <c r="O822" s="57">
        <v>45689</v>
      </c>
      <c r="P822" t="s">
        <v>892</v>
      </c>
      <c r="Q822" s="56">
        <v>200000</v>
      </c>
      <c r="R822" t="s">
        <v>840</v>
      </c>
      <c r="S822" t="s">
        <v>739</v>
      </c>
      <c r="T822" t="s">
        <v>740</v>
      </c>
      <c r="U822" t="s">
        <v>557</v>
      </c>
      <c r="V822" t="s">
        <v>23</v>
      </c>
      <c r="W822" t="s">
        <v>46</v>
      </c>
      <c r="X822" t="s">
        <v>9</v>
      </c>
      <c r="Y822" s="56">
        <f>IF(clean[[#This Row],[is_delivered]]="Yes",clean[[#This Row],[net_sales]],0 )</f>
        <v>0</v>
      </c>
    </row>
    <row r="823" spans="1:25">
      <c r="A823" t="s">
        <v>1337</v>
      </c>
      <c r="B823" s="9">
        <v>45715</v>
      </c>
      <c r="C823" t="s">
        <v>628</v>
      </c>
      <c r="D823" t="s">
        <v>781</v>
      </c>
      <c r="E823">
        <v>1</v>
      </c>
      <c r="F823" s="56">
        <v>50000</v>
      </c>
      <c r="G823" s="56">
        <v>50000</v>
      </c>
      <c r="H823" t="s">
        <v>872</v>
      </c>
      <c r="I823" s="56">
        <v>0</v>
      </c>
      <c r="J823" s="56">
        <v>20000</v>
      </c>
      <c r="K823" s="56">
        <v>70000</v>
      </c>
      <c r="L823" t="s">
        <v>880</v>
      </c>
      <c r="M823" t="s">
        <v>903</v>
      </c>
      <c r="N823" t="s">
        <v>875</v>
      </c>
      <c r="O823" s="57">
        <v>45689</v>
      </c>
      <c r="P823" t="s">
        <v>877</v>
      </c>
      <c r="Q823" s="56">
        <v>50000</v>
      </c>
      <c r="R823" t="s">
        <v>782</v>
      </c>
      <c r="S823" t="s">
        <v>743</v>
      </c>
      <c r="T823" t="s">
        <v>744</v>
      </c>
      <c r="U823" t="s">
        <v>629</v>
      </c>
      <c r="V823" t="s">
        <v>7</v>
      </c>
      <c r="W823" t="s">
        <v>36</v>
      </c>
      <c r="X823" t="s">
        <v>9</v>
      </c>
      <c r="Y823" s="56">
        <f>IF(clean[[#This Row],[is_delivered]]="Yes",clean[[#This Row],[net_sales]],0 )</f>
        <v>50000</v>
      </c>
    </row>
    <row r="824" spans="1:25">
      <c r="A824" t="s">
        <v>1352</v>
      </c>
      <c r="B824" s="9">
        <v>45715</v>
      </c>
      <c r="C824" t="s">
        <v>206</v>
      </c>
      <c r="D824" t="s">
        <v>845</v>
      </c>
      <c r="E824">
        <v>4</v>
      </c>
      <c r="F824" s="56">
        <v>300000</v>
      </c>
      <c r="G824" s="56">
        <v>1200000</v>
      </c>
      <c r="H824" t="s">
        <v>872</v>
      </c>
      <c r="I824" s="56">
        <v>0</v>
      </c>
      <c r="J824" s="56">
        <v>15000</v>
      </c>
      <c r="K824" s="56">
        <v>1215000</v>
      </c>
      <c r="L824" t="s">
        <v>873</v>
      </c>
      <c r="M824" t="s">
        <v>874</v>
      </c>
      <c r="N824" t="s">
        <v>875</v>
      </c>
      <c r="O824" s="57">
        <v>45689</v>
      </c>
      <c r="P824" t="s">
        <v>877</v>
      </c>
      <c r="Q824" s="56">
        <v>1200000</v>
      </c>
      <c r="R824" t="s">
        <v>846</v>
      </c>
      <c r="S824" t="s">
        <v>727</v>
      </c>
      <c r="T824" t="s">
        <v>728</v>
      </c>
      <c r="U824" t="s">
        <v>207</v>
      </c>
      <c r="V824" t="s">
        <v>7</v>
      </c>
      <c r="W824" t="s">
        <v>20</v>
      </c>
      <c r="X824" t="s">
        <v>9</v>
      </c>
      <c r="Y824" s="56">
        <f>IF(clean[[#This Row],[is_delivered]]="Yes",clean[[#This Row],[net_sales]],0 )</f>
        <v>1200000</v>
      </c>
    </row>
    <row r="825" spans="1:25">
      <c r="A825" t="s">
        <v>1486</v>
      </c>
      <c r="B825" s="9">
        <v>45715</v>
      </c>
      <c r="C825" t="s">
        <v>81</v>
      </c>
      <c r="D825" t="s">
        <v>797</v>
      </c>
      <c r="E825">
        <v>1</v>
      </c>
      <c r="F825" s="56">
        <v>150000</v>
      </c>
      <c r="G825" s="56">
        <v>150000</v>
      </c>
      <c r="H825" t="s">
        <v>872</v>
      </c>
      <c r="I825" s="56">
        <v>0</v>
      </c>
      <c r="J825" s="56">
        <v>15000</v>
      </c>
      <c r="K825" s="56">
        <v>165000</v>
      </c>
      <c r="L825" t="s">
        <v>880</v>
      </c>
      <c r="M825" t="s">
        <v>901</v>
      </c>
      <c r="N825" t="s">
        <v>911</v>
      </c>
      <c r="O825" s="57">
        <v>45689</v>
      </c>
      <c r="P825" t="s">
        <v>892</v>
      </c>
      <c r="Q825" s="56">
        <v>150000</v>
      </c>
      <c r="R825" t="s">
        <v>798</v>
      </c>
      <c r="S825" t="s">
        <v>727</v>
      </c>
      <c r="T825" t="s">
        <v>728</v>
      </c>
      <c r="U825" t="s">
        <v>82</v>
      </c>
      <c r="V825" t="s">
        <v>23</v>
      </c>
      <c r="W825" t="s">
        <v>20</v>
      </c>
      <c r="X825" t="s">
        <v>24</v>
      </c>
      <c r="Y825" s="56">
        <f>IF(clean[[#This Row],[is_delivered]]="Yes",clean[[#This Row],[net_sales]],0 )</f>
        <v>0</v>
      </c>
    </row>
    <row r="826" spans="1:25">
      <c r="A826" t="s">
        <v>1603</v>
      </c>
      <c r="B826" s="9">
        <v>45715</v>
      </c>
      <c r="C826" t="s">
        <v>670</v>
      </c>
      <c r="D826" t="s">
        <v>841</v>
      </c>
      <c r="E826">
        <v>1</v>
      </c>
      <c r="F826" s="56">
        <v>75000</v>
      </c>
      <c r="G826" s="56">
        <v>75000</v>
      </c>
      <c r="H826" t="s">
        <v>872</v>
      </c>
      <c r="I826" s="56">
        <v>0</v>
      </c>
      <c r="J826" s="56">
        <v>30000</v>
      </c>
      <c r="K826" s="56">
        <v>105000</v>
      </c>
      <c r="L826" t="s">
        <v>873</v>
      </c>
      <c r="M826" t="s">
        <v>903</v>
      </c>
      <c r="N826" t="s">
        <v>875</v>
      </c>
      <c r="O826" s="57">
        <v>45689</v>
      </c>
      <c r="P826" t="s">
        <v>877</v>
      </c>
      <c r="Q826" s="56">
        <v>75000</v>
      </c>
      <c r="R826" t="s">
        <v>842</v>
      </c>
      <c r="S826" t="s">
        <v>743</v>
      </c>
      <c r="T826" t="s">
        <v>744</v>
      </c>
      <c r="U826" t="s">
        <v>671</v>
      </c>
      <c r="V826" t="s">
        <v>23</v>
      </c>
      <c r="W826" t="s">
        <v>12</v>
      </c>
      <c r="X826" t="s">
        <v>24</v>
      </c>
      <c r="Y826" s="56">
        <f>IF(clean[[#This Row],[is_delivered]]="Yes",clean[[#This Row],[net_sales]],0 )</f>
        <v>75000</v>
      </c>
    </row>
    <row r="827" spans="1:25">
      <c r="A827" t="s">
        <v>1788</v>
      </c>
      <c r="B827" s="9">
        <v>45715</v>
      </c>
      <c r="C827" t="s">
        <v>568</v>
      </c>
      <c r="D827" t="s">
        <v>783</v>
      </c>
      <c r="E827">
        <v>1</v>
      </c>
      <c r="F827" s="56">
        <v>500000</v>
      </c>
      <c r="G827" s="56">
        <v>500000</v>
      </c>
      <c r="H827" t="s">
        <v>895</v>
      </c>
      <c r="I827" s="56">
        <v>75000</v>
      </c>
      <c r="J827" s="56">
        <v>15000</v>
      </c>
      <c r="K827" s="56">
        <v>440000</v>
      </c>
      <c r="L827" t="s">
        <v>889</v>
      </c>
      <c r="M827" t="s">
        <v>874</v>
      </c>
      <c r="N827" t="s">
        <v>875</v>
      </c>
      <c r="O827" s="57">
        <v>45689</v>
      </c>
      <c r="P827" t="s">
        <v>877</v>
      </c>
      <c r="Q827" s="56">
        <v>425000</v>
      </c>
      <c r="R827" t="s">
        <v>784</v>
      </c>
      <c r="S827" t="s">
        <v>747</v>
      </c>
      <c r="T827" t="s">
        <v>748</v>
      </c>
      <c r="U827" t="s">
        <v>569</v>
      </c>
      <c r="V827" t="s">
        <v>23</v>
      </c>
      <c r="W827" t="s">
        <v>137</v>
      </c>
      <c r="X827" t="s">
        <v>9</v>
      </c>
      <c r="Y827" s="56">
        <f>IF(clean[[#This Row],[is_delivered]]="Yes",clean[[#This Row],[net_sales]],0 )</f>
        <v>425000</v>
      </c>
    </row>
    <row r="828" spans="1:25">
      <c r="A828" t="s">
        <v>1977</v>
      </c>
      <c r="B828" s="9">
        <v>45715</v>
      </c>
      <c r="C828" t="s">
        <v>85</v>
      </c>
      <c r="D828" t="s">
        <v>749</v>
      </c>
      <c r="E828">
        <v>2</v>
      </c>
      <c r="F828" s="56">
        <v>150000</v>
      </c>
      <c r="G828" s="56">
        <v>300000</v>
      </c>
      <c r="H828" t="s">
        <v>886</v>
      </c>
      <c r="I828" s="56">
        <v>30000</v>
      </c>
      <c r="J828" s="56">
        <v>20000</v>
      </c>
      <c r="K828" s="56">
        <v>290000</v>
      </c>
      <c r="L828" t="s">
        <v>884</v>
      </c>
      <c r="M828" t="s">
        <v>881</v>
      </c>
      <c r="N828" t="s">
        <v>911</v>
      </c>
      <c r="O828" s="57">
        <v>45689</v>
      </c>
      <c r="P828" t="s">
        <v>892</v>
      </c>
      <c r="Q828" s="56">
        <v>270000</v>
      </c>
      <c r="R828" t="s">
        <v>750</v>
      </c>
      <c r="S828" t="s">
        <v>727</v>
      </c>
      <c r="T828" t="s">
        <v>728</v>
      </c>
      <c r="U828" t="s">
        <v>86</v>
      </c>
      <c r="V828" t="s">
        <v>23</v>
      </c>
      <c r="W828" t="s">
        <v>39</v>
      </c>
      <c r="X828" t="s">
        <v>9</v>
      </c>
      <c r="Y828" s="56">
        <f>IF(clean[[#This Row],[is_delivered]]="Yes",clean[[#This Row],[net_sales]],0 )</f>
        <v>0</v>
      </c>
    </row>
    <row r="829" spans="1:25">
      <c r="A829" t="s">
        <v>1983</v>
      </c>
      <c r="B829" s="9">
        <v>45715</v>
      </c>
      <c r="C829" t="s">
        <v>298</v>
      </c>
      <c r="D829" t="s">
        <v>831</v>
      </c>
      <c r="E829">
        <v>4</v>
      </c>
      <c r="F829" s="56">
        <v>300000</v>
      </c>
      <c r="G829" s="56">
        <v>1200000</v>
      </c>
      <c r="H829" t="s">
        <v>886</v>
      </c>
      <c r="I829" s="56">
        <v>120000</v>
      </c>
      <c r="J829" s="56">
        <v>30000</v>
      </c>
      <c r="K829" s="56">
        <v>1110000</v>
      </c>
      <c r="L829" t="s">
        <v>889</v>
      </c>
      <c r="M829" t="s">
        <v>881</v>
      </c>
      <c r="N829" t="s">
        <v>905</v>
      </c>
      <c r="O829" s="57">
        <v>45689</v>
      </c>
      <c r="P829" t="s">
        <v>892</v>
      </c>
      <c r="Q829" s="56">
        <v>1080000</v>
      </c>
      <c r="R829" t="s">
        <v>832</v>
      </c>
      <c r="S829" t="s">
        <v>747</v>
      </c>
      <c r="T829" t="s">
        <v>748</v>
      </c>
      <c r="U829" t="s">
        <v>299</v>
      </c>
      <c r="V829" t="s">
        <v>7</v>
      </c>
      <c r="W829" t="s">
        <v>137</v>
      </c>
      <c r="X829" t="s">
        <v>9</v>
      </c>
      <c r="Y829" s="56">
        <f>IF(clean[[#This Row],[is_delivered]]="Yes",clean[[#This Row],[net_sales]],0 )</f>
        <v>0</v>
      </c>
    </row>
    <row r="830" spans="1:25">
      <c r="A830" t="s">
        <v>2012</v>
      </c>
      <c r="B830" s="9">
        <v>45715</v>
      </c>
      <c r="C830" t="s">
        <v>194</v>
      </c>
      <c r="D830" t="s">
        <v>801</v>
      </c>
      <c r="E830">
        <v>2</v>
      </c>
      <c r="F830" s="56">
        <v>100000</v>
      </c>
      <c r="G830" s="56">
        <v>200000</v>
      </c>
      <c r="H830" t="s">
        <v>886</v>
      </c>
      <c r="I830" s="56">
        <v>20000</v>
      </c>
      <c r="J830" s="56">
        <v>20000</v>
      </c>
      <c r="K830" s="56">
        <v>200000</v>
      </c>
      <c r="L830" t="s">
        <v>880</v>
      </c>
      <c r="M830" t="s">
        <v>901</v>
      </c>
      <c r="N830" t="s">
        <v>921</v>
      </c>
      <c r="O830" s="57">
        <v>45689</v>
      </c>
      <c r="P830" t="s">
        <v>892</v>
      </c>
      <c r="Q830" s="56">
        <v>180000</v>
      </c>
      <c r="R830" t="s">
        <v>802</v>
      </c>
      <c r="S830" t="s">
        <v>735</v>
      </c>
      <c r="T830" t="s">
        <v>736</v>
      </c>
      <c r="U830" t="s">
        <v>195</v>
      </c>
      <c r="V830" t="s">
        <v>7</v>
      </c>
      <c r="W830" t="s">
        <v>36</v>
      </c>
      <c r="X830" t="s">
        <v>24</v>
      </c>
      <c r="Y830" s="56">
        <f>IF(clean[[#This Row],[is_delivered]]="Yes",clean[[#This Row],[net_sales]],0 )</f>
        <v>0</v>
      </c>
    </row>
    <row r="831" spans="1:25">
      <c r="A831" t="s">
        <v>1058</v>
      </c>
      <c r="B831" s="9">
        <v>45714</v>
      </c>
      <c r="C831" t="s">
        <v>57</v>
      </c>
      <c r="D831" t="s">
        <v>769</v>
      </c>
      <c r="E831">
        <v>4</v>
      </c>
      <c r="F831" s="56">
        <v>100000</v>
      </c>
      <c r="G831" s="56">
        <v>400000</v>
      </c>
      <c r="H831" t="s">
        <v>872</v>
      </c>
      <c r="I831" s="56">
        <v>0</v>
      </c>
      <c r="J831" s="56">
        <v>15000</v>
      </c>
      <c r="K831" s="56">
        <v>415000</v>
      </c>
      <c r="L831" t="s">
        <v>884</v>
      </c>
      <c r="M831" t="s">
        <v>881</v>
      </c>
      <c r="N831" t="s">
        <v>905</v>
      </c>
      <c r="O831" s="57">
        <v>45689</v>
      </c>
      <c r="P831" t="s">
        <v>892</v>
      </c>
      <c r="Q831" s="56">
        <v>400000</v>
      </c>
      <c r="R831" t="s">
        <v>770</v>
      </c>
      <c r="S831" t="s">
        <v>743</v>
      </c>
      <c r="T831" t="s">
        <v>744</v>
      </c>
      <c r="U831" t="s">
        <v>58</v>
      </c>
      <c r="V831" t="s">
        <v>23</v>
      </c>
      <c r="W831" t="s">
        <v>8</v>
      </c>
      <c r="X831" t="s">
        <v>9</v>
      </c>
      <c r="Y831" s="56">
        <f>IF(clean[[#This Row],[is_delivered]]="Yes",clean[[#This Row],[net_sales]],0 )</f>
        <v>0</v>
      </c>
    </row>
    <row r="832" spans="1:25">
      <c r="A832" t="s">
        <v>981</v>
      </c>
      <c r="B832" s="9">
        <v>45714</v>
      </c>
      <c r="C832" t="s">
        <v>146</v>
      </c>
      <c r="D832" t="s">
        <v>843</v>
      </c>
      <c r="E832">
        <v>2</v>
      </c>
      <c r="F832" s="56">
        <v>100000</v>
      </c>
      <c r="G832" s="56">
        <v>200000</v>
      </c>
      <c r="H832" t="s">
        <v>895</v>
      </c>
      <c r="I832" s="56">
        <v>30000</v>
      </c>
      <c r="J832" s="56">
        <v>30000</v>
      </c>
      <c r="K832" s="56">
        <v>200000</v>
      </c>
      <c r="L832" t="s">
        <v>873</v>
      </c>
      <c r="M832" t="s">
        <v>881</v>
      </c>
      <c r="N832" t="s">
        <v>875</v>
      </c>
      <c r="O832" s="57">
        <v>45689</v>
      </c>
      <c r="P832" t="s">
        <v>877</v>
      </c>
      <c r="Q832" s="56">
        <v>170000</v>
      </c>
      <c r="R832" t="s">
        <v>844</v>
      </c>
      <c r="S832" t="s">
        <v>747</v>
      </c>
      <c r="T832" t="s">
        <v>748</v>
      </c>
      <c r="U832" t="s">
        <v>147</v>
      </c>
      <c r="V832" t="s">
        <v>7</v>
      </c>
      <c r="W832" t="s">
        <v>51</v>
      </c>
      <c r="X832" t="s">
        <v>24</v>
      </c>
      <c r="Y832" s="56">
        <f>IF(clean[[#This Row],[is_delivered]]="Yes",clean[[#This Row],[net_sales]],0 )</f>
        <v>170000</v>
      </c>
    </row>
    <row r="833" spans="1:25">
      <c r="A833" t="s">
        <v>1095</v>
      </c>
      <c r="B833" s="9">
        <v>45714</v>
      </c>
      <c r="C833" t="s">
        <v>252</v>
      </c>
      <c r="D833" t="s">
        <v>841</v>
      </c>
      <c r="E833">
        <v>3</v>
      </c>
      <c r="F833" s="56">
        <v>75000</v>
      </c>
      <c r="G833" s="56">
        <v>225000</v>
      </c>
      <c r="H833" t="s">
        <v>895</v>
      </c>
      <c r="I833" s="56">
        <v>33750</v>
      </c>
      <c r="J833" s="56">
        <v>20000</v>
      </c>
      <c r="K833" s="56">
        <v>211250</v>
      </c>
      <c r="L833" t="s">
        <v>880</v>
      </c>
      <c r="M833" t="s">
        <v>901</v>
      </c>
      <c r="N833" t="s">
        <v>890</v>
      </c>
      <c r="O833" s="57">
        <v>45689</v>
      </c>
      <c r="P833" t="s">
        <v>892</v>
      </c>
      <c r="Q833" s="56">
        <v>191250</v>
      </c>
      <c r="R833" t="s">
        <v>842</v>
      </c>
      <c r="S833" t="s">
        <v>743</v>
      </c>
      <c r="T833" t="s">
        <v>744</v>
      </c>
      <c r="U833" t="s">
        <v>253</v>
      </c>
      <c r="V833" t="s">
        <v>7</v>
      </c>
      <c r="W833" t="s">
        <v>29</v>
      </c>
      <c r="X833" t="s">
        <v>9</v>
      </c>
      <c r="Y833" s="56">
        <f>IF(clean[[#This Row],[is_delivered]]="Yes",clean[[#This Row],[net_sales]],0 )</f>
        <v>0</v>
      </c>
    </row>
    <row r="834" spans="1:25">
      <c r="A834" t="s">
        <v>1203</v>
      </c>
      <c r="B834" s="9">
        <v>45714</v>
      </c>
      <c r="C834" t="s">
        <v>294</v>
      </c>
      <c r="D834" t="s">
        <v>815</v>
      </c>
      <c r="E834">
        <v>4</v>
      </c>
      <c r="F834" s="56">
        <v>75000</v>
      </c>
      <c r="G834" s="56">
        <v>300000</v>
      </c>
      <c r="H834" t="s">
        <v>872</v>
      </c>
      <c r="I834" s="56">
        <v>0</v>
      </c>
      <c r="J834" s="56">
        <v>20000</v>
      </c>
      <c r="K834" s="56">
        <v>320000</v>
      </c>
      <c r="L834" t="s">
        <v>889</v>
      </c>
      <c r="M834" t="s">
        <v>874</v>
      </c>
      <c r="N834" t="s">
        <v>875</v>
      </c>
      <c r="O834" s="57">
        <v>45689</v>
      </c>
      <c r="P834" t="s">
        <v>877</v>
      </c>
      <c r="Q834" s="56">
        <v>300000</v>
      </c>
      <c r="R834" t="s">
        <v>816</v>
      </c>
      <c r="S834" t="s">
        <v>739</v>
      </c>
      <c r="T834" t="s">
        <v>740</v>
      </c>
      <c r="U834" t="s">
        <v>295</v>
      </c>
      <c r="V834" t="s">
        <v>23</v>
      </c>
      <c r="W834" t="s">
        <v>39</v>
      </c>
      <c r="X834" t="s">
        <v>9</v>
      </c>
      <c r="Y834" s="56">
        <f>IF(clean[[#This Row],[is_delivered]]="Yes",clean[[#This Row],[net_sales]],0 )</f>
        <v>300000</v>
      </c>
    </row>
    <row r="835" spans="1:25">
      <c r="A835" t="s">
        <v>1577</v>
      </c>
      <c r="B835" s="9">
        <v>45714</v>
      </c>
      <c r="C835" t="s">
        <v>380</v>
      </c>
      <c r="D835" t="s">
        <v>825</v>
      </c>
      <c r="E835">
        <v>2</v>
      </c>
      <c r="F835" s="56">
        <v>100000</v>
      </c>
      <c r="G835" s="56">
        <v>200000</v>
      </c>
      <c r="H835" t="s">
        <v>895</v>
      </c>
      <c r="I835" s="56">
        <v>30000</v>
      </c>
      <c r="J835" s="56">
        <v>30000</v>
      </c>
      <c r="K835" s="56">
        <v>200000</v>
      </c>
      <c r="L835" t="s">
        <v>884</v>
      </c>
      <c r="M835" t="s">
        <v>901</v>
      </c>
      <c r="N835" t="s">
        <v>875</v>
      </c>
      <c r="O835" s="57">
        <v>45689</v>
      </c>
      <c r="P835" t="s">
        <v>877</v>
      </c>
      <c r="Q835" s="56">
        <v>170000</v>
      </c>
      <c r="R835" t="s">
        <v>826</v>
      </c>
      <c r="S835" t="s">
        <v>735</v>
      </c>
      <c r="T835" t="s">
        <v>736</v>
      </c>
      <c r="U835" t="s">
        <v>381</v>
      </c>
      <c r="V835" t="s">
        <v>23</v>
      </c>
      <c r="W835" t="s">
        <v>39</v>
      </c>
      <c r="X835" t="s">
        <v>9</v>
      </c>
      <c r="Y835" s="56">
        <f>IF(clean[[#This Row],[is_delivered]]="Yes",clean[[#This Row],[net_sales]],0 )</f>
        <v>170000</v>
      </c>
    </row>
    <row r="836" spans="1:25">
      <c r="A836" t="s">
        <v>1621</v>
      </c>
      <c r="B836" s="9">
        <v>45714</v>
      </c>
      <c r="C836" t="s">
        <v>410</v>
      </c>
      <c r="D836" t="s">
        <v>845</v>
      </c>
      <c r="E836">
        <v>3</v>
      </c>
      <c r="F836" s="56">
        <v>300000</v>
      </c>
      <c r="G836" s="56">
        <v>900000</v>
      </c>
      <c r="H836" t="s">
        <v>886</v>
      </c>
      <c r="I836" s="56">
        <v>90000</v>
      </c>
      <c r="J836" s="56">
        <v>25000</v>
      </c>
      <c r="K836" s="56">
        <v>835000</v>
      </c>
      <c r="L836" t="s">
        <v>889</v>
      </c>
      <c r="M836" t="s">
        <v>874</v>
      </c>
      <c r="N836" t="s">
        <v>875</v>
      </c>
      <c r="O836" s="57">
        <v>45689</v>
      </c>
      <c r="P836" t="s">
        <v>877</v>
      </c>
      <c r="Q836" s="56">
        <v>810000</v>
      </c>
      <c r="R836" t="s">
        <v>846</v>
      </c>
      <c r="S836" t="s">
        <v>727</v>
      </c>
      <c r="T836" t="s">
        <v>728</v>
      </c>
      <c r="U836" t="s">
        <v>411</v>
      </c>
      <c r="V836" t="s">
        <v>7</v>
      </c>
      <c r="W836" t="s">
        <v>46</v>
      </c>
      <c r="X836" t="s">
        <v>9</v>
      </c>
      <c r="Y836" s="56">
        <f>IF(clean[[#This Row],[is_delivered]]="Yes",clean[[#This Row],[net_sales]],0 )</f>
        <v>810000</v>
      </c>
    </row>
    <row r="837" spans="1:25">
      <c r="A837" t="s">
        <v>1853</v>
      </c>
      <c r="B837" s="9">
        <v>45714</v>
      </c>
      <c r="C837" t="s">
        <v>692</v>
      </c>
      <c r="D837" t="s">
        <v>813</v>
      </c>
      <c r="E837">
        <v>1</v>
      </c>
      <c r="F837" s="56">
        <v>35000</v>
      </c>
      <c r="G837" s="56">
        <v>35000</v>
      </c>
      <c r="H837" t="s">
        <v>872</v>
      </c>
      <c r="I837" s="56">
        <v>0</v>
      </c>
      <c r="J837" s="56">
        <v>30000</v>
      </c>
      <c r="K837" s="56">
        <v>65000</v>
      </c>
      <c r="L837" t="s">
        <v>884</v>
      </c>
      <c r="M837" t="s">
        <v>881</v>
      </c>
      <c r="N837" t="s">
        <v>875</v>
      </c>
      <c r="O837" s="57">
        <v>45689</v>
      </c>
      <c r="P837" t="s">
        <v>877</v>
      </c>
      <c r="Q837" s="56">
        <v>35000</v>
      </c>
      <c r="R837" t="s">
        <v>814</v>
      </c>
      <c r="S837" t="s">
        <v>735</v>
      </c>
      <c r="T837" t="s">
        <v>736</v>
      </c>
      <c r="U837" t="s">
        <v>693</v>
      </c>
      <c r="V837" t="s">
        <v>23</v>
      </c>
      <c r="W837" t="s">
        <v>36</v>
      </c>
      <c r="X837" t="s">
        <v>9</v>
      </c>
      <c r="Y837" s="56">
        <f>IF(clean[[#This Row],[is_delivered]]="Yes",clean[[#This Row],[net_sales]],0 )</f>
        <v>35000</v>
      </c>
    </row>
    <row r="838" spans="1:25">
      <c r="A838" t="s">
        <v>1910</v>
      </c>
      <c r="B838" s="9">
        <v>45714</v>
      </c>
      <c r="C838" t="s">
        <v>416</v>
      </c>
      <c r="D838" t="s">
        <v>769</v>
      </c>
      <c r="E838">
        <v>1</v>
      </c>
      <c r="F838" s="56">
        <v>100000</v>
      </c>
      <c r="G838" s="56">
        <v>100000</v>
      </c>
      <c r="H838" t="s">
        <v>886</v>
      </c>
      <c r="I838" s="56">
        <v>10000</v>
      </c>
      <c r="J838" s="56">
        <v>30000</v>
      </c>
      <c r="K838" s="56">
        <v>120000</v>
      </c>
      <c r="L838" t="s">
        <v>884</v>
      </c>
      <c r="M838" t="s">
        <v>901</v>
      </c>
      <c r="N838" t="s">
        <v>875</v>
      </c>
      <c r="O838" s="57">
        <v>45689</v>
      </c>
      <c r="P838" t="s">
        <v>877</v>
      </c>
      <c r="Q838" s="56">
        <v>90000</v>
      </c>
      <c r="R838" t="s">
        <v>770</v>
      </c>
      <c r="S838" t="s">
        <v>743</v>
      </c>
      <c r="T838" t="s">
        <v>744</v>
      </c>
      <c r="U838" t="s">
        <v>417</v>
      </c>
      <c r="V838" t="s">
        <v>23</v>
      </c>
      <c r="W838" t="s">
        <v>39</v>
      </c>
      <c r="X838" t="s">
        <v>15</v>
      </c>
      <c r="Y838" s="56">
        <f>IF(clean[[#This Row],[is_delivered]]="Yes",clean[[#This Row],[net_sales]],0 )</f>
        <v>90000</v>
      </c>
    </row>
    <row r="839" spans="1:25">
      <c r="A839" t="s">
        <v>2027</v>
      </c>
      <c r="B839" s="9">
        <v>45714</v>
      </c>
      <c r="C839" t="s">
        <v>258</v>
      </c>
      <c r="D839" t="s">
        <v>839</v>
      </c>
      <c r="E839">
        <v>1</v>
      </c>
      <c r="F839" s="56">
        <v>200000</v>
      </c>
      <c r="G839" s="56">
        <v>200000</v>
      </c>
      <c r="H839" t="s">
        <v>883</v>
      </c>
      <c r="I839" s="56">
        <v>20000</v>
      </c>
      <c r="J839" s="56">
        <v>20000</v>
      </c>
      <c r="K839" s="56">
        <v>200000</v>
      </c>
      <c r="L839" t="s">
        <v>889</v>
      </c>
      <c r="M839" t="s">
        <v>874</v>
      </c>
      <c r="N839" t="s">
        <v>875</v>
      </c>
      <c r="O839" s="57">
        <v>45689</v>
      </c>
      <c r="P839" t="s">
        <v>877</v>
      </c>
      <c r="Q839" s="56">
        <v>180000</v>
      </c>
      <c r="R839" t="s">
        <v>840</v>
      </c>
      <c r="S839" t="s">
        <v>739</v>
      </c>
      <c r="T839" t="s">
        <v>740</v>
      </c>
      <c r="U839" t="s">
        <v>259</v>
      </c>
      <c r="V839" t="s">
        <v>7</v>
      </c>
      <c r="W839" t="s">
        <v>56</v>
      </c>
      <c r="X839" t="s">
        <v>9</v>
      </c>
      <c r="Y839" s="56">
        <f>IF(clean[[#This Row],[is_delivered]]="Yes",clean[[#This Row],[net_sales]],0 )</f>
        <v>180000</v>
      </c>
    </row>
    <row r="840" spans="1:25">
      <c r="A840" t="s">
        <v>2094</v>
      </c>
      <c r="B840" s="9">
        <v>45714</v>
      </c>
      <c r="C840" t="s">
        <v>184</v>
      </c>
      <c r="D840" t="s">
        <v>801</v>
      </c>
      <c r="E840">
        <v>1</v>
      </c>
      <c r="F840" s="56">
        <v>100000</v>
      </c>
      <c r="G840" s="56">
        <v>100000</v>
      </c>
      <c r="H840" t="s">
        <v>886</v>
      </c>
      <c r="I840" s="56">
        <v>10000</v>
      </c>
      <c r="J840" s="56">
        <v>20000</v>
      </c>
      <c r="K840" s="56">
        <v>110000</v>
      </c>
      <c r="L840" t="s">
        <v>889</v>
      </c>
      <c r="M840" t="s">
        <v>881</v>
      </c>
      <c r="N840" t="s">
        <v>875</v>
      </c>
      <c r="O840" s="57">
        <v>45689</v>
      </c>
      <c r="P840" t="s">
        <v>877</v>
      </c>
      <c r="Q840" s="56">
        <v>90000</v>
      </c>
      <c r="R840" t="s">
        <v>802</v>
      </c>
      <c r="S840" t="s">
        <v>735</v>
      </c>
      <c r="T840" t="s">
        <v>736</v>
      </c>
      <c r="U840" t="s">
        <v>185</v>
      </c>
      <c r="V840" t="s">
        <v>23</v>
      </c>
      <c r="W840" t="s">
        <v>12</v>
      </c>
      <c r="X840" t="s">
        <v>15</v>
      </c>
      <c r="Y840" s="56">
        <f>IF(clean[[#This Row],[is_delivered]]="Yes",clean[[#This Row],[net_sales]],0 )</f>
        <v>90000</v>
      </c>
    </row>
    <row r="841" spans="1:25">
      <c r="A841" t="s">
        <v>2096</v>
      </c>
      <c r="B841" s="9">
        <v>45714</v>
      </c>
      <c r="C841" t="s">
        <v>470</v>
      </c>
      <c r="D841" t="s">
        <v>737</v>
      </c>
      <c r="E841">
        <v>3</v>
      </c>
      <c r="F841" s="56">
        <v>300000</v>
      </c>
      <c r="G841" s="56">
        <v>900000</v>
      </c>
      <c r="H841" t="s">
        <v>872</v>
      </c>
      <c r="I841" s="56">
        <v>0</v>
      </c>
      <c r="J841" s="56">
        <v>15000</v>
      </c>
      <c r="K841" s="56">
        <v>915000</v>
      </c>
      <c r="L841" t="s">
        <v>889</v>
      </c>
      <c r="M841" t="s">
        <v>881</v>
      </c>
      <c r="N841" t="s">
        <v>875</v>
      </c>
      <c r="O841" s="57">
        <v>45689</v>
      </c>
      <c r="P841" t="s">
        <v>877</v>
      </c>
      <c r="Q841" s="56">
        <v>900000</v>
      </c>
      <c r="R841" t="s">
        <v>738</v>
      </c>
      <c r="S841" t="s">
        <v>739</v>
      </c>
      <c r="T841" t="s">
        <v>740</v>
      </c>
      <c r="U841" t="s">
        <v>471</v>
      </c>
      <c r="V841" t="s">
        <v>7</v>
      </c>
      <c r="W841" t="s">
        <v>36</v>
      </c>
      <c r="X841" t="s">
        <v>24</v>
      </c>
      <c r="Y841" s="56">
        <f>IF(clean[[#This Row],[is_delivered]]="Yes",clean[[#This Row],[net_sales]],0 )</f>
        <v>900000</v>
      </c>
    </row>
    <row r="842" spans="1:25">
      <c r="A842" t="s">
        <v>916</v>
      </c>
      <c r="B842" s="9">
        <v>45713</v>
      </c>
      <c r="C842" t="s">
        <v>596</v>
      </c>
      <c r="D842" t="s">
        <v>851</v>
      </c>
      <c r="E842">
        <v>2</v>
      </c>
      <c r="F842" s="56">
        <v>35000</v>
      </c>
      <c r="G842" s="56">
        <v>70000</v>
      </c>
      <c r="H842" t="s">
        <v>872</v>
      </c>
      <c r="I842" s="56">
        <v>0</v>
      </c>
      <c r="J842" s="56">
        <v>20000</v>
      </c>
      <c r="K842" s="56">
        <v>90000</v>
      </c>
      <c r="L842" t="s">
        <v>889</v>
      </c>
      <c r="M842" t="s">
        <v>874</v>
      </c>
      <c r="N842" t="s">
        <v>875</v>
      </c>
      <c r="O842" s="57">
        <v>45689</v>
      </c>
      <c r="P842" t="s">
        <v>877</v>
      </c>
      <c r="Q842" s="56">
        <v>70000</v>
      </c>
      <c r="R842" t="s">
        <v>852</v>
      </c>
      <c r="S842" t="s">
        <v>739</v>
      </c>
      <c r="T842" t="s">
        <v>740</v>
      </c>
      <c r="U842" t="s">
        <v>597</v>
      </c>
      <c r="V842" t="s">
        <v>23</v>
      </c>
      <c r="W842" t="s">
        <v>137</v>
      </c>
      <c r="X842" t="s">
        <v>24</v>
      </c>
      <c r="Y842" s="56">
        <f>IF(clean[[#This Row],[is_delivered]]="Yes",clean[[#This Row],[net_sales]],0 )</f>
        <v>70000</v>
      </c>
    </row>
    <row r="843" spans="1:25">
      <c r="A843" t="s">
        <v>1239</v>
      </c>
      <c r="B843" s="9">
        <v>45713</v>
      </c>
      <c r="C843" t="s">
        <v>392</v>
      </c>
      <c r="D843" t="s">
        <v>777</v>
      </c>
      <c r="E843">
        <v>1</v>
      </c>
      <c r="F843" s="56">
        <v>200000</v>
      </c>
      <c r="G843" s="56">
        <v>200000</v>
      </c>
      <c r="H843" t="s">
        <v>883</v>
      </c>
      <c r="I843" s="56">
        <v>20000</v>
      </c>
      <c r="J843" s="56">
        <v>25000</v>
      </c>
      <c r="K843" s="56">
        <v>205000</v>
      </c>
      <c r="L843" t="s">
        <v>889</v>
      </c>
      <c r="M843" t="s">
        <v>874</v>
      </c>
      <c r="N843" t="s">
        <v>875</v>
      </c>
      <c r="O843" s="57">
        <v>45689</v>
      </c>
      <c r="P843" t="s">
        <v>877</v>
      </c>
      <c r="Q843" s="56">
        <v>180000</v>
      </c>
      <c r="R843" t="s">
        <v>778</v>
      </c>
      <c r="S843" t="s">
        <v>735</v>
      </c>
      <c r="T843" t="s">
        <v>736</v>
      </c>
      <c r="U843" t="s">
        <v>393</v>
      </c>
      <c r="V843" t="s">
        <v>7</v>
      </c>
      <c r="W843" t="s">
        <v>20</v>
      </c>
      <c r="X843" t="s">
        <v>9</v>
      </c>
      <c r="Y843" s="56">
        <f>IF(clean[[#This Row],[is_delivered]]="Yes",clean[[#This Row],[net_sales]],0 )</f>
        <v>180000</v>
      </c>
    </row>
    <row r="844" spans="1:25">
      <c r="A844" t="s">
        <v>1274</v>
      </c>
      <c r="B844" s="9">
        <v>45713</v>
      </c>
      <c r="C844" t="s">
        <v>392</v>
      </c>
      <c r="D844" t="s">
        <v>847</v>
      </c>
      <c r="E844">
        <v>4</v>
      </c>
      <c r="F844" s="56">
        <v>100000</v>
      </c>
      <c r="G844" s="56">
        <v>400000</v>
      </c>
      <c r="H844" t="s">
        <v>872</v>
      </c>
      <c r="I844" s="56">
        <v>0</v>
      </c>
      <c r="J844" s="56">
        <v>20000</v>
      </c>
      <c r="K844" s="56">
        <v>420000</v>
      </c>
      <c r="L844" t="s">
        <v>880</v>
      </c>
      <c r="M844" t="s">
        <v>903</v>
      </c>
      <c r="N844" t="s">
        <v>911</v>
      </c>
      <c r="O844" s="57">
        <v>45689</v>
      </c>
      <c r="P844" t="s">
        <v>892</v>
      </c>
      <c r="Q844" s="56">
        <v>400000</v>
      </c>
      <c r="R844" t="s">
        <v>848</v>
      </c>
      <c r="S844" t="s">
        <v>731</v>
      </c>
      <c r="T844" t="s">
        <v>732</v>
      </c>
      <c r="U844" t="s">
        <v>393</v>
      </c>
      <c r="V844" t="s">
        <v>7</v>
      </c>
      <c r="W844" t="s">
        <v>20</v>
      </c>
      <c r="X844" t="s">
        <v>9</v>
      </c>
      <c r="Y844" s="56">
        <f>IF(clean[[#This Row],[is_delivered]]="Yes",clean[[#This Row],[net_sales]],0 )</f>
        <v>0</v>
      </c>
    </row>
    <row r="845" spans="1:25">
      <c r="A845" t="s">
        <v>1294</v>
      </c>
      <c r="B845" s="9">
        <v>45713</v>
      </c>
      <c r="C845" t="s">
        <v>238</v>
      </c>
      <c r="D845" t="s">
        <v>751</v>
      </c>
      <c r="E845">
        <v>2</v>
      </c>
      <c r="F845" s="56">
        <v>150000</v>
      </c>
      <c r="G845" s="56">
        <v>300000</v>
      </c>
      <c r="H845" t="s">
        <v>872</v>
      </c>
      <c r="I845" s="56">
        <v>0</v>
      </c>
      <c r="J845" s="56">
        <v>25000</v>
      </c>
      <c r="K845" s="56">
        <v>325000</v>
      </c>
      <c r="L845" t="s">
        <v>889</v>
      </c>
      <c r="M845" t="s">
        <v>881</v>
      </c>
      <c r="N845" t="s">
        <v>875</v>
      </c>
      <c r="O845" s="57">
        <v>45689</v>
      </c>
      <c r="P845" t="s">
        <v>877</v>
      </c>
      <c r="Q845" s="56">
        <v>300000</v>
      </c>
      <c r="R845" t="s">
        <v>752</v>
      </c>
      <c r="S845" t="s">
        <v>731</v>
      </c>
      <c r="T845" t="s">
        <v>732</v>
      </c>
      <c r="U845" t="s">
        <v>239</v>
      </c>
      <c r="V845" t="s">
        <v>23</v>
      </c>
      <c r="W845" t="s">
        <v>46</v>
      </c>
      <c r="X845" t="s">
        <v>9</v>
      </c>
      <c r="Y845" s="56">
        <f>IF(clean[[#This Row],[is_delivered]]="Yes",clean[[#This Row],[net_sales]],0 )</f>
        <v>300000</v>
      </c>
    </row>
    <row r="846" spans="1:25">
      <c r="A846" t="s">
        <v>1701</v>
      </c>
      <c r="B846" s="9">
        <v>45713</v>
      </c>
      <c r="C846" t="s">
        <v>129</v>
      </c>
      <c r="D846" t="s">
        <v>843</v>
      </c>
      <c r="E846">
        <v>2</v>
      </c>
      <c r="F846" s="56">
        <v>100000</v>
      </c>
      <c r="G846" s="56">
        <v>200000</v>
      </c>
      <c r="H846" t="s">
        <v>886</v>
      </c>
      <c r="I846" s="56">
        <v>20000</v>
      </c>
      <c r="J846" s="56">
        <v>20000</v>
      </c>
      <c r="K846" s="56">
        <v>200000</v>
      </c>
      <c r="L846" t="s">
        <v>873</v>
      </c>
      <c r="M846" t="s">
        <v>881</v>
      </c>
      <c r="N846" t="s">
        <v>911</v>
      </c>
      <c r="O846" s="57">
        <v>45689</v>
      </c>
      <c r="P846" t="s">
        <v>892</v>
      </c>
      <c r="Q846" s="56">
        <v>180000</v>
      </c>
      <c r="R846" t="s">
        <v>844</v>
      </c>
      <c r="S846" t="s">
        <v>747</v>
      </c>
      <c r="T846" t="s">
        <v>748</v>
      </c>
      <c r="U846" t="s">
        <v>130</v>
      </c>
      <c r="V846" t="s">
        <v>23</v>
      </c>
      <c r="W846" t="s">
        <v>8</v>
      </c>
      <c r="X846" t="s">
        <v>24</v>
      </c>
      <c r="Y846" s="56">
        <f>IF(clean[[#This Row],[is_delivered]]="Yes",clean[[#This Row],[net_sales]],0 )</f>
        <v>0</v>
      </c>
    </row>
    <row r="847" spans="1:25">
      <c r="A847" t="s">
        <v>920</v>
      </c>
      <c r="B847" s="9">
        <v>45712</v>
      </c>
      <c r="C847" t="s">
        <v>624</v>
      </c>
      <c r="D847" t="s">
        <v>759</v>
      </c>
      <c r="E847">
        <v>3</v>
      </c>
      <c r="F847" s="56">
        <v>300000</v>
      </c>
      <c r="G847" s="56">
        <v>900000</v>
      </c>
      <c r="H847" t="s">
        <v>883</v>
      </c>
      <c r="I847" s="56">
        <v>90000</v>
      </c>
      <c r="J847" s="56">
        <v>30000</v>
      </c>
      <c r="K847" s="56">
        <v>840000</v>
      </c>
      <c r="L847" t="s">
        <v>873</v>
      </c>
      <c r="M847" t="s">
        <v>881</v>
      </c>
      <c r="N847" t="s">
        <v>921</v>
      </c>
      <c r="O847" s="57">
        <v>45689</v>
      </c>
      <c r="P847" t="s">
        <v>892</v>
      </c>
      <c r="Q847" s="56">
        <v>810000</v>
      </c>
      <c r="R847" t="s">
        <v>760</v>
      </c>
      <c r="S847" t="s">
        <v>747</v>
      </c>
      <c r="T847" t="s">
        <v>748</v>
      </c>
      <c r="U847" t="s">
        <v>625</v>
      </c>
      <c r="V847" t="s">
        <v>7</v>
      </c>
      <c r="W847" t="s">
        <v>56</v>
      </c>
      <c r="X847" t="s">
        <v>9</v>
      </c>
      <c r="Y847" s="56">
        <f>IF(clean[[#This Row],[is_delivered]]="Yes",clean[[#This Row],[net_sales]],0 )</f>
        <v>0</v>
      </c>
    </row>
    <row r="848" spans="1:25">
      <c r="A848" t="s">
        <v>988</v>
      </c>
      <c r="B848" s="9">
        <v>45712</v>
      </c>
      <c r="C848" t="s">
        <v>256</v>
      </c>
      <c r="D848" t="s">
        <v>787</v>
      </c>
      <c r="E848">
        <v>1</v>
      </c>
      <c r="F848" s="56">
        <v>200000</v>
      </c>
      <c r="G848" s="56">
        <v>200000</v>
      </c>
      <c r="H848" t="s">
        <v>883</v>
      </c>
      <c r="I848" s="56">
        <v>20000</v>
      </c>
      <c r="J848" s="56">
        <v>10000</v>
      </c>
      <c r="K848" s="56">
        <v>190000</v>
      </c>
      <c r="L848" t="s">
        <v>884</v>
      </c>
      <c r="M848" t="s">
        <v>901</v>
      </c>
      <c r="N848" t="s">
        <v>890</v>
      </c>
      <c r="O848" s="57">
        <v>45689</v>
      </c>
      <c r="P848" t="s">
        <v>892</v>
      </c>
      <c r="Q848" s="56">
        <v>180000</v>
      </c>
      <c r="R848" t="s">
        <v>788</v>
      </c>
      <c r="S848" t="s">
        <v>731</v>
      </c>
      <c r="T848" t="s">
        <v>732</v>
      </c>
      <c r="U848" t="s">
        <v>257</v>
      </c>
      <c r="V848" t="s">
        <v>7</v>
      </c>
      <c r="W848" t="s">
        <v>8</v>
      </c>
      <c r="X848" t="s">
        <v>9</v>
      </c>
      <c r="Y848" s="56">
        <f>IF(clean[[#This Row],[is_delivered]]="Yes",clean[[#This Row],[net_sales]],0 )</f>
        <v>0</v>
      </c>
    </row>
    <row r="849" spans="1:25">
      <c r="A849" t="s">
        <v>1015</v>
      </c>
      <c r="B849" s="9">
        <v>45712</v>
      </c>
      <c r="C849" t="s">
        <v>434</v>
      </c>
      <c r="D849" t="s">
        <v>819</v>
      </c>
      <c r="E849">
        <v>3</v>
      </c>
      <c r="F849" s="56">
        <v>300000</v>
      </c>
      <c r="G849" s="56">
        <v>900000</v>
      </c>
      <c r="H849" t="s">
        <v>872</v>
      </c>
      <c r="I849" s="56">
        <v>0</v>
      </c>
      <c r="J849" s="56">
        <v>25000</v>
      </c>
      <c r="K849" s="56">
        <v>925000</v>
      </c>
      <c r="L849" t="s">
        <v>880</v>
      </c>
      <c r="M849" t="s">
        <v>874</v>
      </c>
      <c r="N849" t="s">
        <v>875</v>
      </c>
      <c r="O849" s="57">
        <v>45689</v>
      </c>
      <c r="P849" t="s">
        <v>877</v>
      </c>
      <c r="Q849" s="56">
        <v>900000</v>
      </c>
      <c r="R849" t="s">
        <v>820</v>
      </c>
      <c r="S849" t="s">
        <v>747</v>
      </c>
      <c r="T849" t="s">
        <v>748</v>
      </c>
      <c r="U849" t="s">
        <v>435</v>
      </c>
      <c r="V849" t="s">
        <v>23</v>
      </c>
      <c r="W849" t="s">
        <v>137</v>
      </c>
      <c r="X849" t="s">
        <v>9</v>
      </c>
      <c r="Y849" s="56">
        <f>IF(clean[[#This Row],[is_delivered]]="Yes",clean[[#This Row],[net_sales]],0 )</f>
        <v>900000</v>
      </c>
    </row>
    <row r="850" spans="1:25">
      <c r="A850" t="s">
        <v>1020</v>
      </c>
      <c r="B850" s="9">
        <v>45712</v>
      </c>
      <c r="C850" t="s">
        <v>542</v>
      </c>
      <c r="D850" t="s">
        <v>805</v>
      </c>
      <c r="E850">
        <v>3</v>
      </c>
      <c r="F850" s="56">
        <v>200000</v>
      </c>
      <c r="G850" s="56">
        <v>600000</v>
      </c>
      <c r="H850" t="s">
        <v>872</v>
      </c>
      <c r="I850" s="56">
        <v>0</v>
      </c>
      <c r="J850" s="56">
        <v>25000</v>
      </c>
      <c r="K850" s="56">
        <v>625000</v>
      </c>
      <c r="L850" t="s">
        <v>880</v>
      </c>
      <c r="M850" t="s">
        <v>901</v>
      </c>
      <c r="N850" t="s">
        <v>875</v>
      </c>
      <c r="O850" s="57">
        <v>45689</v>
      </c>
      <c r="P850" t="s">
        <v>877</v>
      </c>
      <c r="Q850" s="56">
        <v>600000</v>
      </c>
      <c r="R850" t="s">
        <v>806</v>
      </c>
      <c r="S850" t="s">
        <v>743</v>
      </c>
      <c r="T850" t="s">
        <v>744</v>
      </c>
      <c r="U850" t="s">
        <v>543</v>
      </c>
      <c r="V850" t="s">
        <v>7</v>
      </c>
      <c r="W850" t="s">
        <v>46</v>
      </c>
      <c r="X850" t="s">
        <v>9</v>
      </c>
      <c r="Y850" s="56">
        <f>IF(clean[[#This Row],[is_delivered]]="Yes",clean[[#This Row],[net_sales]],0 )</f>
        <v>600000</v>
      </c>
    </row>
    <row r="851" spans="1:25">
      <c r="A851" t="s">
        <v>1059</v>
      </c>
      <c r="B851" s="9">
        <v>45712</v>
      </c>
      <c r="C851" t="s">
        <v>526</v>
      </c>
      <c r="D851" t="s">
        <v>783</v>
      </c>
      <c r="E851">
        <v>1</v>
      </c>
      <c r="F851" s="56">
        <v>500000</v>
      </c>
      <c r="G851" s="56">
        <v>500000</v>
      </c>
      <c r="H851" t="s">
        <v>883</v>
      </c>
      <c r="I851" s="56">
        <v>50000</v>
      </c>
      <c r="J851" s="56">
        <v>10000</v>
      </c>
      <c r="K851" s="56">
        <v>460000</v>
      </c>
      <c r="L851" t="s">
        <v>873</v>
      </c>
      <c r="M851" t="s">
        <v>874</v>
      </c>
      <c r="N851" t="s">
        <v>875</v>
      </c>
      <c r="O851" s="57">
        <v>45689</v>
      </c>
      <c r="P851" t="s">
        <v>877</v>
      </c>
      <c r="Q851" s="56">
        <v>450000</v>
      </c>
      <c r="R851" t="s">
        <v>784</v>
      </c>
      <c r="S851" t="s">
        <v>747</v>
      </c>
      <c r="T851" t="s">
        <v>748</v>
      </c>
      <c r="U851" t="s">
        <v>527</v>
      </c>
      <c r="V851" t="s">
        <v>7</v>
      </c>
      <c r="W851" t="s">
        <v>36</v>
      </c>
      <c r="X851" t="s">
        <v>9</v>
      </c>
      <c r="Y851" s="56">
        <f>IF(clean[[#This Row],[is_delivered]]="Yes",clean[[#This Row],[net_sales]],0 )</f>
        <v>450000</v>
      </c>
    </row>
    <row r="852" spans="1:25">
      <c r="A852" t="s">
        <v>1498</v>
      </c>
      <c r="B852" s="9">
        <v>45712</v>
      </c>
      <c r="C852" t="s">
        <v>326</v>
      </c>
      <c r="D852" t="s">
        <v>805</v>
      </c>
      <c r="E852">
        <v>2</v>
      </c>
      <c r="F852" s="56">
        <v>200000</v>
      </c>
      <c r="G852" s="56">
        <v>400000</v>
      </c>
      <c r="H852" t="s">
        <v>895</v>
      </c>
      <c r="I852" s="56">
        <v>60000</v>
      </c>
      <c r="J852" s="56">
        <v>30000</v>
      </c>
      <c r="K852" s="56">
        <v>370000</v>
      </c>
      <c r="L852" t="s">
        <v>873</v>
      </c>
      <c r="M852" t="s">
        <v>903</v>
      </c>
      <c r="N852" t="s">
        <v>890</v>
      </c>
      <c r="O852" s="57">
        <v>45689</v>
      </c>
      <c r="P852" t="s">
        <v>892</v>
      </c>
      <c r="Q852" s="56">
        <v>340000</v>
      </c>
      <c r="R852" t="s">
        <v>806</v>
      </c>
      <c r="S852" t="s">
        <v>743</v>
      </c>
      <c r="T852" t="s">
        <v>744</v>
      </c>
      <c r="U852" t="s">
        <v>327</v>
      </c>
      <c r="V852" t="s">
        <v>7</v>
      </c>
      <c r="W852" t="s">
        <v>8</v>
      </c>
      <c r="X852" t="s">
        <v>9</v>
      </c>
      <c r="Y852" s="56">
        <f>IF(clean[[#This Row],[is_delivered]]="Yes",clean[[#This Row],[net_sales]],0 )</f>
        <v>0</v>
      </c>
    </row>
    <row r="853" spans="1:25">
      <c r="A853" t="s">
        <v>1544</v>
      </c>
      <c r="B853" s="9">
        <v>45712</v>
      </c>
      <c r="C853" t="s">
        <v>642</v>
      </c>
      <c r="D853" t="s">
        <v>737</v>
      </c>
      <c r="E853">
        <v>4</v>
      </c>
      <c r="F853" s="56">
        <v>300000</v>
      </c>
      <c r="G853" s="56">
        <v>1200000</v>
      </c>
      <c r="H853" t="s">
        <v>886</v>
      </c>
      <c r="I853" s="56">
        <v>120000</v>
      </c>
      <c r="J853" s="56">
        <v>25000</v>
      </c>
      <c r="K853" s="56">
        <v>1105000</v>
      </c>
      <c r="L853" t="s">
        <v>889</v>
      </c>
      <c r="M853" t="s">
        <v>903</v>
      </c>
      <c r="N853" t="s">
        <v>905</v>
      </c>
      <c r="O853" s="57">
        <v>45689</v>
      </c>
      <c r="P853" t="s">
        <v>892</v>
      </c>
      <c r="Q853" s="56">
        <v>1080000</v>
      </c>
      <c r="R853" t="s">
        <v>738</v>
      </c>
      <c r="S853" t="s">
        <v>739</v>
      </c>
      <c r="T853" t="s">
        <v>740</v>
      </c>
      <c r="U853" t="s">
        <v>643</v>
      </c>
      <c r="V853" t="s">
        <v>23</v>
      </c>
      <c r="W853" t="s">
        <v>137</v>
      </c>
      <c r="X853" t="s">
        <v>24</v>
      </c>
      <c r="Y853" s="56">
        <f>IF(clean[[#This Row],[is_delivered]]="Yes",clean[[#This Row],[net_sales]],0 )</f>
        <v>0</v>
      </c>
    </row>
    <row r="854" spans="1:25">
      <c r="A854" t="s">
        <v>913</v>
      </c>
      <c r="B854" s="9">
        <v>45711</v>
      </c>
      <c r="C854" t="s">
        <v>404</v>
      </c>
      <c r="D854" t="s">
        <v>837</v>
      </c>
      <c r="E854">
        <v>2</v>
      </c>
      <c r="F854" s="56">
        <v>300000</v>
      </c>
      <c r="G854" s="56">
        <v>600000</v>
      </c>
      <c r="H854" t="s">
        <v>883</v>
      </c>
      <c r="I854" s="56">
        <v>60000</v>
      </c>
      <c r="J854" s="56">
        <v>20000</v>
      </c>
      <c r="K854" s="56">
        <v>560000</v>
      </c>
      <c r="L854" t="s">
        <v>889</v>
      </c>
      <c r="M854" t="s">
        <v>901</v>
      </c>
      <c r="N854" t="s">
        <v>875</v>
      </c>
      <c r="O854" s="57">
        <v>45689</v>
      </c>
      <c r="P854" t="s">
        <v>877</v>
      </c>
      <c r="Q854" s="56">
        <v>540000</v>
      </c>
      <c r="R854" t="s">
        <v>838</v>
      </c>
      <c r="S854" t="s">
        <v>735</v>
      </c>
      <c r="T854" t="s">
        <v>736</v>
      </c>
      <c r="U854" t="s">
        <v>405</v>
      </c>
      <c r="V854" t="s">
        <v>23</v>
      </c>
      <c r="W854" t="s">
        <v>39</v>
      </c>
      <c r="X854" t="s">
        <v>15</v>
      </c>
      <c r="Y854" s="56">
        <f>IF(clean[[#This Row],[is_delivered]]="Yes",clean[[#This Row],[net_sales]],0 )</f>
        <v>540000</v>
      </c>
    </row>
    <row r="855" spans="1:25">
      <c r="A855" t="s">
        <v>1166</v>
      </c>
      <c r="B855" s="9">
        <v>45711</v>
      </c>
      <c r="C855" t="s">
        <v>218</v>
      </c>
      <c r="D855" t="s">
        <v>825</v>
      </c>
      <c r="E855">
        <v>4</v>
      </c>
      <c r="F855" s="56">
        <v>100000</v>
      </c>
      <c r="G855" s="56">
        <v>400000</v>
      </c>
      <c r="H855" t="s">
        <v>879</v>
      </c>
      <c r="I855" s="56">
        <v>80000</v>
      </c>
      <c r="J855" s="56">
        <v>25000</v>
      </c>
      <c r="K855" s="56">
        <v>345000</v>
      </c>
      <c r="L855" t="s">
        <v>884</v>
      </c>
      <c r="M855" t="s">
        <v>874</v>
      </c>
      <c r="N855" t="s">
        <v>875</v>
      </c>
      <c r="O855" s="57">
        <v>45689</v>
      </c>
      <c r="P855" t="s">
        <v>877</v>
      </c>
      <c r="Q855" s="56">
        <v>320000</v>
      </c>
      <c r="R855" t="s">
        <v>826</v>
      </c>
      <c r="S855" t="s">
        <v>735</v>
      </c>
      <c r="T855" t="s">
        <v>736</v>
      </c>
      <c r="U855" t="s">
        <v>219</v>
      </c>
      <c r="V855" t="s">
        <v>23</v>
      </c>
      <c r="W855" t="s">
        <v>137</v>
      </c>
      <c r="X855" t="s">
        <v>9</v>
      </c>
      <c r="Y855" s="56">
        <f>IF(clean[[#This Row],[is_delivered]]="Yes",clean[[#This Row],[net_sales]],0 )</f>
        <v>320000</v>
      </c>
    </row>
    <row r="856" spans="1:25">
      <c r="A856" t="s">
        <v>1454</v>
      </c>
      <c r="B856" s="9">
        <v>45711</v>
      </c>
      <c r="C856" t="s">
        <v>386</v>
      </c>
      <c r="D856" t="s">
        <v>813</v>
      </c>
      <c r="E856">
        <v>3</v>
      </c>
      <c r="F856" s="56">
        <v>35000</v>
      </c>
      <c r="G856" s="56">
        <v>105000</v>
      </c>
      <c r="H856" t="s">
        <v>872</v>
      </c>
      <c r="I856" s="56">
        <v>0</v>
      </c>
      <c r="J856" s="56">
        <v>20000</v>
      </c>
      <c r="K856" s="56">
        <v>125000</v>
      </c>
      <c r="L856" t="s">
        <v>880</v>
      </c>
      <c r="M856" t="s">
        <v>874</v>
      </c>
      <c r="N856" t="s">
        <v>911</v>
      </c>
      <c r="O856" s="57">
        <v>45689</v>
      </c>
      <c r="P856" t="s">
        <v>892</v>
      </c>
      <c r="Q856" s="56">
        <v>105000</v>
      </c>
      <c r="R856" t="s">
        <v>814</v>
      </c>
      <c r="S856" t="s">
        <v>735</v>
      </c>
      <c r="T856" t="s">
        <v>736</v>
      </c>
      <c r="U856" t="s">
        <v>387</v>
      </c>
      <c r="V856" t="s">
        <v>7</v>
      </c>
      <c r="W856" t="s">
        <v>36</v>
      </c>
      <c r="X856" t="s">
        <v>9</v>
      </c>
      <c r="Y856" s="56">
        <f>IF(clean[[#This Row],[is_delivered]]="Yes",clean[[#This Row],[net_sales]],0 )</f>
        <v>0</v>
      </c>
    </row>
    <row r="857" spans="1:25">
      <c r="A857" t="s">
        <v>1499</v>
      </c>
      <c r="B857" s="9">
        <v>45711</v>
      </c>
      <c r="C857" t="s">
        <v>654</v>
      </c>
      <c r="D857" t="s">
        <v>725</v>
      </c>
      <c r="E857">
        <v>1</v>
      </c>
      <c r="F857" s="56">
        <v>300000</v>
      </c>
      <c r="G857" s="56">
        <v>300000</v>
      </c>
      <c r="H857" t="s">
        <v>886</v>
      </c>
      <c r="I857" s="56">
        <v>30000</v>
      </c>
      <c r="J857" s="56">
        <v>30000</v>
      </c>
      <c r="K857" s="56">
        <v>300000</v>
      </c>
      <c r="L857" t="s">
        <v>889</v>
      </c>
      <c r="M857" t="s">
        <v>874</v>
      </c>
      <c r="N857" t="s">
        <v>875</v>
      </c>
      <c r="O857" s="57">
        <v>45689</v>
      </c>
      <c r="P857" t="s">
        <v>877</v>
      </c>
      <c r="Q857" s="56">
        <v>270000</v>
      </c>
      <c r="R857" t="s">
        <v>726</v>
      </c>
      <c r="S857" t="s">
        <v>727</v>
      </c>
      <c r="T857" t="s">
        <v>728</v>
      </c>
      <c r="U857" t="s">
        <v>655</v>
      </c>
      <c r="V857" t="s">
        <v>7</v>
      </c>
      <c r="W857" t="s">
        <v>36</v>
      </c>
      <c r="X857" t="s">
        <v>24</v>
      </c>
      <c r="Y857" s="56">
        <f>IF(clean[[#This Row],[is_delivered]]="Yes",clean[[#This Row],[net_sales]],0 )</f>
        <v>270000</v>
      </c>
    </row>
    <row r="858" spans="1:25">
      <c r="A858" t="s">
        <v>1717</v>
      </c>
      <c r="B858" s="9">
        <v>45711</v>
      </c>
      <c r="C858" t="s">
        <v>85</v>
      </c>
      <c r="D858" t="s">
        <v>835</v>
      </c>
      <c r="E858">
        <v>4</v>
      </c>
      <c r="F858" s="56">
        <v>200000</v>
      </c>
      <c r="G858" s="56">
        <v>800000</v>
      </c>
      <c r="H858" t="s">
        <v>879</v>
      </c>
      <c r="I858" s="56">
        <v>160000</v>
      </c>
      <c r="J858" s="56">
        <v>10000</v>
      </c>
      <c r="K858" s="56">
        <v>650000</v>
      </c>
      <c r="L858" t="s">
        <v>889</v>
      </c>
      <c r="M858" t="s">
        <v>881</v>
      </c>
      <c r="N858" t="s">
        <v>875</v>
      </c>
      <c r="O858" s="57">
        <v>45689</v>
      </c>
      <c r="P858" t="s">
        <v>877</v>
      </c>
      <c r="Q858" s="56">
        <v>640000</v>
      </c>
      <c r="R858" t="s">
        <v>836</v>
      </c>
      <c r="S858" t="s">
        <v>731</v>
      </c>
      <c r="T858" t="s">
        <v>732</v>
      </c>
      <c r="U858" t="s">
        <v>86</v>
      </c>
      <c r="V858" t="s">
        <v>23</v>
      </c>
      <c r="W858" t="s">
        <v>39</v>
      </c>
      <c r="X858" t="s">
        <v>9</v>
      </c>
      <c r="Y858" s="56">
        <f>IF(clean[[#This Row],[is_delivered]]="Yes",clean[[#This Row],[net_sales]],0 )</f>
        <v>640000</v>
      </c>
    </row>
    <row r="859" spans="1:25">
      <c r="A859" t="s">
        <v>1814</v>
      </c>
      <c r="B859" s="9">
        <v>45711</v>
      </c>
      <c r="C859" t="s">
        <v>570</v>
      </c>
      <c r="D859" t="s">
        <v>765</v>
      </c>
      <c r="E859">
        <v>4</v>
      </c>
      <c r="F859" s="56">
        <v>500000</v>
      </c>
      <c r="G859" s="56">
        <v>2000000</v>
      </c>
      <c r="H859" t="s">
        <v>883</v>
      </c>
      <c r="I859" s="56">
        <v>200000</v>
      </c>
      <c r="J859" s="56">
        <v>25000</v>
      </c>
      <c r="K859" s="56">
        <v>1825000</v>
      </c>
      <c r="L859" t="s">
        <v>873</v>
      </c>
      <c r="M859" t="s">
        <v>903</v>
      </c>
      <c r="N859" t="s">
        <v>875</v>
      </c>
      <c r="O859" s="57">
        <v>45689</v>
      </c>
      <c r="P859" t="s">
        <v>877</v>
      </c>
      <c r="Q859" s="56">
        <v>1800000</v>
      </c>
      <c r="R859" t="s">
        <v>766</v>
      </c>
      <c r="S859" t="s">
        <v>735</v>
      </c>
      <c r="T859" t="s">
        <v>736</v>
      </c>
      <c r="U859" t="s">
        <v>571</v>
      </c>
      <c r="V859" t="s">
        <v>23</v>
      </c>
      <c r="W859" t="s">
        <v>56</v>
      </c>
      <c r="X859" t="s">
        <v>9</v>
      </c>
      <c r="Y859" s="56">
        <f>IF(clean[[#This Row],[is_delivered]]="Yes",clean[[#This Row],[net_sales]],0 )</f>
        <v>1800000</v>
      </c>
    </row>
    <row r="860" spans="1:25">
      <c r="A860" t="s">
        <v>1854</v>
      </c>
      <c r="B860" s="9">
        <v>45711</v>
      </c>
      <c r="C860" t="s">
        <v>226</v>
      </c>
      <c r="D860" t="s">
        <v>779</v>
      </c>
      <c r="E860">
        <v>1</v>
      </c>
      <c r="F860" s="56">
        <v>150000</v>
      </c>
      <c r="G860" s="56">
        <v>150000</v>
      </c>
      <c r="H860" t="s">
        <v>872</v>
      </c>
      <c r="I860" s="56">
        <v>0</v>
      </c>
      <c r="J860" s="56">
        <v>10000</v>
      </c>
      <c r="K860" s="56">
        <v>160000</v>
      </c>
      <c r="L860" t="s">
        <v>884</v>
      </c>
      <c r="M860" t="s">
        <v>903</v>
      </c>
      <c r="N860" t="s">
        <v>905</v>
      </c>
      <c r="O860" s="57">
        <v>45689</v>
      </c>
      <c r="P860" t="s">
        <v>892</v>
      </c>
      <c r="Q860" s="56">
        <v>150000</v>
      </c>
      <c r="R860" t="s">
        <v>780</v>
      </c>
      <c r="S860" t="s">
        <v>739</v>
      </c>
      <c r="T860" t="s">
        <v>740</v>
      </c>
      <c r="U860" t="s">
        <v>227</v>
      </c>
      <c r="V860" t="s">
        <v>23</v>
      </c>
      <c r="W860" t="s">
        <v>29</v>
      </c>
      <c r="X860" t="s">
        <v>9</v>
      </c>
      <c r="Y860" s="56">
        <f>IF(clean[[#This Row],[is_delivered]]="Yes",clean[[#This Row],[net_sales]],0 )</f>
        <v>0</v>
      </c>
    </row>
    <row r="861" spans="1:25">
      <c r="A861" t="s">
        <v>904</v>
      </c>
      <c r="B861" s="9">
        <v>45710</v>
      </c>
      <c r="C861" t="s">
        <v>702</v>
      </c>
      <c r="D861" t="s">
        <v>823</v>
      </c>
      <c r="E861">
        <v>1</v>
      </c>
      <c r="F861" s="56">
        <v>500000</v>
      </c>
      <c r="G861" s="56">
        <v>500000</v>
      </c>
      <c r="H861" t="s">
        <v>886</v>
      </c>
      <c r="I861" s="56">
        <v>50000</v>
      </c>
      <c r="J861" s="56">
        <v>10000</v>
      </c>
      <c r="K861" s="56">
        <v>460000</v>
      </c>
      <c r="L861" t="s">
        <v>884</v>
      </c>
      <c r="M861" t="s">
        <v>903</v>
      </c>
      <c r="N861" t="s">
        <v>905</v>
      </c>
      <c r="O861" s="57">
        <v>45689</v>
      </c>
      <c r="P861" t="s">
        <v>892</v>
      </c>
      <c r="Q861" s="56">
        <v>450000</v>
      </c>
      <c r="R861" t="s">
        <v>824</v>
      </c>
      <c r="S861" t="s">
        <v>731</v>
      </c>
      <c r="T861" t="s">
        <v>732</v>
      </c>
      <c r="U861" t="s">
        <v>703</v>
      </c>
      <c r="V861" t="s">
        <v>23</v>
      </c>
      <c r="W861" t="s">
        <v>20</v>
      </c>
      <c r="X861" t="s">
        <v>9</v>
      </c>
      <c r="Y861" s="56">
        <f>IF(clean[[#This Row],[is_delivered]]="Yes",clean[[#This Row],[net_sales]],0 )</f>
        <v>0</v>
      </c>
    </row>
    <row r="862" spans="1:25">
      <c r="A862" t="s">
        <v>912</v>
      </c>
      <c r="B862" s="9">
        <v>45710</v>
      </c>
      <c r="C862" t="s">
        <v>364</v>
      </c>
      <c r="D862" t="s">
        <v>769</v>
      </c>
      <c r="E862">
        <v>1</v>
      </c>
      <c r="F862" s="56">
        <v>100000</v>
      </c>
      <c r="G862" s="56">
        <v>100000</v>
      </c>
      <c r="H862" t="s">
        <v>872</v>
      </c>
      <c r="I862" s="56">
        <v>0</v>
      </c>
      <c r="J862" s="56">
        <v>25000</v>
      </c>
      <c r="K862" s="56">
        <v>125000</v>
      </c>
      <c r="L862" t="s">
        <v>873</v>
      </c>
      <c r="M862" t="s">
        <v>903</v>
      </c>
      <c r="N862" t="s">
        <v>875</v>
      </c>
      <c r="O862" s="57">
        <v>45689</v>
      </c>
      <c r="P862" t="s">
        <v>877</v>
      </c>
      <c r="Q862" s="56">
        <v>100000</v>
      </c>
      <c r="R862" t="s">
        <v>770</v>
      </c>
      <c r="S862" t="s">
        <v>743</v>
      </c>
      <c r="T862" t="s">
        <v>744</v>
      </c>
      <c r="U862" t="s">
        <v>365</v>
      </c>
      <c r="V862" t="s">
        <v>23</v>
      </c>
      <c r="W862" t="s">
        <v>46</v>
      </c>
      <c r="X862" t="s">
        <v>24</v>
      </c>
      <c r="Y862" s="56">
        <f>IF(clean[[#This Row],[is_delivered]]="Yes",clean[[#This Row],[net_sales]],0 )</f>
        <v>100000</v>
      </c>
    </row>
    <row r="863" spans="1:25">
      <c r="A863" t="s">
        <v>1414</v>
      </c>
      <c r="B863" s="9">
        <v>45710</v>
      </c>
      <c r="C863" t="s">
        <v>678</v>
      </c>
      <c r="D863" t="s">
        <v>853</v>
      </c>
      <c r="E863">
        <v>4</v>
      </c>
      <c r="F863" s="56">
        <v>75000</v>
      </c>
      <c r="G863" s="56">
        <v>300000</v>
      </c>
      <c r="H863" t="s">
        <v>872</v>
      </c>
      <c r="I863" s="56">
        <v>0</v>
      </c>
      <c r="J863" s="56">
        <v>20000</v>
      </c>
      <c r="K863" s="56">
        <v>320000</v>
      </c>
      <c r="L863" t="s">
        <v>873</v>
      </c>
      <c r="M863" t="s">
        <v>881</v>
      </c>
      <c r="N863" t="s">
        <v>875</v>
      </c>
      <c r="O863" s="57">
        <v>45689</v>
      </c>
      <c r="P863" t="s">
        <v>877</v>
      </c>
      <c r="Q863" s="56">
        <v>300000</v>
      </c>
      <c r="R863" t="s">
        <v>854</v>
      </c>
      <c r="S863" t="s">
        <v>743</v>
      </c>
      <c r="T863" t="s">
        <v>744</v>
      </c>
      <c r="U863" t="s">
        <v>679</v>
      </c>
      <c r="V863" t="s">
        <v>7</v>
      </c>
      <c r="W863" t="s">
        <v>46</v>
      </c>
      <c r="X863" t="s">
        <v>9</v>
      </c>
      <c r="Y863" s="56">
        <f>IF(clean[[#This Row],[is_delivered]]="Yes",clean[[#This Row],[net_sales]],0 )</f>
        <v>300000</v>
      </c>
    </row>
    <row r="864" spans="1:25">
      <c r="A864" t="s">
        <v>1425</v>
      </c>
      <c r="B864" s="9">
        <v>45710</v>
      </c>
      <c r="C864" t="s">
        <v>69</v>
      </c>
      <c r="D864" t="s">
        <v>827</v>
      </c>
      <c r="E864">
        <v>3</v>
      </c>
      <c r="F864" s="56">
        <v>100000</v>
      </c>
      <c r="G864" s="56">
        <v>300000</v>
      </c>
      <c r="H864" t="s">
        <v>886</v>
      </c>
      <c r="I864" s="56">
        <v>30000</v>
      </c>
      <c r="J864" s="56">
        <v>20000</v>
      </c>
      <c r="K864" s="56">
        <v>290000</v>
      </c>
      <c r="L864" t="s">
        <v>889</v>
      </c>
      <c r="M864" t="s">
        <v>901</v>
      </c>
      <c r="N864" t="s">
        <v>905</v>
      </c>
      <c r="O864" s="57">
        <v>45689</v>
      </c>
      <c r="P864" t="s">
        <v>892</v>
      </c>
      <c r="Q864" s="56">
        <v>270000</v>
      </c>
      <c r="R864" t="s">
        <v>828</v>
      </c>
      <c r="S864" t="s">
        <v>739</v>
      </c>
      <c r="T864" t="s">
        <v>740</v>
      </c>
      <c r="U864" t="s">
        <v>70</v>
      </c>
      <c r="V864" t="s">
        <v>7</v>
      </c>
      <c r="W864" t="s">
        <v>29</v>
      </c>
      <c r="X864" t="s">
        <v>9</v>
      </c>
      <c r="Y864" s="56">
        <f>IF(clean[[#This Row],[is_delivered]]="Yes",clean[[#This Row],[net_sales]],0 )</f>
        <v>0</v>
      </c>
    </row>
    <row r="865" spans="1:25">
      <c r="A865" t="s">
        <v>2005</v>
      </c>
      <c r="B865" s="9">
        <v>45710</v>
      </c>
      <c r="C865" t="s">
        <v>52</v>
      </c>
      <c r="D865" t="s">
        <v>781</v>
      </c>
      <c r="E865">
        <v>2</v>
      </c>
      <c r="F865" s="56">
        <v>50000</v>
      </c>
      <c r="G865" s="56">
        <v>100000</v>
      </c>
      <c r="H865" t="s">
        <v>879</v>
      </c>
      <c r="I865" s="56">
        <v>20000</v>
      </c>
      <c r="J865" s="56">
        <v>20000</v>
      </c>
      <c r="K865" s="56">
        <v>100000</v>
      </c>
      <c r="L865" t="s">
        <v>884</v>
      </c>
      <c r="M865" t="s">
        <v>881</v>
      </c>
      <c r="N865" t="s">
        <v>875</v>
      </c>
      <c r="O865" s="57">
        <v>45689</v>
      </c>
      <c r="P865" t="s">
        <v>877</v>
      </c>
      <c r="Q865" s="56">
        <v>80000</v>
      </c>
      <c r="R865" t="s">
        <v>782</v>
      </c>
      <c r="S865" t="s">
        <v>743</v>
      </c>
      <c r="T865" t="s">
        <v>744</v>
      </c>
      <c r="U865" t="s">
        <v>53</v>
      </c>
      <c r="V865" t="s">
        <v>23</v>
      </c>
      <c r="W865" t="s">
        <v>51</v>
      </c>
      <c r="X865" t="s">
        <v>24</v>
      </c>
      <c r="Y865" s="56">
        <f>IF(clean[[#This Row],[is_delivered]]="Yes",clean[[#This Row],[net_sales]],0 )</f>
        <v>80000</v>
      </c>
    </row>
    <row r="866" spans="1:25">
      <c r="A866" t="s">
        <v>2013</v>
      </c>
      <c r="B866" s="9">
        <v>45710</v>
      </c>
      <c r="C866" t="s">
        <v>480</v>
      </c>
      <c r="D866" t="s">
        <v>789</v>
      </c>
      <c r="E866">
        <v>4</v>
      </c>
      <c r="F866" s="56">
        <v>200000</v>
      </c>
      <c r="G866" s="56">
        <v>800000</v>
      </c>
      <c r="H866" t="s">
        <v>872</v>
      </c>
      <c r="I866" s="56">
        <v>0</v>
      </c>
      <c r="J866" s="56">
        <v>25000</v>
      </c>
      <c r="K866" s="56">
        <v>825000</v>
      </c>
      <c r="L866" t="s">
        <v>889</v>
      </c>
      <c r="M866" t="s">
        <v>901</v>
      </c>
      <c r="N866" t="s">
        <v>875</v>
      </c>
      <c r="O866" s="57">
        <v>45689</v>
      </c>
      <c r="P866" t="s">
        <v>877</v>
      </c>
      <c r="Q866" s="56">
        <v>800000</v>
      </c>
      <c r="R866" t="s">
        <v>790</v>
      </c>
      <c r="S866" t="s">
        <v>735</v>
      </c>
      <c r="T866" t="s">
        <v>736</v>
      </c>
      <c r="U866" t="s">
        <v>481</v>
      </c>
      <c r="V866" t="s">
        <v>7</v>
      </c>
      <c r="W866" t="s">
        <v>8</v>
      </c>
      <c r="X866" t="s">
        <v>24</v>
      </c>
      <c r="Y866" s="56">
        <f>IF(clean[[#This Row],[is_delivered]]="Yes",clean[[#This Row],[net_sales]],0 )</f>
        <v>800000</v>
      </c>
    </row>
    <row r="867" spans="1:25">
      <c r="A867" t="s">
        <v>1245</v>
      </c>
      <c r="B867" s="9">
        <v>45709</v>
      </c>
      <c r="C867" t="s">
        <v>706</v>
      </c>
      <c r="D867" t="s">
        <v>785</v>
      </c>
      <c r="E867">
        <v>2</v>
      </c>
      <c r="F867" s="56">
        <v>100000</v>
      </c>
      <c r="G867" s="56">
        <v>200000</v>
      </c>
      <c r="H867" t="s">
        <v>895</v>
      </c>
      <c r="I867" s="56">
        <v>30000</v>
      </c>
      <c r="J867" s="56">
        <v>15000</v>
      </c>
      <c r="K867" s="56">
        <v>185000</v>
      </c>
      <c r="L867" t="s">
        <v>880</v>
      </c>
      <c r="M867" t="s">
        <v>874</v>
      </c>
      <c r="N867" t="s">
        <v>875</v>
      </c>
      <c r="O867" s="57">
        <v>45689</v>
      </c>
      <c r="P867" t="s">
        <v>877</v>
      </c>
      <c r="Q867" s="56">
        <v>170000</v>
      </c>
      <c r="R867" t="s">
        <v>786</v>
      </c>
      <c r="S867" t="s">
        <v>727</v>
      </c>
      <c r="T867" t="s">
        <v>728</v>
      </c>
      <c r="U867" t="s">
        <v>707</v>
      </c>
      <c r="V867" t="s">
        <v>7</v>
      </c>
      <c r="W867" t="s">
        <v>39</v>
      </c>
      <c r="X867" t="s">
        <v>9</v>
      </c>
      <c r="Y867" s="56">
        <f>IF(clean[[#This Row],[is_delivered]]="Yes",clean[[#This Row],[net_sales]],0 )</f>
        <v>170000</v>
      </c>
    </row>
    <row r="868" spans="1:25">
      <c r="A868" t="s">
        <v>1030</v>
      </c>
      <c r="B868" s="9">
        <v>45709</v>
      </c>
      <c r="C868" t="s">
        <v>460</v>
      </c>
      <c r="D868" t="s">
        <v>839</v>
      </c>
      <c r="E868">
        <v>2</v>
      </c>
      <c r="F868" s="56">
        <v>200000</v>
      </c>
      <c r="G868" s="56">
        <v>400000</v>
      </c>
      <c r="H868" t="s">
        <v>895</v>
      </c>
      <c r="I868" s="56">
        <v>60000</v>
      </c>
      <c r="J868" s="56">
        <v>30000</v>
      </c>
      <c r="K868" s="56">
        <v>370000</v>
      </c>
      <c r="L868" t="s">
        <v>884</v>
      </c>
      <c r="M868" t="s">
        <v>881</v>
      </c>
      <c r="N868" t="s">
        <v>875</v>
      </c>
      <c r="O868" s="57">
        <v>45689</v>
      </c>
      <c r="P868" t="s">
        <v>877</v>
      </c>
      <c r="Q868" s="56">
        <v>340000</v>
      </c>
      <c r="R868" t="s">
        <v>840</v>
      </c>
      <c r="S868" t="s">
        <v>739</v>
      </c>
      <c r="T868" t="s">
        <v>740</v>
      </c>
      <c r="U868" t="s">
        <v>461</v>
      </c>
      <c r="V868" t="s">
        <v>23</v>
      </c>
      <c r="W868" t="s">
        <v>51</v>
      </c>
      <c r="X868" t="s">
        <v>9</v>
      </c>
      <c r="Y868" s="56">
        <f>IF(clean[[#This Row],[is_delivered]]="Yes",clean[[#This Row],[net_sales]],0 )</f>
        <v>340000</v>
      </c>
    </row>
    <row r="869" spans="1:25">
      <c r="A869" t="s">
        <v>1212</v>
      </c>
      <c r="B869" s="9">
        <v>45709</v>
      </c>
      <c r="C869" t="s">
        <v>508</v>
      </c>
      <c r="D869" t="s">
        <v>733</v>
      </c>
      <c r="E869">
        <v>1</v>
      </c>
      <c r="F869" s="56">
        <v>150000</v>
      </c>
      <c r="G869" s="56">
        <v>150000</v>
      </c>
      <c r="H869" t="s">
        <v>872</v>
      </c>
      <c r="I869" s="56">
        <v>0</v>
      </c>
      <c r="J869" s="56">
        <v>10000</v>
      </c>
      <c r="K869" s="56">
        <v>160000</v>
      </c>
      <c r="L869" t="s">
        <v>873</v>
      </c>
      <c r="M869" t="s">
        <v>881</v>
      </c>
      <c r="N869" t="s">
        <v>890</v>
      </c>
      <c r="O869" s="57">
        <v>45689</v>
      </c>
      <c r="P869" t="s">
        <v>892</v>
      </c>
      <c r="Q869" s="56">
        <v>150000</v>
      </c>
      <c r="R869" t="s">
        <v>734</v>
      </c>
      <c r="S869" t="s">
        <v>735</v>
      </c>
      <c r="T869" t="s">
        <v>736</v>
      </c>
      <c r="U869" t="s">
        <v>509</v>
      </c>
      <c r="V869" t="s">
        <v>23</v>
      </c>
      <c r="W869" t="s">
        <v>8</v>
      </c>
      <c r="X869" t="s">
        <v>9</v>
      </c>
      <c r="Y869" s="56">
        <f>IF(clean[[#This Row],[is_delivered]]="Yes",clean[[#This Row],[net_sales]],0 )</f>
        <v>0</v>
      </c>
    </row>
    <row r="870" spans="1:25">
      <c r="A870" t="s">
        <v>1473</v>
      </c>
      <c r="B870" s="9">
        <v>45709</v>
      </c>
      <c r="C870" t="s">
        <v>588</v>
      </c>
      <c r="D870" t="s">
        <v>777</v>
      </c>
      <c r="E870">
        <v>1</v>
      </c>
      <c r="F870" s="56">
        <v>200000</v>
      </c>
      <c r="G870" s="56">
        <v>200000</v>
      </c>
      <c r="H870" t="s">
        <v>879</v>
      </c>
      <c r="I870" s="56">
        <v>40000</v>
      </c>
      <c r="J870" s="56">
        <v>20000</v>
      </c>
      <c r="K870" s="56">
        <v>180000</v>
      </c>
      <c r="L870" t="s">
        <v>889</v>
      </c>
      <c r="M870" t="s">
        <v>2106</v>
      </c>
      <c r="N870" t="s">
        <v>875</v>
      </c>
      <c r="O870" s="57">
        <v>45689</v>
      </c>
      <c r="P870" t="s">
        <v>877</v>
      </c>
      <c r="Q870" s="56">
        <v>160000</v>
      </c>
      <c r="R870" t="s">
        <v>778</v>
      </c>
      <c r="S870" t="s">
        <v>735</v>
      </c>
      <c r="T870" t="s">
        <v>736</v>
      </c>
      <c r="U870" t="s">
        <v>589</v>
      </c>
      <c r="V870" t="s">
        <v>7</v>
      </c>
      <c r="W870" t="s">
        <v>39</v>
      </c>
      <c r="X870" t="s">
        <v>9</v>
      </c>
      <c r="Y870" s="56">
        <f>IF(clean[[#This Row],[is_delivered]]="Yes",clean[[#This Row],[net_sales]],0 )</f>
        <v>160000</v>
      </c>
    </row>
    <row r="871" spans="1:25">
      <c r="A871" t="s">
        <v>1478</v>
      </c>
      <c r="B871" s="9">
        <v>45709</v>
      </c>
      <c r="C871" t="s">
        <v>700</v>
      </c>
      <c r="D871" t="s">
        <v>793</v>
      </c>
      <c r="E871">
        <v>3</v>
      </c>
      <c r="F871" s="56">
        <v>500000</v>
      </c>
      <c r="G871" s="56">
        <v>1500000</v>
      </c>
      <c r="H871" t="s">
        <v>895</v>
      </c>
      <c r="I871" s="56">
        <v>225000</v>
      </c>
      <c r="J871" s="56">
        <v>25000</v>
      </c>
      <c r="K871" s="56">
        <v>1300000</v>
      </c>
      <c r="L871" t="s">
        <v>880</v>
      </c>
      <c r="M871" t="s">
        <v>881</v>
      </c>
      <c r="N871" t="s">
        <v>875</v>
      </c>
      <c r="O871" s="57">
        <v>45689</v>
      </c>
      <c r="P871" t="s">
        <v>877</v>
      </c>
      <c r="Q871" s="56">
        <v>1275000</v>
      </c>
      <c r="R871" t="s">
        <v>794</v>
      </c>
      <c r="S871" t="s">
        <v>743</v>
      </c>
      <c r="T871" t="s">
        <v>744</v>
      </c>
      <c r="U871" t="s">
        <v>701</v>
      </c>
      <c r="V871" t="s">
        <v>23</v>
      </c>
      <c r="W871" t="s">
        <v>12</v>
      </c>
      <c r="X871" t="s">
        <v>9</v>
      </c>
      <c r="Y871" s="56">
        <f>IF(clean[[#This Row],[is_delivered]]="Yes",clean[[#This Row],[net_sales]],0 )</f>
        <v>1275000</v>
      </c>
    </row>
    <row r="872" spans="1:25">
      <c r="A872" t="s">
        <v>1795</v>
      </c>
      <c r="B872" s="9">
        <v>45709</v>
      </c>
      <c r="C872" t="s">
        <v>194</v>
      </c>
      <c r="D872" t="s">
        <v>849</v>
      </c>
      <c r="E872">
        <v>1</v>
      </c>
      <c r="F872" s="56">
        <v>500000</v>
      </c>
      <c r="G872" s="56">
        <v>500000</v>
      </c>
      <c r="H872" t="s">
        <v>872</v>
      </c>
      <c r="I872" s="56">
        <v>0</v>
      </c>
      <c r="J872" s="56">
        <v>10000</v>
      </c>
      <c r="K872" s="56">
        <v>510000</v>
      </c>
      <c r="L872" t="s">
        <v>884</v>
      </c>
      <c r="M872" t="s">
        <v>874</v>
      </c>
      <c r="N872" t="s">
        <v>875</v>
      </c>
      <c r="O872" s="57">
        <v>45689</v>
      </c>
      <c r="P872" t="s">
        <v>877</v>
      </c>
      <c r="Q872" s="56">
        <v>500000</v>
      </c>
      <c r="R872" t="s">
        <v>850</v>
      </c>
      <c r="S872" t="s">
        <v>735</v>
      </c>
      <c r="T872" t="s">
        <v>736</v>
      </c>
      <c r="U872" t="s">
        <v>195</v>
      </c>
      <c r="V872" t="s">
        <v>7</v>
      </c>
      <c r="W872" t="s">
        <v>36</v>
      </c>
      <c r="X872" t="s">
        <v>24</v>
      </c>
      <c r="Y872" s="56">
        <f>IF(clean[[#This Row],[is_delivered]]="Yes",clean[[#This Row],[net_sales]],0 )</f>
        <v>500000</v>
      </c>
    </row>
    <row r="873" spans="1:25">
      <c r="A873" t="s">
        <v>1930</v>
      </c>
      <c r="B873" s="9">
        <v>45709</v>
      </c>
      <c r="C873" t="s">
        <v>344</v>
      </c>
      <c r="D873" t="s">
        <v>819</v>
      </c>
      <c r="E873">
        <v>1</v>
      </c>
      <c r="F873" s="56">
        <v>300000</v>
      </c>
      <c r="G873" s="56">
        <v>300000</v>
      </c>
      <c r="H873" t="s">
        <v>886</v>
      </c>
      <c r="I873" s="56">
        <v>30000</v>
      </c>
      <c r="J873" s="56">
        <v>10000</v>
      </c>
      <c r="K873" s="56">
        <v>280000</v>
      </c>
      <c r="L873" t="s">
        <v>884</v>
      </c>
      <c r="M873" t="s">
        <v>901</v>
      </c>
      <c r="N873" t="s">
        <v>875</v>
      </c>
      <c r="O873" s="57">
        <v>45689</v>
      </c>
      <c r="P873" t="s">
        <v>877</v>
      </c>
      <c r="Q873" s="56">
        <v>270000</v>
      </c>
      <c r="R873" t="s">
        <v>820</v>
      </c>
      <c r="S873" t="s">
        <v>747</v>
      </c>
      <c r="T873" t="s">
        <v>748</v>
      </c>
      <c r="U873" t="s">
        <v>345</v>
      </c>
      <c r="V873" t="s">
        <v>23</v>
      </c>
      <c r="W873" t="s">
        <v>137</v>
      </c>
      <c r="X873" t="s">
        <v>24</v>
      </c>
      <c r="Y873" s="56">
        <f>IF(clean[[#This Row],[is_delivered]]="Yes",clean[[#This Row],[net_sales]],0 )</f>
        <v>270000</v>
      </c>
    </row>
    <row r="874" spans="1:25">
      <c r="A874" t="s">
        <v>1992</v>
      </c>
      <c r="B874" s="9">
        <v>45709</v>
      </c>
      <c r="C874" t="s">
        <v>578</v>
      </c>
      <c r="D874" t="s">
        <v>751</v>
      </c>
      <c r="E874">
        <v>1</v>
      </c>
      <c r="F874" s="56">
        <v>150000</v>
      </c>
      <c r="G874" s="56">
        <v>150000</v>
      </c>
      <c r="H874" t="s">
        <v>895</v>
      </c>
      <c r="I874" s="56">
        <v>22500</v>
      </c>
      <c r="J874" s="56">
        <v>25000</v>
      </c>
      <c r="K874" s="56">
        <v>152500</v>
      </c>
      <c r="L874" t="s">
        <v>889</v>
      </c>
      <c r="M874" t="s">
        <v>881</v>
      </c>
      <c r="N874" t="s">
        <v>875</v>
      </c>
      <c r="O874" s="57">
        <v>45689</v>
      </c>
      <c r="P874" t="s">
        <v>877</v>
      </c>
      <c r="Q874" s="56">
        <v>127500</v>
      </c>
      <c r="R874" t="s">
        <v>752</v>
      </c>
      <c r="S874" t="s">
        <v>731</v>
      </c>
      <c r="T874" t="s">
        <v>732</v>
      </c>
      <c r="U874" t="s">
        <v>579</v>
      </c>
      <c r="V874" t="s">
        <v>23</v>
      </c>
      <c r="W874" t="s">
        <v>56</v>
      </c>
      <c r="X874" t="s">
        <v>24</v>
      </c>
      <c r="Y874" s="56">
        <f>IF(clean[[#This Row],[is_delivered]]="Yes",clean[[#This Row],[net_sales]],0 )</f>
        <v>127500</v>
      </c>
    </row>
    <row r="875" spans="1:25">
      <c r="A875" t="s">
        <v>1107</v>
      </c>
      <c r="B875" s="9">
        <v>45708</v>
      </c>
      <c r="C875" t="s">
        <v>93</v>
      </c>
      <c r="D875" t="s">
        <v>775</v>
      </c>
      <c r="E875">
        <v>1</v>
      </c>
      <c r="F875" s="56">
        <v>75000</v>
      </c>
      <c r="G875" s="56">
        <v>75000</v>
      </c>
      <c r="H875" t="s">
        <v>872</v>
      </c>
      <c r="I875" s="56">
        <v>0</v>
      </c>
      <c r="J875" s="56">
        <v>25000</v>
      </c>
      <c r="K875" s="56">
        <v>100000</v>
      </c>
      <c r="L875" t="s">
        <v>889</v>
      </c>
      <c r="M875" t="s">
        <v>881</v>
      </c>
      <c r="N875" t="s">
        <v>890</v>
      </c>
      <c r="O875" s="57">
        <v>45689</v>
      </c>
      <c r="P875" t="s">
        <v>892</v>
      </c>
      <c r="Q875" s="56">
        <v>75000</v>
      </c>
      <c r="R875" t="s">
        <v>776</v>
      </c>
      <c r="S875" t="s">
        <v>731</v>
      </c>
      <c r="T875" t="s">
        <v>732</v>
      </c>
      <c r="U875" t="s">
        <v>94</v>
      </c>
      <c r="V875" t="s">
        <v>23</v>
      </c>
      <c r="W875" t="s">
        <v>36</v>
      </c>
      <c r="X875" t="s">
        <v>24</v>
      </c>
      <c r="Y875" s="56">
        <f>IF(clean[[#This Row],[is_delivered]]="Yes",clean[[#This Row],[net_sales]],0 )</f>
        <v>0</v>
      </c>
    </row>
    <row r="876" spans="1:25">
      <c r="A876" t="s">
        <v>1513</v>
      </c>
      <c r="B876" s="9">
        <v>45708</v>
      </c>
      <c r="C876" t="s">
        <v>552</v>
      </c>
      <c r="D876" t="s">
        <v>849</v>
      </c>
      <c r="E876">
        <v>4</v>
      </c>
      <c r="F876" s="56">
        <v>500000</v>
      </c>
      <c r="G876" s="56">
        <v>2000000</v>
      </c>
      <c r="H876" t="s">
        <v>872</v>
      </c>
      <c r="I876" s="56">
        <v>0</v>
      </c>
      <c r="J876" s="56">
        <v>30000</v>
      </c>
      <c r="K876" s="56">
        <v>2030000</v>
      </c>
      <c r="L876" t="s">
        <v>884</v>
      </c>
      <c r="M876" t="s">
        <v>903</v>
      </c>
      <c r="N876" t="s">
        <v>875</v>
      </c>
      <c r="O876" s="57">
        <v>45689</v>
      </c>
      <c r="P876" t="s">
        <v>877</v>
      </c>
      <c r="Q876" s="56">
        <v>2000000</v>
      </c>
      <c r="R876" t="s">
        <v>850</v>
      </c>
      <c r="S876" t="s">
        <v>735</v>
      </c>
      <c r="T876" t="s">
        <v>736</v>
      </c>
      <c r="U876" t="s">
        <v>553</v>
      </c>
      <c r="V876" t="s">
        <v>7</v>
      </c>
      <c r="W876" t="s">
        <v>46</v>
      </c>
      <c r="X876" t="s">
        <v>24</v>
      </c>
      <c r="Y876" s="56">
        <f>IF(clean[[#This Row],[is_delivered]]="Yes",clean[[#This Row],[net_sales]],0 )</f>
        <v>2000000</v>
      </c>
    </row>
    <row r="877" spans="1:25">
      <c r="A877" t="s">
        <v>1517</v>
      </c>
      <c r="B877" s="9">
        <v>45708</v>
      </c>
      <c r="C877" t="s">
        <v>502</v>
      </c>
      <c r="D877" t="s">
        <v>811</v>
      </c>
      <c r="E877">
        <v>1</v>
      </c>
      <c r="F877" s="56">
        <v>35000</v>
      </c>
      <c r="G877" s="56">
        <v>35000</v>
      </c>
      <c r="H877" t="s">
        <v>872</v>
      </c>
      <c r="I877" s="56">
        <v>0</v>
      </c>
      <c r="J877" s="56">
        <v>10000</v>
      </c>
      <c r="K877" s="56">
        <v>45000</v>
      </c>
      <c r="L877" t="s">
        <v>880</v>
      </c>
      <c r="M877" t="s">
        <v>874</v>
      </c>
      <c r="N877" t="s">
        <v>875</v>
      </c>
      <c r="O877" s="57">
        <v>45689</v>
      </c>
      <c r="P877" t="s">
        <v>877</v>
      </c>
      <c r="Q877" s="56">
        <v>35000</v>
      </c>
      <c r="R877" t="s">
        <v>812</v>
      </c>
      <c r="S877" t="s">
        <v>731</v>
      </c>
      <c r="T877" t="s">
        <v>732</v>
      </c>
      <c r="U877" t="s">
        <v>503</v>
      </c>
      <c r="V877" t="s">
        <v>7</v>
      </c>
      <c r="W877" t="s">
        <v>56</v>
      </c>
      <c r="X877" t="s">
        <v>24</v>
      </c>
      <c r="Y877" s="56">
        <f>IF(clean[[#This Row],[is_delivered]]="Yes",clean[[#This Row],[net_sales]],0 )</f>
        <v>35000</v>
      </c>
    </row>
    <row r="878" spans="1:25">
      <c r="A878" t="s">
        <v>1535</v>
      </c>
      <c r="B878" s="9">
        <v>45708</v>
      </c>
      <c r="C878" t="s">
        <v>166</v>
      </c>
      <c r="D878" t="s">
        <v>821</v>
      </c>
      <c r="E878">
        <v>1</v>
      </c>
      <c r="F878" s="56">
        <v>50000</v>
      </c>
      <c r="G878" s="56">
        <v>50000</v>
      </c>
      <c r="H878" t="s">
        <v>872</v>
      </c>
      <c r="I878" s="56">
        <v>0</v>
      </c>
      <c r="J878" s="56">
        <v>20000</v>
      </c>
      <c r="K878" s="56">
        <v>70000</v>
      </c>
      <c r="L878" t="s">
        <v>884</v>
      </c>
      <c r="M878" t="s">
        <v>901</v>
      </c>
      <c r="N878" t="s">
        <v>875</v>
      </c>
      <c r="O878" s="57">
        <v>45689</v>
      </c>
      <c r="P878" t="s">
        <v>877</v>
      </c>
      <c r="Q878" s="56">
        <v>50000</v>
      </c>
      <c r="R878" t="s">
        <v>822</v>
      </c>
      <c r="S878" t="s">
        <v>727</v>
      </c>
      <c r="T878" t="s">
        <v>728</v>
      </c>
      <c r="U878" t="s">
        <v>167</v>
      </c>
      <c r="V878" t="s">
        <v>7</v>
      </c>
      <c r="W878" t="s">
        <v>39</v>
      </c>
      <c r="X878" t="s">
        <v>24</v>
      </c>
      <c r="Y878" s="56">
        <f>IF(clean[[#This Row],[is_delivered]]="Yes",clean[[#This Row],[net_sales]],0 )</f>
        <v>50000</v>
      </c>
    </row>
    <row r="879" spans="1:25">
      <c r="A879" t="s">
        <v>1764</v>
      </c>
      <c r="B879" s="9">
        <v>45708</v>
      </c>
      <c r="C879" t="s">
        <v>226</v>
      </c>
      <c r="D879" t="s">
        <v>811</v>
      </c>
      <c r="E879">
        <v>1</v>
      </c>
      <c r="F879" s="56">
        <v>35000</v>
      </c>
      <c r="G879" s="56">
        <v>35000</v>
      </c>
      <c r="H879" t="s">
        <v>872</v>
      </c>
      <c r="I879" s="56">
        <v>0</v>
      </c>
      <c r="J879" s="56">
        <v>15000</v>
      </c>
      <c r="K879" s="56">
        <v>50000</v>
      </c>
      <c r="L879" t="s">
        <v>884</v>
      </c>
      <c r="M879" t="s">
        <v>903</v>
      </c>
      <c r="N879" t="s">
        <v>875</v>
      </c>
      <c r="O879" s="57">
        <v>45689</v>
      </c>
      <c r="P879" t="s">
        <v>877</v>
      </c>
      <c r="Q879" s="56">
        <v>35000</v>
      </c>
      <c r="R879" t="s">
        <v>812</v>
      </c>
      <c r="S879" t="s">
        <v>731</v>
      </c>
      <c r="T879" t="s">
        <v>732</v>
      </c>
      <c r="U879" t="s">
        <v>227</v>
      </c>
      <c r="V879" t="s">
        <v>23</v>
      </c>
      <c r="W879" t="s">
        <v>29</v>
      </c>
      <c r="X879" t="s">
        <v>9</v>
      </c>
      <c r="Y879" s="56">
        <f>IF(clean[[#This Row],[is_delivered]]="Yes",clean[[#This Row],[net_sales]],0 )</f>
        <v>35000</v>
      </c>
    </row>
    <row r="880" spans="1:25">
      <c r="A880" t="s">
        <v>2018</v>
      </c>
      <c r="B880" s="9">
        <v>45708</v>
      </c>
      <c r="C880" t="s">
        <v>688</v>
      </c>
      <c r="D880" t="s">
        <v>797</v>
      </c>
      <c r="E880">
        <v>3</v>
      </c>
      <c r="F880" s="56">
        <v>150000</v>
      </c>
      <c r="G880" s="56">
        <v>450000</v>
      </c>
      <c r="H880" t="s">
        <v>895</v>
      </c>
      <c r="I880" s="56">
        <v>67500</v>
      </c>
      <c r="J880" s="56">
        <v>30000</v>
      </c>
      <c r="K880" s="56">
        <v>412500</v>
      </c>
      <c r="L880" t="s">
        <v>873</v>
      </c>
      <c r="M880" t="s">
        <v>881</v>
      </c>
      <c r="N880" t="s">
        <v>911</v>
      </c>
      <c r="O880" s="57">
        <v>45689</v>
      </c>
      <c r="P880" t="s">
        <v>892</v>
      </c>
      <c r="Q880" s="56">
        <v>382500</v>
      </c>
      <c r="R880" t="s">
        <v>798</v>
      </c>
      <c r="S880" t="s">
        <v>727</v>
      </c>
      <c r="T880" t="s">
        <v>728</v>
      </c>
      <c r="U880" t="s">
        <v>689</v>
      </c>
      <c r="V880" t="s">
        <v>7</v>
      </c>
      <c r="W880" t="s">
        <v>46</v>
      </c>
      <c r="X880" t="s">
        <v>24</v>
      </c>
      <c r="Y880" s="56">
        <f>IF(clean[[#This Row],[is_delivered]]="Yes",clean[[#This Row],[net_sales]],0 )</f>
        <v>0</v>
      </c>
    </row>
    <row r="881" spans="1:25">
      <c r="A881" t="s">
        <v>950</v>
      </c>
      <c r="B881" s="9">
        <v>45707</v>
      </c>
      <c r="C881" t="s">
        <v>558</v>
      </c>
      <c r="D881" t="s">
        <v>829</v>
      </c>
      <c r="E881">
        <v>2</v>
      </c>
      <c r="F881" s="56">
        <v>500000</v>
      </c>
      <c r="G881" s="56">
        <v>1000000</v>
      </c>
      <c r="H881" t="s">
        <v>895</v>
      </c>
      <c r="I881" s="56">
        <v>150000</v>
      </c>
      <c r="J881" s="56">
        <v>30000</v>
      </c>
      <c r="K881" s="56">
        <v>880000</v>
      </c>
      <c r="L881" t="s">
        <v>873</v>
      </c>
      <c r="M881" t="s">
        <v>874</v>
      </c>
      <c r="N881" t="s">
        <v>875</v>
      </c>
      <c r="O881" s="57">
        <v>45689</v>
      </c>
      <c r="P881" t="s">
        <v>877</v>
      </c>
      <c r="Q881" s="56">
        <v>850000</v>
      </c>
      <c r="R881" t="s">
        <v>830</v>
      </c>
      <c r="S881" t="s">
        <v>743</v>
      </c>
      <c r="T881" t="s">
        <v>744</v>
      </c>
      <c r="U881" t="s">
        <v>559</v>
      </c>
      <c r="V881" t="s">
        <v>23</v>
      </c>
      <c r="W881" t="s">
        <v>56</v>
      </c>
      <c r="X881" t="s">
        <v>24</v>
      </c>
      <c r="Y881" s="56">
        <f>IF(clean[[#This Row],[is_delivered]]="Yes",clean[[#This Row],[net_sales]],0 )</f>
        <v>850000</v>
      </c>
    </row>
    <row r="882" spans="1:25">
      <c r="A882" t="s">
        <v>1050</v>
      </c>
      <c r="B882" s="9">
        <v>45707</v>
      </c>
      <c r="C882" t="s">
        <v>208</v>
      </c>
      <c r="D882" t="s">
        <v>765</v>
      </c>
      <c r="E882">
        <v>1</v>
      </c>
      <c r="F882" s="56">
        <v>500000</v>
      </c>
      <c r="G882" s="56">
        <v>500000</v>
      </c>
      <c r="H882" t="s">
        <v>886</v>
      </c>
      <c r="I882" s="56">
        <v>50000</v>
      </c>
      <c r="J882" s="56">
        <v>30000</v>
      </c>
      <c r="K882" s="56">
        <v>480000</v>
      </c>
      <c r="L882" t="s">
        <v>884</v>
      </c>
      <c r="M882" t="s">
        <v>903</v>
      </c>
      <c r="N882" t="s">
        <v>875</v>
      </c>
      <c r="O882" s="57">
        <v>45689</v>
      </c>
      <c r="P882" t="s">
        <v>877</v>
      </c>
      <c r="Q882" s="56">
        <v>450000</v>
      </c>
      <c r="R882" t="s">
        <v>766</v>
      </c>
      <c r="S882" t="s">
        <v>735</v>
      </c>
      <c r="T882" t="s">
        <v>736</v>
      </c>
      <c r="U882" t="s">
        <v>209</v>
      </c>
      <c r="V882" t="s">
        <v>7</v>
      </c>
      <c r="W882" t="s">
        <v>20</v>
      </c>
      <c r="X882" t="s">
        <v>9</v>
      </c>
      <c r="Y882" s="56">
        <f>IF(clean[[#This Row],[is_delivered]]="Yes",clean[[#This Row],[net_sales]],0 )</f>
        <v>450000</v>
      </c>
    </row>
    <row r="883" spans="1:25">
      <c r="A883" t="s">
        <v>1130</v>
      </c>
      <c r="B883" s="9">
        <v>45707</v>
      </c>
      <c r="C883" t="s">
        <v>542</v>
      </c>
      <c r="D883" t="s">
        <v>853</v>
      </c>
      <c r="E883">
        <v>2</v>
      </c>
      <c r="F883" s="56">
        <v>75000</v>
      </c>
      <c r="G883" s="56">
        <v>150000</v>
      </c>
      <c r="H883" t="s">
        <v>883</v>
      </c>
      <c r="I883" s="56">
        <v>15000</v>
      </c>
      <c r="J883" s="56">
        <v>30000</v>
      </c>
      <c r="K883" s="56">
        <v>165000</v>
      </c>
      <c r="L883" t="s">
        <v>884</v>
      </c>
      <c r="M883" t="s">
        <v>901</v>
      </c>
      <c r="N883" t="s">
        <v>875</v>
      </c>
      <c r="O883" s="57">
        <v>45689</v>
      </c>
      <c r="P883" t="s">
        <v>877</v>
      </c>
      <c r="Q883" s="56">
        <v>135000</v>
      </c>
      <c r="R883" t="s">
        <v>854</v>
      </c>
      <c r="S883" t="s">
        <v>743</v>
      </c>
      <c r="T883" t="s">
        <v>744</v>
      </c>
      <c r="U883" t="s">
        <v>543</v>
      </c>
      <c r="V883" t="s">
        <v>7</v>
      </c>
      <c r="W883" t="s">
        <v>46</v>
      </c>
      <c r="X883" t="s">
        <v>9</v>
      </c>
      <c r="Y883" s="56">
        <f>IF(clean[[#This Row],[is_delivered]]="Yes",clean[[#This Row],[net_sales]],0 )</f>
        <v>135000</v>
      </c>
    </row>
    <row r="884" spans="1:25">
      <c r="A884" t="s">
        <v>1401</v>
      </c>
      <c r="B884" s="9">
        <v>45707</v>
      </c>
      <c r="C884" t="s">
        <v>478</v>
      </c>
      <c r="D884" t="s">
        <v>789</v>
      </c>
      <c r="E884">
        <v>2</v>
      </c>
      <c r="F884" s="56">
        <v>200000</v>
      </c>
      <c r="G884" s="56">
        <v>400000</v>
      </c>
      <c r="H884" t="s">
        <v>872</v>
      </c>
      <c r="I884" s="56">
        <v>0</v>
      </c>
      <c r="J884" s="56">
        <v>10000</v>
      </c>
      <c r="K884" s="56">
        <v>410000</v>
      </c>
      <c r="L884" t="s">
        <v>889</v>
      </c>
      <c r="M884" t="s">
        <v>874</v>
      </c>
      <c r="N884" t="s">
        <v>875</v>
      </c>
      <c r="O884" s="57">
        <v>45689</v>
      </c>
      <c r="P884" t="s">
        <v>877</v>
      </c>
      <c r="Q884" s="56">
        <v>400000</v>
      </c>
      <c r="R884" t="s">
        <v>790</v>
      </c>
      <c r="S884" t="s">
        <v>735</v>
      </c>
      <c r="T884" t="s">
        <v>736</v>
      </c>
      <c r="U884" t="s">
        <v>479</v>
      </c>
      <c r="V884" t="s">
        <v>23</v>
      </c>
      <c r="W884" t="s">
        <v>51</v>
      </c>
      <c r="X884" t="s">
        <v>15</v>
      </c>
      <c r="Y884" s="56">
        <f>IF(clean[[#This Row],[is_delivered]]="Yes",clean[[#This Row],[net_sales]],0 )</f>
        <v>400000</v>
      </c>
    </row>
    <row r="885" spans="1:25">
      <c r="A885" t="s">
        <v>1419</v>
      </c>
      <c r="B885" s="9">
        <v>45707</v>
      </c>
      <c r="C885" t="s">
        <v>37</v>
      </c>
      <c r="D885" t="s">
        <v>785</v>
      </c>
      <c r="E885">
        <v>1</v>
      </c>
      <c r="F885" s="56">
        <v>100000</v>
      </c>
      <c r="G885" s="56">
        <v>100000</v>
      </c>
      <c r="H885" t="s">
        <v>872</v>
      </c>
      <c r="I885" s="56">
        <v>0</v>
      </c>
      <c r="J885" s="56">
        <v>10000</v>
      </c>
      <c r="K885" s="56">
        <v>110000</v>
      </c>
      <c r="L885" t="s">
        <v>873</v>
      </c>
      <c r="M885" t="s">
        <v>903</v>
      </c>
      <c r="N885" t="s">
        <v>890</v>
      </c>
      <c r="O885" s="57">
        <v>45689</v>
      </c>
      <c r="P885" t="s">
        <v>892</v>
      </c>
      <c r="Q885" s="56">
        <v>100000</v>
      </c>
      <c r="R885" t="s">
        <v>786</v>
      </c>
      <c r="S885" t="s">
        <v>727</v>
      </c>
      <c r="T885" t="s">
        <v>728</v>
      </c>
      <c r="U885" t="s">
        <v>38</v>
      </c>
      <c r="V885" t="s">
        <v>23</v>
      </c>
      <c r="W885" t="s">
        <v>39</v>
      </c>
      <c r="X885" t="s">
        <v>9</v>
      </c>
      <c r="Y885" s="56">
        <f>IF(clean[[#This Row],[is_delivered]]="Yes",clean[[#This Row],[net_sales]],0 )</f>
        <v>0</v>
      </c>
    </row>
    <row r="886" spans="1:25">
      <c r="A886" t="s">
        <v>1746</v>
      </c>
      <c r="B886" s="9">
        <v>45707</v>
      </c>
      <c r="C886" t="s">
        <v>160</v>
      </c>
      <c r="D886" t="s">
        <v>765</v>
      </c>
      <c r="E886">
        <v>1</v>
      </c>
      <c r="F886" s="56">
        <v>500000</v>
      </c>
      <c r="G886" s="56">
        <v>500000</v>
      </c>
      <c r="H886" t="s">
        <v>872</v>
      </c>
      <c r="I886" s="56">
        <v>0</v>
      </c>
      <c r="J886" s="56">
        <v>15000</v>
      </c>
      <c r="K886" s="56">
        <v>515000</v>
      </c>
      <c r="L886" t="s">
        <v>884</v>
      </c>
      <c r="M886" t="s">
        <v>903</v>
      </c>
      <c r="N886" t="s">
        <v>875</v>
      </c>
      <c r="O886" s="57">
        <v>45689</v>
      </c>
      <c r="P886" t="s">
        <v>877</v>
      </c>
      <c r="Q886" s="56">
        <v>500000</v>
      </c>
      <c r="R886" t="s">
        <v>766</v>
      </c>
      <c r="S886" t="s">
        <v>735</v>
      </c>
      <c r="T886" t="s">
        <v>736</v>
      </c>
      <c r="U886" t="s">
        <v>161</v>
      </c>
      <c r="V886" t="s">
        <v>23</v>
      </c>
      <c r="W886" t="s">
        <v>137</v>
      </c>
      <c r="X886" t="s">
        <v>9</v>
      </c>
      <c r="Y886" s="56">
        <f>IF(clean[[#This Row],[is_delivered]]="Yes",clean[[#This Row],[net_sales]],0 )</f>
        <v>500000</v>
      </c>
    </row>
    <row r="887" spans="1:25">
      <c r="A887" t="s">
        <v>885</v>
      </c>
      <c r="B887" s="9">
        <v>45706</v>
      </c>
      <c r="C887" t="s">
        <v>590</v>
      </c>
      <c r="D887" t="s">
        <v>767</v>
      </c>
      <c r="E887">
        <v>1</v>
      </c>
      <c r="F887" s="56">
        <v>150000</v>
      </c>
      <c r="G887" s="56">
        <v>150000</v>
      </c>
      <c r="H887" t="s">
        <v>886</v>
      </c>
      <c r="I887" s="56">
        <v>15000</v>
      </c>
      <c r="J887" s="56">
        <v>25000</v>
      </c>
      <c r="K887" s="56">
        <v>160000</v>
      </c>
      <c r="L887" t="s">
        <v>873</v>
      </c>
      <c r="M887" t="s">
        <v>881</v>
      </c>
      <c r="N887" t="s">
        <v>875</v>
      </c>
      <c r="O887" s="57">
        <v>45689</v>
      </c>
      <c r="P887" t="s">
        <v>877</v>
      </c>
      <c r="Q887" s="56">
        <v>135000</v>
      </c>
      <c r="R887" t="s">
        <v>768</v>
      </c>
      <c r="S887" t="s">
        <v>739</v>
      </c>
      <c r="T887" t="s">
        <v>740</v>
      </c>
      <c r="U887" t="s">
        <v>591</v>
      </c>
      <c r="V887" t="s">
        <v>7</v>
      </c>
      <c r="W887" t="s">
        <v>29</v>
      </c>
      <c r="X887" t="s">
        <v>24</v>
      </c>
      <c r="Y887" s="56">
        <f>IF(clean[[#This Row],[is_delivered]]="Yes",clean[[#This Row],[net_sales]],0 )</f>
        <v>135000</v>
      </c>
    </row>
    <row r="888" spans="1:25">
      <c r="A888" t="s">
        <v>1021</v>
      </c>
      <c r="B888" s="9">
        <v>45706</v>
      </c>
      <c r="C888" t="s">
        <v>101</v>
      </c>
      <c r="D888" t="s">
        <v>811</v>
      </c>
      <c r="E888">
        <v>1</v>
      </c>
      <c r="F888" s="56">
        <v>35000</v>
      </c>
      <c r="G888" s="56">
        <v>35000</v>
      </c>
      <c r="H888" t="s">
        <v>886</v>
      </c>
      <c r="I888" s="56">
        <v>3500</v>
      </c>
      <c r="J888" s="56">
        <v>20000</v>
      </c>
      <c r="K888" s="56">
        <v>51500</v>
      </c>
      <c r="L888" t="s">
        <v>873</v>
      </c>
      <c r="M888" t="s">
        <v>903</v>
      </c>
      <c r="N888" t="s">
        <v>875</v>
      </c>
      <c r="O888" s="57">
        <v>45689</v>
      </c>
      <c r="P888" t="s">
        <v>877</v>
      </c>
      <c r="Q888" s="56">
        <v>31500</v>
      </c>
      <c r="R888" t="s">
        <v>812</v>
      </c>
      <c r="S888" t="s">
        <v>731</v>
      </c>
      <c r="T888" t="s">
        <v>732</v>
      </c>
      <c r="U888" t="s">
        <v>102</v>
      </c>
      <c r="V888" t="s">
        <v>23</v>
      </c>
      <c r="W888" t="s">
        <v>46</v>
      </c>
      <c r="X888" t="s">
        <v>9</v>
      </c>
      <c r="Y888" s="56">
        <f>IF(clean[[#This Row],[is_delivered]]="Yes",clean[[#This Row],[net_sales]],0 )</f>
        <v>31500</v>
      </c>
    </row>
    <row r="889" spans="1:25">
      <c r="A889" t="s">
        <v>1012</v>
      </c>
      <c r="B889" s="9">
        <v>45706</v>
      </c>
      <c r="C889" t="s">
        <v>650</v>
      </c>
      <c r="D889" t="s">
        <v>729</v>
      </c>
      <c r="E889">
        <v>2</v>
      </c>
      <c r="F889" s="56">
        <v>100000</v>
      </c>
      <c r="G889" s="56">
        <v>200000</v>
      </c>
      <c r="H889" t="s">
        <v>872</v>
      </c>
      <c r="I889" s="56">
        <v>0</v>
      </c>
      <c r="J889" s="56">
        <v>15000</v>
      </c>
      <c r="K889" s="56">
        <v>215000</v>
      </c>
      <c r="L889" t="s">
        <v>889</v>
      </c>
      <c r="M889" t="s">
        <v>901</v>
      </c>
      <c r="N889" t="s">
        <v>905</v>
      </c>
      <c r="O889" s="57">
        <v>45689</v>
      </c>
      <c r="P889" t="s">
        <v>892</v>
      </c>
      <c r="Q889" s="56">
        <v>200000</v>
      </c>
      <c r="R889" t="s">
        <v>730</v>
      </c>
      <c r="S889" t="s">
        <v>731</v>
      </c>
      <c r="T889" t="s">
        <v>732</v>
      </c>
      <c r="U889" t="s">
        <v>651</v>
      </c>
      <c r="V889" t="s">
        <v>23</v>
      </c>
      <c r="W889" t="s">
        <v>20</v>
      </c>
      <c r="X889" t="s">
        <v>9</v>
      </c>
      <c r="Y889" s="56">
        <f>IF(clean[[#This Row],[is_delivered]]="Yes",clean[[#This Row],[net_sales]],0 )</f>
        <v>0</v>
      </c>
    </row>
    <row r="890" spans="1:25">
      <c r="A890" t="s">
        <v>1066</v>
      </c>
      <c r="B890" s="9">
        <v>45706</v>
      </c>
      <c r="C890" t="s">
        <v>166</v>
      </c>
      <c r="D890" t="s">
        <v>741</v>
      </c>
      <c r="E890">
        <v>2</v>
      </c>
      <c r="F890" s="56">
        <v>75000</v>
      </c>
      <c r="G890" s="56">
        <v>150000</v>
      </c>
      <c r="H890" t="s">
        <v>879</v>
      </c>
      <c r="I890" s="56">
        <v>30000</v>
      </c>
      <c r="J890" s="56">
        <v>20000</v>
      </c>
      <c r="K890" s="56">
        <v>140000</v>
      </c>
      <c r="L890" t="s">
        <v>889</v>
      </c>
      <c r="M890" t="s">
        <v>881</v>
      </c>
      <c r="N890" t="s">
        <v>875</v>
      </c>
      <c r="O890" s="57">
        <v>45689</v>
      </c>
      <c r="P890" t="s">
        <v>877</v>
      </c>
      <c r="Q890" s="56">
        <v>120000</v>
      </c>
      <c r="R890" t="s">
        <v>742</v>
      </c>
      <c r="S890" t="s">
        <v>743</v>
      </c>
      <c r="T890" t="s">
        <v>744</v>
      </c>
      <c r="U890" t="s">
        <v>167</v>
      </c>
      <c r="V890" t="s">
        <v>7</v>
      </c>
      <c r="W890" t="s">
        <v>39</v>
      </c>
      <c r="X890" t="s">
        <v>24</v>
      </c>
      <c r="Y890" s="56">
        <f>IF(clean[[#This Row],[is_delivered]]="Yes",clean[[#This Row],[net_sales]],0 )</f>
        <v>120000</v>
      </c>
    </row>
    <row r="891" spans="1:25">
      <c r="A891" t="s">
        <v>982</v>
      </c>
      <c r="B891" s="9">
        <v>45706</v>
      </c>
      <c r="C891" t="s">
        <v>258</v>
      </c>
      <c r="D891" t="s">
        <v>823</v>
      </c>
      <c r="E891">
        <v>2</v>
      </c>
      <c r="F891" s="56">
        <v>500000</v>
      </c>
      <c r="G891" s="56">
        <v>1000000</v>
      </c>
      <c r="H891" t="s">
        <v>872</v>
      </c>
      <c r="I891" s="56">
        <v>0</v>
      </c>
      <c r="J891" s="56">
        <v>15000</v>
      </c>
      <c r="K891" s="56">
        <v>1015000</v>
      </c>
      <c r="L891" t="s">
        <v>884</v>
      </c>
      <c r="M891" t="s">
        <v>881</v>
      </c>
      <c r="N891" t="s">
        <v>905</v>
      </c>
      <c r="O891" s="57">
        <v>45689</v>
      </c>
      <c r="P891" t="s">
        <v>892</v>
      </c>
      <c r="Q891" s="56">
        <v>1000000</v>
      </c>
      <c r="R891" t="s">
        <v>824</v>
      </c>
      <c r="S891" t="s">
        <v>731</v>
      </c>
      <c r="T891" t="s">
        <v>732</v>
      </c>
      <c r="U891" t="s">
        <v>259</v>
      </c>
      <c r="V891" t="s">
        <v>7</v>
      </c>
      <c r="W891" t="s">
        <v>56</v>
      </c>
      <c r="X891" t="s">
        <v>9</v>
      </c>
      <c r="Y891" s="56">
        <f>IF(clean[[#This Row],[is_delivered]]="Yes",clean[[#This Row],[net_sales]],0 )</f>
        <v>0</v>
      </c>
    </row>
    <row r="892" spans="1:25">
      <c r="A892" t="s">
        <v>1371</v>
      </c>
      <c r="B892" s="9">
        <v>45706</v>
      </c>
      <c r="C892" t="s">
        <v>306</v>
      </c>
      <c r="D892" t="s">
        <v>729</v>
      </c>
      <c r="E892">
        <v>2</v>
      </c>
      <c r="F892" s="56">
        <v>100000</v>
      </c>
      <c r="G892" s="56">
        <v>200000</v>
      </c>
      <c r="H892" t="s">
        <v>895</v>
      </c>
      <c r="I892" s="56">
        <v>30000</v>
      </c>
      <c r="J892" s="56">
        <v>30000</v>
      </c>
      <c r="K892" s="56">
        <v>200000</v>
      </c>
      <c r="L892" t="s">
        <v>884</v>
      </c>
      <c r="M892" t="s">
        <v>874</v>
      </c>
      <c r="N892" t="s">
        <v>875</v>
      </c>
      <c r="O892" s="57">
        <v>45689</v>
      </c>
      <c r="P892" t="s">
        <v>877</v>
      </c>
      <c r="Q892" s="56">
        <v>170000</v>
      </c>
      <c r="R892" t="s">
        <v>730</v>
      </c>
      <c r="S892" t="s">
        <v>731</v>
      </c>
      <c r="T892" t="s">
        <v>732</v>
      </c>
      <c r="U892" t="s">
        <v>307</v>
      </c>
      <c r="V892" t="s">
        <v>7</v>
      </c>
      <c r="W892" t="s">
        <v>12</v>
      </c>
      <c r="X892" t="s">
        <v>9</v>
      </c>
      <c r="Y892" s="56">
        <f>IF(clean[[#This Row],[is_delivered]]="Yes",clean[[#This Row],[net_sales]],0 )</f>
        <v>170000</v>
      </c>
    </row>
    <row r="893" spans="1:25">
      <c r="A893" t="s">
        <v>1684</v>
      </c>
      <c r="B893" s="9">
        <v>45706</v>
      </c>
      <c r="C893" t="s">
        <v>590</v>
      </c>
      <c r="D893" t="s">
        <v>751</v>
      </c>
      <c r="E893">
        <v>4</v>
      </c>
      <c r="F893" s="56">
        <v>150000</v>
      </c>
      <c r="G893" s="56">
        <v>600000</v>
      </c>
      <c r="H893" t="s">
        <v>895</v>
      </c>
      <c r="I893" s="56">
        <v>90000</v>
      </c>
      <c r="J893" s="56">
        <v>25000</v>
      </c>
      <c r="K893" s="56">
        <v>535000</v>
      </c>
      <c r="L893" t="s">
        <v>889</v>
      </c>
      <c r="M893" t="s">
        <v>901</v>
      </c>
      <c r="N893" t="s">
        <v>875</v>
      </c>
      <c r="O893" s="57">
        <v>45689</v>
      </c>
      <c r="P893" t="s">
        <v>877</v>
      </c>
      <c r="Q893" s="56">
        <v>510000</v>
      </c>
      <c r="R893" t="s">
        <v>752</v>
      </c>
      <c r="S893" t="s">
        <v>731</v>
      </c>
      <c r="T893" t="s">
        <v>732</v>
      </c>
      <c r="U893" t="s">
        <v>591</v>
      </c>
      <c r="V893" t="s">
        <v>7</v>
      </c>
      <c r="W893" t="s">
        <v>29</v>
      </c>
      <c r="X893" t="s">
        <v>24</v>
      </c>
      <c r="Y893" s="56">
        <f>IF(clean[[#This Row],[is_delivered]]="Yes",clean[[#This Row],[net_sales]],0 )</f>
        <v>510000</v>
      </c>
    </row>
    <row r="894" spans="1:25">
      <c r="A894" t="s">
        <v>1723</v>
      </c>
      <c r="B894" s="9">
        <v>45706</v>
      </c>
      <c r="C894" t="s">
        <v>346</v>
      </c>
      <c r="D894" t="s">
        <v>777</v>
      </c>
      <c r="E894">
        <v>2</v>
      </c>
      <c r="F894" s="56">
        <v>200000</v>
      </c>
      <c r="G894" s="56">
        <v>400000</v>
      </c>
      <c r="H894" t="s">
        <v>872</v>
      </c>
      <c r="I894" s="56">
        <v>0</v>
      </c>
      <c r="J894" s="56">
        <v>10000</v>
      </c>
      <c r="K894" s="56">
        <v>410000</v>
      </c>
      <c r="L894" t="s">
        <v>884</v>
      </c>
      <c r="M894" t="s">
        <v>881</v>
      </c>
      <c r="N894" t="s">
        <v>911</v>
      </c>
      <c r="O894" s="57">
        <v>45689</v>
      </c>
      <c r="P894" t="s">
        <v>892</v>
      </c>
      <c r="Q894" s="56">
        <v>400000</v>
      </c>
      <c r="R894" t="s">
        <v>778</v>
      </c>
      <c r="S894" t="s">
        <v>735</v>
      </c>
      <c r="T894" t="s">
        <v>736</v>
      </c>
      <c r="U894" t="s">
        <v>347</v>
      </c>
      <c r="V894" t="s">
        <v>23</v>
      </c>
      <c r="W894" t="s">
        <v>46</v>
      </c>
      <c r="X894" t="s">
        <v>9</v>
      </c>
      <c r="Y894" s="56">
        <f>IF(clean[[#This Row],[is_delivered]]="Yes",clean[[#This Row],[net_sales]],0 )</f>
        <v>0</v>
      </c>
    </row>
    <row r="895" spans="1:25">
      <c r="A895" t="s">
        <v>1893</v>
      </c>
      <c r="B895" s="9">
        <v>45706</v>
      </c>
      <c r="C895" t="s">
        <v>420</v>
      </c>
      <c r="D895" t="s">
        <v>839</v>
      </c>
      <c r="E895">
        <v>1</v>
      </c>
      <c r="F895" s="56">
        <v>200000</v>
      </c>
      <c r="G895" s="56">
        <v>200000</v>
      </c>
      <c r="H895" t="s">
        <v>872</v>
      </c>
      <c r="I895" s="56">
        <v>0</v>
      </c>
      <c r="J895" s="56">
        <v>30000</v>
      </c>
      <c r="K895" s="56">
        <v>230000</v>
      </c>
      <c r="L895" t="s">
        <v>889</v>
      </c>
      <c r="M895" t="s">
        <v>881</v>
      </c>
      <c r="N895" t="s">
        <v>890</v>
      </c>
      <c r="O895" s="57">
        <v>45689</v>
      </c>
      <c r="P895" t="s">
        <v>892</v>
      </c>
      <c r="Q895" s="56">
        <v>200000</v>
      </c>
      <c r="R895" t="s">
        <v>840</v>
      </c>
      <c r="S895" t="s">
        <v>739</v>
      </c>
      <c r="T895" t="s">
        <v>740</v>
      </c>
      <c r="U895" t="s">
        <v>421</v>
      </c>
      <c r="V895" t="s">
        <v>7</v>
      </c>
      <c r="W895" t="s">
        <v>137</v>
      </c>
      <c r="X895" t="s">
        <v>24</v>
      </c>
      <c r="Y895" s="56">
        <f>IF(clean[[#This Row],[is_delivered]]="Yes",clean[[#This Row],[net_sales]],0 )</f>
        <v>0</v>
      </c>
    </row>
    <row r="896" spans="1:25">
      <c r="A896" t="s">
        <v>2030</v>
      </c>
      <c r="B896" s="9">
        <v>45706</v>
      </c>
      <c r="C896" t="s">
        <v>144</v>
      </c>
      <c r="D896" t="s">
        <v>845</v>
      </c>
      <c r="E896">
        <v>4</v>
      </c>
      <c r="F896" s="56">
        <v>300000</v>
      </c>
      <c r="G896" s="56">
        <v>1200000</v>
      </c>
      <c r="H896" t="s">
        <v>895</v>
      </c>
      <c r="I896" s="56">
        <v>180000</v>
      </c>
      <c r="J896" s="56">
        <v>20000</v>
      </c>
      <c r="K896" s="56">
        <v>1040000</v>
      </c>
      <c r="L896" t="s">
        <v>873</v>
      </c>
      <c r="M896" t="s">
        <v>881</v>
      </c>
      <c r="N896" t="s">
        <v>890</v>
      </c>
      <c r="O896" s="57">
        <v>45689</v>
      </c>
      <c r="P896" t="s">
        <v>892</v>
      </c>
      <c r="Q896" s="56">
        <v>1020000</v>
      </c>
      <c r="R896" t="s">
        <v>846</v>
      </c>
      <c r="S896" t="s">
        <v>727</v>
      </c>
      <c r="T896" t="s">
        <v>728</v>
      </c>
      <c r="U896" t="s">
        <v>145</v>
      </c>
      <c r="V896" t="s">
        <v>23</v>
      </c>
      <c r="W896" t="s">
        <v>51</v>
      </c>
      <c r="X896" t="s">
        <v>9</v>
      </c>
      <c r="Y896" s="56">
        <f>IF(clean[[#This Row],[is_delivered]]="Yes",clean[[#This Row],[net_sales]],0 )</f>
        <v>0</v>
      </c>
    </row>
    <row r="897" spans="1:25">
      <c r="A897" t="s">
        <v>2068</v>
      </c>
      <c r="B897" s="9">
        <v>45706</v>
      </c>
      <c r="C897" t="s">
        <v>356</v>
      </c>
      <c r="D897" t="s">
        <v>839</v>
      </c>
      <c r="E897">
        <v>2</v>
      </c>
      <c r="F897" s="56">
        <v>200000</v>
      </c>
      <c r="G897" s="56">
        <v>400000</v>
      </c>
      <c r="H897" t="s">
        <v>872</v>
      </c>
      <c r="I897" s="56">
        <v>0</v>
      </c>
      <c r="J897" s="56">
        <v>25000</v>
      </c>
      <c r="K897" s="56">
        <v>425000</v>
      </c>
      <c r="L897" t="s">
        <v>889</v>
      </c>
      <c r="M897" t="s">
        <v>901</v>
      </c>
      <c r="N897" t="s">
        <v>905</v>
      </c>
      <c r="O897" s="57">
        <v>45689</v>
      </c>
      <c r="P897" t="s">
        <v>892</v>
      </c>
      <c r="Q897" s="56">
        <v>400000</v>
      </c>
      <c r="R897" t="s">
        <v>840</v>
      </c>
      <c r="S897" t="s">
        <v>739</v>
      </c>
      <c r="T897" t="s">
        <v>740</v>
      </c>
      <c r="U897" t="s">
        <v>357</v>
      </c>
      <c r="V897" t="s">
        <v>7</v>
      </c>
      <c r="W897" t="s">
        <v>56</v>
      </c>
      <c r="X897" t="s">
        <v>9</v>
      </c>
      <c r="Y897" s="56">
        <f>IF(clean[[#This Row],[is_delivered]]="Yes",clean[[#This Row],[net_sales]],0 )</f>
        <v>0</v>
      </c>
    </row>
    <row r="898" spans="1:25">
      <c r="A898" t="s">
        <v>1140</v>
      </c>
      <c r="B898" s="9">
        <v>45705</v>
      </c>
      <c r="C898" t="s">
        <v>234</v>
      </c>
      <c r="D898" t="s">
        <v>823</v>
      </c>
      <c r="E898">
        <v>2</v>
      </c>
      <c r="F898" s="56">
        <v>500000</v>
      </c>
      <c r="G898" s="56">
        <v>1000000</v>
      </c>
      <c r="H898" t="s">
        <v>886</v>
      </c>
      <c r="I898" s="56">
        <v>100000</v>
      </c>
      <c r="J898" s="56">
        <v>20000</v>
      </c>
      <c r="K898" s="56">
        <v>920000</v>
      </c>
      <c r="L898" t="s">
        <v>884</v>
      </c>
      <c r="M898" t="s">
        <v>903</v>
      </c>
      <c r="N898" t="s">
        <v>905</v>
      </c>
      <c r="O898" s="57">
        <v>45689</v>
      </c>
      <c r="P898" t="s">
        <v>892</v>
      </c>
      <c r="Q898" s="56">
        <v>900000</v>
      </c>
      <c r="R898" t="s">
        <v>824</v>
      </c>
      <c r="S898" t="s">
        <v>731</v>
      </c>
      <c r="T898" t="s">
        <v>732</v>
      </c>
      <c r="U898" t="s">
        <v>235</v>
      </c>
      <c r="V898" t="s">
        <v>7</v>
      </c>
      <c r="W898" t="s">
        <v>29</v>
      </c>
      <c r="X898" t="s">
        <v>9</v>
      </c>
      <c r="Y898" s="56">
        <f>IF(clean[[#This Row],[is_delivered]]="Yes",clean[[#This Row],[net_sales]],0 )</f>
        <v>0</v>
      </c>
    </row>
    <row r="899" spans="1:25">
      <c r="A899" t="s">
        <v>1143</v>
      </c>
      <c r="B899" s="9">
        <v>45705</v>
      </c>
      <c r="C899" t="s">
        <v>676</v>
      </c>
      <c r="D899" t="s">
        <v>751</v>
      </c>
      <c r="E899">
        <v>2</v>
      </c>
      <c r="F899" s="56">
        <v>150000</v>
      </c>
      <c r="G899" s="56">
        <v>300000</v>
      </c>
      <c r="H899" t="s">
        <v>883</v>
      </c>
      <c r="I899" s="56">
        <v>30000</v>
      </c>
      <c r="J899" s="56">
        <v>20000</v>
      </c>
      <c r="K899" s="56">
        <v>290000</v>
      </c>
      <c r="L899" t="s">
        <v>873</v>
      </c>
      <c r="M899" t="s">
        <v>901</v>
      </c>
      <c r="N899" t="s">
        <v>875</v>
      </c>
      <c r="O899" s="57">
        <v>45689</v>
      </c>
      <c r="P899" t="s">
        <v>877</v>
      </c>
      <c r="Q899" s="56">
        <v>270000</v>
      </c>
      <c r="R899" t="s">
        <v>752</v>
      </c>
      <c r="S899" t="s">
        <v>731</v>
      </c>
      <c r="T899" t="s">
        <v>732</v>
      </c>
      <c r="U899" t="s">
        <v>677</v>
      </c>
      <c r="V899" t="s">
        <v>7</v>
      </c>
      <c r="W899" t="s">
        <v>29</v>
      </c>
      <c r="X899" t="s">
        <v>15</v>
      </c>
      <c r="Y899" s="56">
        <f>IF(clean[[#This Row],[is_delivered]]="Yes",clean[[#This Row],[net_sales]],0 )</f>
        <v>270000</v>
      </c>
    </row>
    <row r="900" spans="1:25">
      <c r="A900" t="s">
        <v>990</v>
      </c>
      <c r="B900" s="9">
        <v>45705</v>
      </c>
      <c r="C900" t="s">
        <v>156</v>
      </c>
      <c r="D900" t="s">
        <v>817</v>
      </c>
      <c r="E900">
        <v>1</v>
      </c>
      <c r="F900" s="56">
        <v>75000</v>
      </c>
      <c r="G900" s="56">
        <v>75000</v>
      </c>
      <c r="H900" t="s">
        <v>872</v>
      </c>
      <c r="I900" s="56">
        <v>0</v>
      </c>
      <c r="J900" s="56">
        <v>10000</v>
      </c>
      <c r="K900" s="56">
        <v>85000</v>
      </c>
      <c r="L900" t="s">
        <v>889</v>
      </c>
      <c r="M900" t="s">
        <v>874</v>
      </c>
      <c r="N900" t="s">
        <v>875</v>
      </c>
      <c r="O900" s="57">
        <v>45689</v>
      </c>
      <c r="P900" t="s">
        <v>877</v>
      </c>
      <c r="Q900" s="56">
        <v>75000</v>
      </c>
      <c r="R900" t="s">
        <v>818</v>
      </c>
      <c r="S900" t="s">
        <v>743</v>
      </c>
      <c r="T900" t="s">
        <v>744</v>
      </c>
      <c r="U900" t="s">
        <v>157</v>
      </c>
      <c r="V900" t="s">
        <v>23</v>
      </c>
      <c r="W900" t="s">
        <v>137</v>
      </c>
      <c r="X900" t="s">
        <v>15</v>
      </c>
      <c r="Y900" s="56">
        <f>IF(clean[[#This Row],[is_delivered]]="Yes",clean[[#This Row],[net_sales]],0 )</f>
        <v>75000</v>
      </c>
    </row>
    <row r="901" spans="1:25">
      <c r="A901" t="s">
        <v>1125</v>
      </c>
      <c r="B901" s="9">
        <v>45705</v>
      </c>
      <c r="C901" t="s">
        <v>338</v>
      </c>
      <c r="D901" t="s">
        <v>851</v>
      </c>
      <c r="E901">
        <v>1</v>
      </c>
      <c r="F901" s="56">
        <v>35000</v>
      </c>
      <c r="G901" s="56">
        <v>35000</v>
      </c>
      <c r="H901" t="s">
        <v>886</v>
      </c>
      <c r="I901" s="56">
        <v>3500</v>
      </c>
      <c r="J901" s="56">
        <v>15000</v>
      </c>
      <c r="K901" s="56">
        <v>46500</v>
      </c>
      <c r="L901" t="s">
        <v>873</v>
      </c>
      <c r="M901" t="s">
        <v>901</v>
      </c>
      <c r="N901" t="s">
        <v>875</v>
      </c>
      <c r="O901" s="57">
        <v>45689</v>
      </c>
      <c r="P901" t="s">
        <v>877</v>
      </c>
      <c r="Q901" s="56">
        <v>31500</v>
      </c>
      <c r="R901" t="s">
        <v>852</v>
      </c>
      <c r="S901" t="s">
        <v>739</v>
      </c>
      <c r="T901" t="s">
        <v>740</v>
      </c>
      <c r="U901" t="s">
        <v>339</v>
      </c>
      <c r="V901" t="s">
        <v>7</v>
      </c>
      <c r="W901" t="s">
        <v>36</v>
      </c>
      <c r="X901" t="s">
        <v>15</v>
      </c>
      <c r="Y901" s="56">
        <f>IF(clean[[#This Row],[is_delivered]]="Yes",clean[[#This Row],[net_sales]],0 )</f>
        <v>31500</v>
      </c>
    </row>
    <row r="902" spans="1:25">
      <c r="A902" t="s">
        <v>1301</v>
      </c>
      <c r="B902" s="9">
        <v>45705</v>
      </c>
      <c r="C902" t="s">
        <v>52</v>
      </c>
      <c r="D902" t="s">
        <v>767</v>
      </c>
      <c r="E902">
        <v>4</v>
      </c>
      <c r="F902" s="56">
        <v>150000</v>
      </c>
      <c r="G902" s="56">
        <v>600000</v>
      </c>
      <c r="H902" t="s">
        <v>872</v>
      </c>
      <c r="I902" s="56">
        <v>0</v>
      </c>
      <c r="J902" s="56">
        <v>30000</v>
      </c>
      <c r="K902" s="56">
        <v>630000</v>
      </c>
      <c r="L902" t="s">
        <v>884</v>
      </c>
      <c r="M902" t="s">
        <v>874</v>
      </c>
      <c r="N902" t="s">
        <v>890</v>
      </c>
      <c r="O902" s="57">
        <v>45689</v>
      </c>
      <c r="P902" t="s">
        <v>892</v>
      </c>
      <c r="Q902" s="56">
        <v>600000</v>
      </c>
      <c r="R902" t="s">
        <v>768</v>
      </c>
      <c r="S902" t="s">
        <v>739</v>
      </c>
      <c r="T902" t="s">
        <v>740</v>
      </c>
      <c r="U902" t="s">
        <v>53</v>
      </c>
      <c r="V902" t="s">
        <v>23</v>
      </c>
      <c r="W902" t="s">
        <v>51</v>
      </c>
      <c r="X902" t="s">
        <v>24</v>
      </c>
      <c r="Y902" s="56">
        <f>IF(clean[[#This Row],[is_delivered]]="Yes",clean[[#This Row],[net_sales]],0 )</f>
        <v>0</v>
      </c>
    </row>
    <row r="903" spans="1:25">
      <c r="A903" t="s">
        <v>1504</v>
      </c>
      <c r="B903" s="9">
        <v>45705</v>
      </c>
      <c r="C903" t="s">
        <v>278</v>
      </c>
      <c r="D903" t="s">
        <v>775</v>
      </c>
      <c r="E903">
        <v>2</v>
      </c>
      <c r="F903" s="56">
        <v>75000</v>
      </c>
      <c r="G903" s="56">
        <v>150000</v>
      </c>
      <c r="H903" t="s">
        <v>895</v>
      </c>
      <c r="I903" s="56">
        <v>22500</v>
      </c>
      <c r="J903" s="56">
        <v>25000</v>
      </c>
      <c r="K903" s="56">
        <v>152500</v>
      </c>
      <c r="L903" t="s">
        <v>873</v>
      </c>
      <c r="M903" t="s">
        <v>874</v>
      </c>
      <c r="N903" t="s">
        <v>890</v>
      </c>
      <c r="O903" s="57">
        <v>45689</v>
      </c>
      <c r="P903" t="s">
        <v>892</v>
      </c>
      <c r="Q903" s="56">
        <v>127500</v>
      </c>
      <c r="R903" t="s">
        <v>776</v>
      </c>
      <c r="S903" t="s">
        <v>731</v>
      </c>
      <c r="T903" t="s">
        <v>732</v>
      </c>
      <c r="U903" t="s">
        <v>279</v>
      </c>
      <c r="V903" t="s">
        <v>23</v>
      </c>
      <c r="W903" t="s">
        <v>56</v>
      </c>
      <c r="X903" t="s">
        <v>15</v>
      </c>
      <c r="Y903" s="56">
        <f>IF(clean[[#This Row],[is_delivered]]="Yes",clean[[#This Row],[net_sales]],0 )</f>
        <v>0</v>
      </c>
    </row>
    <row r="904" spans="1:25">
      <c r="A904" t="s">
        <v>1519</v>
      </c>
      <c r="B904" s="9">
        <v>45705</v>
      </c>
      <c r="C904" t="s">
        <v>614</v>
      </c>
      <c r="D904" t="s">
        <v>789</v>
      </c>
      <c r="E904">
        <v>1</v>
      </c>
      <c r="F904" s="56">
        <v>200000</v>
      </c>
      <c r="G904" s="56">
        <v>200000</v>
      </c>
      <c r="H904" t="s">
        <v>879</v>
      </c>
      <c r="I904" s="56">
        <v>40000</v>
      </c>
      <c r="J904" s="56">
        <v>10000</v>
      </c>
      <c r="K904" s="56">
        <v>170000</v>
      </c>
      <c r="L904" t="s">
        <v>873</v>
      </c>
      <c r="M904" t="s">
        <v>874</v>
      </c>
      <c r="N904" t="s">
        <v>875</v>
      </c>
      <c r="O904" s="57">
        <v>45689</v>
      </c>
      <c r="P904" t="s">
        <v>877</v>
      </c>
      <c r="Q904" s="56">
        <v>160000</v>
      </c>
      <c r="R904" t="s">
        <v>790</v>
      </c>
      <c r="S904" t="s">
        <v>735</v>
      </c>
      <c r="T904" t="s">
        <v>736</v>
      </c>
      <c r="U904" t="s">
        <v>615</v>
      </c>
      <c r="V904" t="s">
        <v>23</v>
      </c>
      <c r="W904" t="s">
        <v>51</v>
      </c>
      <c r="X904" t="s">
        <v>9</v>
      </c>
      <c r="Y904" s="56">
        <f>IF(clean[[#This Row],[is_delivered]]="Yes",clean[[#This Row],[net_sales]],0 )</f>
        <v>160000</v>
      </c>
    </row>
    <row r="905" spans="1:25">
      <c r="A905" t="s">
        <v>1786</v>
      </c>
      <c r="B905" s="9">
        <v>45705</v>
      </c>
      <c r="C905" t="s">
        <v>498</v>
      </c>
      <c r="D905" t="s">
        <v>789</v>
      </c>
      <c r="E905">
        <v>2</v>
      </c>
      <c r="F905" s="56">
        <v>200000</v>
      </c>
      <c r="G905" s="56">
        <v>400000</v>
      </c>
      <c r="H905" t="s">
        <v>872</v>
      </c>
      <c r="I905" s="56">
        <v>0</v>
      </c>
      <c r="J905" s="56">
        <v>10000</v>
      </c>
      <c r="K905" s="56">
        <v>410000</v>
      </c>
      <c r="L905" t="s">
        <v>880</v>
      </c>
      <c r="M905" t="s">
        <v>881</v>
      </c>
      <c r="N905" t="s">
        <v>905</v>
      </c>
      <c r="O905" s="57">
        <v>45689</v>
      </c>
      <c r="P905" t="s">
        <v>892</v>
      </c>
      <c r="Q905" s="56">
        <v>400000</v>
      </c>
      <c r="R905" t="s">
        <v>790</v>
      </c>
      <c r="S905" t="s">
        <v>735</v>
      </c>
      <c r="T905" t="s">
        <v>736</v>
      </c>
      <c r="U905" t="s">
        <v>499</v>
      </c>
      <c r="V905" t="s">
        <v>23</v>
      </c>
      <c r="W905" t="s">
        <v>46</v>
      </c>
      <c r="X905" t="s">
        <v>24</v>
      </c>
      <c r="Y905" s="56">
        <f>IF(clean[[#This Row],[is_delivered]]="Yes",clean[[#This Row],[net_sales]],0 )</f>
        <v>0</v>
      </c>
    </row>
    <row r="906" spans="1:25">
      <c r="A906" t="s">
        <v>1945</v>
      </c>
      <c r="B906" s="9">
        <v>45705</v>
      </c>
      <c r="C906" t="s">
        <v>570</v>
      </c>
      <c r="D906" t="s">
        <v>825</v>
      </c>
      <c r="E906">
        <v>1</v>
      </c>
      <c r="F906" s="56">
        <v>100000</v>
      </c>
      <c r="G906" s="56">
        <v>100000</v>
      </c>
      <c r="H906" t="s">
        <v>895</v>
      </c>
      <c r="I906" s="56">
        <v>15000</v>
      </c>
      <c r="J906" s="56">
        <v>10000</v>
      </c>
      <c r="K906" s="56">
        <v>95000</v>
      </c>
      <c r="L906" t="s">
        <v>889</v>
      </c>
      <c r="M906" t="s">
        <v>901</v>
      </c>
      <c r="N906" t="s">
        <v>890</v>
      </c>
      <c r="O906" s="57">
        <v>45689</v>
      </c>
      <c r="P906" t="s">
        <v>892</v>
      </c>
      <c r="Q906" s="56">
        <v>85000</v>
      </c>
      <c r="R906" t="s">
        <v>826</v>
      </c>
      <c r="S906" t="s">
        <v>735</v>
      </c>
      <c r="T906" t="s">
        <v>736</v>
      </c>
      <c r="U906" t="s">
        <v>571</v>
      </c>
      <c r="V906" t="s">
        <v>23</v>
      </c>
      <c r="W906" t="s">
        <v>56</v>
      </c>
      <c r="X906" t="s">
        <v>9</v>
      </c>
      <c r="Y906" s="56">
        <f>IF(clean[[#This Row],[is_delivered]]="Yes",clean[[#This Row],[net_sales]],0 )</f>
        <v>0</v>
      </c>
    </row>
    <row r="907" spans="1:25">
      <c r="A907" t="s">
        <v>1984</v>
      </c>
      <c r="B907" s="9">
        <v>45705</v>
      </c>
      <c r="C907" t="s">
        <v>484</v>
      </c>
      <c r="D907" t="s">
        <v>749</v>
      </c>
      <c r="E907">
        <v>2</v>
      </c>
      <c r="F907" s="56">
        <v>150000</v>
      </c>
      <c r="G907" s="56">
        <v>300000</v>
      </c>
      <c r="H907" t="s">
        <v>872</v>
      </c>
      <c r="I907" s="56">
        <v>0</v>
      </c>
      <c r="J907" s="56">
        <v>30000</v>
      </c>
      <c r="K907" s="56">
        <v>330000</v>
      </c>
      <c r="L907" t="s">
        <v>889</v>
      </c>
      <c r="M907" t="s">
        <v>881</v>
      </c>
      <c r="N907" t="s">
        <v>875</v>
      </c>
      <c r="O907" s="57">
        <v>45689</v>
      </c>
      <c r="P907" t="s">
        <v>877</v>
      </c>
      <c r="Q907" s="56">
        <v>300000</v>
      </c>
      <c r="R907" t="s">
        <v>750</v>
      </c>
      <c r="S907" t="s">
        <v>727</v>
      </c>
      <c r="T907" t="s">
        <v>728</v>
      </c>
      <c r="U907" t="s">
        <v>485</v>
      </c>
      <c r="V907" t="s">
        <v>7</v>
      </c>
      <c r="W907" t="s">
        <v>8</v>
      </c>
      <c r="X907" t="s">
        <v>9</v>
      </c>
      <c r="Y907" s="56">
        <f>IF(clean[[#This Row],[is_delivered]]="Yes",clean[[#This Row],[net_sales]],0 )</f>
        <v>300000</v>
      </c>
    </row>
    <row r="908" spans="1:25">
      <c r="A908" t="s">
        <v>1062</v>
      </c>
      <c r="B908" s="9">
        <v>45704</v>
      </c>
      <c r="C908" t="s">
        <v>644</v>
      </c>
      <c r="D908" t="s">
        <v>855</v>
      </c>
      <c r="E908">
        <v>3</v>
      </c>
      <c r="F908" s="56">
        <v>150000</v>
      </c>
      <c r="G908" s="56">
        <v>450000</v>
      </c>
      <c r="H908" t="s">
        <v>886</v>
      </c>
      <c r="I908" s="56">
        <v>45000</v>
      </c>
      <c r="J908" s="56">
        <v>20000</v>
      </c>
      <c r="K908" s="56">
        <v>425000</v>
      </c>
      <c r="L908" t="s">
        <v>884</v>
      </c>
      <c r="M908" t="s">
        <v>874</v>
      </c>
      <c r="N908" t="s">
        <v>875</v>
      </c>
      <c r="O908" s="57">
        <v>45689</v>
      </c>
      <c r="P908" t="s">
        <v>877</v>
      </c>
      <c r="Q908" s="56">
        <v>405000</v>
      </c>
      <c r="R908" t="s">
        <v>856</v>
      </c>
      <c r="S908" t="s">
        <v>747</v>
      </c>
      <c r="T908" t="s">
        <v>748</v>
      </c>
      <c r="U908" t="s">
        <v>645</v>
      </c>
      <c r="V908" t="s">
        <v>23</v>
      </c>
      <c r="W908" t="s">
        <v>8</v>
      </c>
      <c r="X908" t="s">
        <v>24</v>
      </c>
      <c r="Y908" s="56">
        <f>IF(clean[[#This Row],[is_delivered]]="Yes",clean[[#This Row],[net_sales]],0 )</f>
        <v>405000</v>
      </c>
    </row>
    <row r="909" spans="1:25">
      <c r="A909" t="s">
        <v>1328</v>
      </c>
      <c r="B909" s="9">
        <v>45704</v>
      </c>
      <c r="C909" t="s">
        <v>200</v>
      </c>
      <c r="D909" t="s">
        <v>771</v>
      </c>
      <c r="E909">
        <v>2</v>
      </c>
      <c r="F909" s="56">
        <v>500000</v>
      </c>
      <c r="G909" s="56">
        <v>1000000</v>
      </c>
      <c r="H909" t="s">
        <v>895</v>
      </c>
      <c r="I909" s="56">
        <v>150000</v>
      </c>
      <c r="J909" s="56">
        <v>15000</v>
      </c>
      <c r="K909" s="56">
        <v>865000</v>
      </c>
      <c r="L909" t="s">
        <v>884</v>
      </c>
      <c r="M909" t="s">
        <v>881</v>
      </c>
      <c r="N909" t="s">
        <v>905</v>
      </c>
      <c r="O909" s="57">
        <v>45689</v>
      </c>
      <c r="P909" t="s">
        <v>892</v>
      </c>
      <c r="Q909" s="56">
        <v>850000</v>
      </c>
      <c r="R909" t="s">
        <v>772</v>
      </c>
      <c r="S909" t="s">
        <v>747</v>
      </c>
      <c r="T909" t="s">
        <v>748</v>
      </c>
      <c r="U909" t="s">
        <v>201</v>
      </c>
      <c r="V909" t="s">
        <v>7</v>
      </c>
      <c r="W909" t="s">
        <v>51</v>
      </c>
      <c r="X909" t="s">
        <v>9</v>
      </c>
      <c r="Y909" s="56">
        <f>IF(clean[[#This Row],[is_delivered]]="Yes",clean[[#This Row],[net_sales]],0 )</f>
        <v>0</v>
      </c>
    </row>
    <row r="910" spans="1:25">
      <c r="A910" t="s">
        <v>1369</v>
      </c>
      <c r="B910" s="9">
        <v>45704</v>
      </c>
      <c r="C910" t="s">
        <v>380</v>
      </c>
      <c r="D910" t="s">
        <v>819</v>
      </c>
      <c r="E910">
        <v>4</v>
      </c>
      <c r="F910" s="56">
        <v>300000</v>
      </c>
      <c r="G910" s="56">
        <v>1200000</v>
      </c>
      <c r="H910" t="s">
        <v>872</v>
      </c>
      <c r="I910" s="56">
        <v>0</v>
      </c>
      <c r="J910" s="56">
        <v>20000</v>
      </c>
      <c r="K910" s="56">
        <v>1220000</v>
      </c>
      <c r="L910" t="s">
        <v>880</v>
      </c>
      <c r="M910" t="s">
        <v>874</v>
      </c>
      <c r="N910" t="s">
        <v>875</v>
      </c>
      <c r="O910" s="57">
        <v>45689</v>
      </c>
      <c r="P910" t="s">
        <v>877</v>
      </c>
      <c r="Q910" s="56">
        <v>1200000</v>
      </c>
      <c r="R910" t="s">
        <v>820</v>
      </c>
      <c r="S910" t="s">
        <v>747</v>
      </c>
      <c r="T910" t="s">
        <v>748</v>
      </c>
      <c r="U910" t="s">
        <v>381</v>
      </c>
      <c r="V910" t="s">
        <v>23</v>
      </c>
      <c r="W910" t="s">
        <v>39</v>
      </c>
      <c r="X910" t="s">
        <v>9</v>
      </c>
      <c r="Y910" s="56">
        <f>IF(clean[[#This Row],[is_delivered]]="Yes",clean[[#This Row],[net_sales]],0 )</f>
        <v>1200000</v>
      </c>
    </row>
    <row r="911" spans="1:25">
      <c r="A911" t="s">
        <v>2074</v>
      </c>
      <c r="B911" s="9">
        <v>45704</v>
      </c>
      <c r="C911" t="s">
        <v>208</v>
      </c>
      <c r="D911" t="s">
        <v>797</v>
      </c>
      <c r="E911">
        <v>2</v>
      </c>
      <c r="F911" s="56">
        <v>150000</v>
      </c>
      <c r="G911" s="56">
        <v>300000</v>
      </c>
      <c r="H911" t="s">
        <v>872</v>
      </c>
      <c r="I911" s="56">
        <v>0</v>
      </c>
      <c r="J911" s="56">
        <v>25000</v>
      </c>
      <c r="K911" s="56">
        <v>325000</v>
      </c>
      <c r="L911" t="s">
        <v>880</v>
      </c>
      <c r="M911" t="s">
        <v>901</v>
      </c>
      <c r="N911" t="s">
        <v>905</v>
      </c>
      <c r="O911" s="57">
        <v>45689</v>
      </c>
      <c r="P911" t="s">
        <v>892</v>
      </c>
      <c r="Q911" s="56">
        <v>300000</v>
      </c>
      <c r="R911" t="s">
        <v>798</v>
      </c>
      <c r="S911" t="s">
        <v>727</v>
      </c>
      <c r="T911" t="s">
        <v>728</v>
      </c>
      <c r="U911" t="s">
        <v>209</v>
      </c>
      <c r="V911" t="s">
        <v>7</v>
      </c>
      <c r="W911" t="s">
        <v>20</v>
      </c>
      <c r="X911" t="s">
        <v>9</v>
      </c>
      <c r="Y911" s="56">
        <f>IF(clean[[#This Row],[is_delivered]]="Yes",clean[[#This Row],[net_sales]],0 )</f>
        <v>0</v>
      </c>
    </row>
    <row r="912" spans="1:25">
      <c r="A912" t="s">
        <v>1010</v>
      </c>
      <c r="B912" s="9">
        <v>45703</v>
      </c>
      <c r="C912" t="s">
        <v>54</v>
      </c>
      <c r="D912" t="s">
        <v>737</v>
      </c>
      <c r="E912">
        <v>1</v>
      </c>
      <c r="F912" s="56">
        <v>300000</v>
      </c>
      <c r="G912" s="56">
        <v>300000</v>
      </c>
      <c r="H912" t="s">
        <v>872</v>
      </c>
      <c r="I912" s="56">
        <v>0</v>
      </c>
      <c r="J912" s="56">
        <v>30000</v>
      </c>
      <c r="K912" s="56">
        <v>330000</v>
      </c>
      <c r="L912" t="s">
        <v>880</v>
      </c>
      <c r="M912" t="s">
        <v>901</v>
      </c>
      <c r="N912" t="s">
        <v>875</v>
      </c>
      <c r="O912" s="57">
        <v>45689</v>
      </c>
      <c r="P912" t="s">
        <v>877</v>
      </c>
      <c r="Q912" s="56">
        <v>300000</v>
      </c>
      <c r="R912" t="s">
        <v>738</v>
      </c>
      <c r="S912" t="s">
        <v>739</v>
      </c>
      <c r="T912" t="s">
        <v>740</v>
      </c>
      <c r="U912" t="s">
        <v>55</v>
      </c>
      <c r="V912" t="s">
        <v>7</v>
      </c>
      <c r="W912" t="s">
        <v>56</v>
      </c>
      <c r="X912" t="s">
        <v>24</v>
      </c>
      <c r="Y912" s="56">
        <f>IF(clean[[#This Row],[is_delivered]]="Yes",clean[[#This Row],[net_sales]],0 )</f>
        <v>300000</v>
      </c>
    </row>
    <row r="913" spans="1:25">
      <c r="A913" t="s">
        <v>1231</v>
      </c>
      <c r="B913" s="9">
        <v>45703</v>
      </c>
      <c r="C913" t="s">
        <v>230</v>
      </c>
      <c r="D913" t="s">
        <v>799</v>
      </c>
      <c r="E913">
        <v>3</v>
      </c>
      <c r="F913" s="56">
        <v>35000</v>
      </c>
      <c r="G913" s="56">
        <v>105000</v>
      </c>
      <c r="H913" t="s">
        <v>895</v>
      </c>
      <c r="I913" s="56">
        <v>15750</v>
      </c>
      <c r="J913" s="56">
        <v>15000</v>
      </c>
      <c r="K913" s="56">
        <v>104250</v>
      </c>
      <c r="L913" t="s">
        <v>889</v>
      </c>
      <c r="M913" t="s">
        <v>903</v>
      </c>
      <c r="N913" t="s">
        <v>921</v>
      </c>
      <c r="O913" s="57">
        <v>45689</v>
      </c>
      <c r="P913" t="s">
        <v>892</v>
      </c>
      <c r="Q913" s="56">
        <v>89250</v>
      </c>
      <c r="R913" t="s">
        <v>800</v>
      </c>
      <c r="S913" t="s">
        <v>731</v>
      </c>
      <c r="T913" t="s">
        <v>732</v>
      </c>
      <c r="U913" t="s">
        <v>231</v>
      </c>
      <c r="V913" t="s">
        <v>7</v>
      </c>
      <c r="W913" t="s">
        <v>36</v>
      </c>
      <c r="X913" t="s">
        <v>24</v>
      </c>
      <c r="Y913" s="56">
        <f>IF(clean[[#This Row],[is_delivered]]="Yes",clean[[#This Row],[net_sales]],0 )</f>
        <v>0</v>
      </c>
    </row>
    <row r="914" spans="1:25">
      <c r="A914" t="s">
        <v>1574</v>
      </c>
      <c r="B914" s="9">
        <v>45703</v>
      </c>
      <c r="C914" t="s">
        <v>686</v>
      </c>
      <c r="D914" t="s">
        <v>761</v>
      </c>
      <c r="E914">
        <v>1</v>
      </c>
      <c r="F914" s="56">
        <v>75000</v>
      </c>
      <c r="G914" s="56">
        <v>75000</v>
      </c>
      <c r="H914" t="s">
        <v>872</v>
      </c>
      <c r="I914" s="56">
        <v>0</v>
      </c>
      <c r="J914" s="56">
        <v>10000</v>
      </c>
      <c r="K914" s="56">
        <v>85000</v>
      </c>
      <c r="L914" t="s">
        <v>889</v>
      </c>
      <c r="M914" t="s">
        <v>901</v>
      </c>
      <c r="N914" t="s">
        <v>875</v>
      </c>
      <c r="O914" s="57">
        <v>45689</v>
      </c>
      <c r="P914" t="s">
        <v>877</v>
      </c>
      <c r="Q914" s="56">
        <v>75000</v>
      </c>
      <c r="R914" t="s">
        <v>762</v>
      </c>
      <c r="S914" t="s">
        <v>727</v>
      </c>
      <c r="T914" t="s">
        <v>728</v>
      </c>
      <c r="U914" t="s">
        <v>687</v>
      </c>
      <c r="V914" t="s">
        <v>23</v>
      </c>
      <c r="W914" t="s">
        <v>29</v>
      </c>
      <c r="X914" t="s">
        <v>9</v>
      </c>
      <c r="Y914" s="56">
        <f>IF(clean[[#This Row],[is_delivered]]="Yes",clean[[#This Row],[net_sales]],0 )</f>
        <v>75000</v>
      </c>
    </row>
    <row r="915" spans="1:25">
      <c r="A915" t="s">
        <v>1696</v>
      </c>
      <c r="B915" s="9">
        <v>45703</v>
      </c>
      <c r="C915" t="s">
        <v>574</v>
      </c>
      <c r="D915" t="s">
        <v>757</v>
      </c>
      <c r="E915">
        <v>4</v>
      </c>
      <c r="F915" s="56">
        <v>75000</v>
      </c>
      <c r="G915" s="56">
        <v>300000</v>
      </c>
      <c r="H915" t="s">
        <v>886</v>
      </c>
      <c r="I915" s="56">
        <v>30000</v>
      </c>
      <c r="J915" s="56">
        <v>30000</v>
      </c>
      <c r="K915" s="56">
        <v>300000</v>
      </c>
      <c r="L915" t="s">
        <v>873</v>
      </c>
      <c r="M915" t="s">
        <v>903</v>
      </c>
      <c r="N915" t="s">
        <v>875</v>
      </c>
      <c r="O915" s="57">
        <v>45689</v>
      </c>
      <c r="P915" t="s">
        <v>877</v>
      </c>
      <c r="Q915" s="56">
        <v>270000</v>
      </c>
      <c r="R915" t="s">
        <v>758</v>
      </c>
      <c r="S915" t="s">
        <v>743</v>
      </c>
      <c r="T915" t="s">
        <v>744</v>
      </c>
      <c r="U915" t="s">
        <v>575</v>
      </c>
      <c r="V915" t="s">
        <v>7</v>
      </c>
      <c r="W915" t="s">
        <v>46</v>
      </c>
      <c r="X915" t="s">
        <v>24</v>
      </c>
      <c r="Y915" s="56">
        <f>IF(clean[[#This Row],[is_delivered]]="Yes",clean[[#This Row],[net_sales]],0 )</f>
        <v>270000</v>
      </c>
    </row>
    <row r="916" spans="1:25">
      <c r="A916" t="s">
        <v>1794</v>
      </c>
      <c r="B916" s="9">
        <v>45703</v>
      </c>
      <c r="C916" t="s">
        <v>146</v>
      </c>
      <c r="D916" t="s">
        <v>811</v>
      </c>
      <c r="E916">
        <v>3</v>
      </c>
      <c r="F916" s="56">
        <v>35000</v>
      </c>
      <c r="G916" s="56">
        <v>105000</v>
      </c>
      <c r="H916" t="s">
        <v>872</v>
      </c>
      <c r="I916" s="56">
        <v>0</v>
      </c>
      <c r="J916" s="56">
        <v>10000</v>
      </c>
      <c r="K916" s="56">
        <v>115000</v>
      </c>
      <c r="L916" t="s">
        <v>884</v>
      </c>
      <c r="M916" t="s">
        <v>881</v>
      </c>
      <c r="N916" t="s">
        <v>875</v>
      </c>
      <c r="O916" s="57">
        <v>45689</v>
      </c>
      <c r="P916" t="s">
        <v>877</v>
      </c>
      <c r="Q916" s="56">
        <v>105000</v>
      </c>
      <c r="R916" t="s">
        <v>812</v>
      </c>
      <c r="S916" t="s">
        <v>731</v>
      </c>
      <c r="T916" t="s">
        <v>732</v>
      </c>
      <c r="U916" t="s">
        <v>147</v>
      </c>
      <c r="V916" t="s">
        <v>7</v>
      </c>
      <c r="W916" t="s">
        <v>51</v>
      </c>
      <c r="X916" t="s">
        <v>24</v>
      </c>
      <c r="Y916" s="56">
        <f>IF(clean[[#This Row],[is_delivered]]="Yes",clean[[#This Row],[net_sales]],0 )</f>
        <v>105000</v>
      </c>
    </row>
    <row r="917" spans="1:25">
      <c r="A917" t="s">
        <v>1913</v>
      </c>
      <c r="B917" s="9">
        <v>45703</v>
      </c>
      <c r="C917" t="s">
        <v>190</v>
      </c>
      <c r="D917" t="s">
        <v>761</v>
      </c>
      <c r="E917">
        <v>2</v>
      </c>
      <c r="F917" s="56">
        <v>75000</v>
      </c>
      <c r="G917" s="56">
        <v>150000</v>
      </c>
      <c r="H917" t="s">
        <v>872</v>
      </c>
      <c r="I917" s="56">
        <v>0</v>
      </c>
      <c r="J917" s="56">
        <v>25000</v>
      </c>
      <c r="K917" s="56">
        <v>175000</v>
      </c>
      <c r="L917" t="s">
        <v>884</v>
      </c>
      <c r="M917" t="s">
        <v>901</v>
      </c>
      <c r="N917" t="s">
        <v>875</v>
      </c>
      <c r="O917" s="57">
        <v>45689</v>
      </c>
      <c r="P917" t="s">
        <v>877</v>
      </c>
      <c r="Q917" s="56">
        <v>150000</v>
      </c>
      <c r="R917" t="s">
        <v>762</v>
      </c>
      <c r="S917" t="s">
        <v>727</v>
      </c>
      <c r="T917" t="s">
        <v>728</v>
      </c>
      <c r="U917" t="s">
        <v>191</v>
      </c>
      <c r="V917" t="s">
        <v>7</v>
      </c>
      <c r="W917" t="s">
        <v>56</v>
      </c>
      <c r="X917" t="s">
        <v>24</v>
      </c>
      <c r="Y917" s="56">
        <f>IF(clean[[#This Row],[is_delivered]]="Yes",clean[[#This Row],[net_sales]],0 )</f>
        <v>150000</v>
      </c>
    </row>
    <row r="918" spans="1:25">
      <c r="A918" t="s">
        <v>2072</v>
      </c>
      <c r="B918" s="9">
        <v>45703</v>
      </c>
      <c r="C918" t="s">
        <v>42</v>
      </c>
      <c r="D918" t="s">
        <v>777</v>
      </c>
      <c r="E918">
        <v>4</v>
      </c>
      <c r="F918" s="56">
        <v>200000</v>
      </c>
      <c r="G918" s="56">
        <v>800000</v>
      </c>
      <c r="H918" t="s">
        <v>872</v>
      </c>
      <c r="I918" s="56">
        <v>0</v>
      </c>
      <c r="J918" s="56">
        <v>20000</v>
      </c>
      <c r="K918" s="56">
        <v>820000</v>
      </c>
      <c r="L918" t="s">
        <v>884</v>
      </c>
      <c r="M918" t="s">
        <v>901</v>
      </c>
      <c r="N918" t="s">
        <v>875</v>
      </c>
      <c r="O918" s="57">
        <v>45689</v>
      </c>
      <c r="P918" t="s">
        <v>877</v>
      </c>
      <c r="Q918" s="56">
        <v>800000</v>
      </c>
      <c r="R918" t="s">
        <v>778</v>
      </c>
      <c r="S918" t="s">
        <v>735</v>
      </c>
      <c r="T918" t="s">
        <v>736</v>
      </c>
      <c r="U918" t="s">
        <v>43</v>
      </c>
      <c r="V918" t="s">
        <v>23</v>
      </c>
      <c r="W918" t="s">
        <v>39</v>
      </c>
      <c r="X918" t="s">
        <v>15</v>
      </c>
      <c r="Y918" s="56">
        <f>IF(clean[[#This Row],[is_delivered]]="Yes",clean[[#This Row],[net_sales]],0 )</f>
        <v>800000</v>
      </c>
    </row>
    <row r="919" spans="1:25">
      <c r="A919" t="s">
        <v>1179</v>
      </c>
      <c r="B919" s="9">
        <v>45702</v>
      </c>
      <c r="C919" t="s">
        <v>696</v>
      </c>
      <c r="D919" t="s">
        <v>757</v>
      </c>
      <c r="E919">
        <v>2</v>
      </c>
      <c r="F919" s="56">
        <v>75000</v>
      </c>
      <c r="G919" s="56">
        <v>150000</v>
      </c>
      <c r="H919" t="s">
        <v>872</v>
      </c>
      <c r="I919" s="56">
        <v>0</v>
      </c>
      <c r="J919" s="56">
        <v>20000</v>
      </c>
      <c r="K919" s="56">
        <v>170000</v>
      </c>
      <c r="L919" t="s">
        <v>873</v>
      </c>
      <c r="M919" t="s">
        <v>881</v>
      </c>
      <c r="N919" t="s">
        <v>905</v>
      </c>
      <c r="O919" s="57">
        <v>45689</v>
      </c>
      <c r="P919" t="s">
        <v>892</v>
      </c>
      <c r="Q919" s="56">
        <v>150000</v>
      </c>
      <c r="R919" t="s">
        <v>758</v>
      </c>
      <c r="S919" t="s">
        <v>743</v>
      </c>
      <c r="T919" t="s">
        <v>744</v>
      </c>
      <c r="U919" t="s">
        <v>697</v>
      </c>
      <c r="V919" t="s">
        <v>23</v>
      </c>
      <c r="W919" t="s">
        <v>8</v>
      </c>
      <c r="X919" t="s">
        <v>9</v>
      </c>
      <c r="Y919" s="56">
        <f>IF(clean[[#This Row],[is_delivered]]="Yes",clean[[#This Row],[net_sales]],0 )</f>
        <v>0</v>
      </c>
    </row>
    <row r="920" spans="1:25">
      <c r="A920" t="s">
        <v>1989</v>
      </c>
      <c r="B920" s="9">
        <v>45702</v>
      </c>
      <c r="C920" t="s">
        <v>230</v>
      </c>
      <c r="D920" t="s">
        <v>753</v>
      </c>
      <c r="E920">
        <v>3</v>
      </c>
      <c r="F920" s="56">
        <v>300000</v>
      </c>
      <c r="G920" s="56">
        <v>900000</v>
      </c>
      <c r="H920" t="s">
        <v>886</v>
      </c>
      <c r="I920" s="56">
        <v>90000</v>
      </c>
      <c r="J920" s="56">
        <v>20000</v>
      </c>
      <c r="K920" s="56">
        <v>830000</v>
      </c>
      <c r="L920" t="s">
        <v>889</v>
      </c>
      <c r="M920" t="s">
        <v>874</v>
      </c>
      <c r="N920" t="s">
        <v>890</v>
      </c>
      <c r="O920" s="57">
        <v>45689</v>
      </c>
      <c r="P920" t="s">
        <v>892</v>
      </c>
      <c r="Q920" s="56">
        <v>810000</v>
      </c>
      <c r="R920" t="s">
        <v>754</v>
      </c>
      <c r="S920" t="s">
        <v>735</v>
      </c>
      <c r="T920" t="s">
        <v>736</v>
      </c>
      <c r="U920" t="s">
        <v>231</v>
      </c>
      <c r="V920" t="s">
        <v>7</v>
      </c>
      <c r="W920" t="s">
        <v>36</v>
      </c>
      <c r="X920" t="s">
        <v>24</v>
      </c>
      <c r="Y920" s="56">
        <f>IF(clean[[#This Row],[is_delivered]]="Yes",clean[[#This Row],[net_sales]],0 )</f>
        <v>0</v>
      </c>
    </row>
    <row r="921" spans="1:25">
      <c r="A921" t="s">
        <v>2015</v>
      </c>
      <c r="B921" s="9">
        <v>45702</v>
      </c>
      <c r="C921" t="s">
        <v>172</v>
      </c>
      <c r="D921" t="s">
        <v>855</v>
      </c>
      <c r="E921">
        <v>1</v>
      </c>
      <c r="F921" s="56">
        <v>150000</v>
      </c>
      <c r="G921" s="56">
        <v>150000</v>
      </c>
      <c r="H921" t="s">
        <v>895</v>
      </c>
      <c r="I921" s="56">
        <v>22500</v>
      </c>
      <c r="J921" s="56">
        <v>30000</v>
      </c>
      <c r="K921" s="56">
        <v>157500</v>
      </c>
      <c r="L921" t="s">
        <v>884</v>
      </c>
      <c r="M921" t="s">
        <v>881</v>
      </c>
      <c r="N921" t="s">
        <v>875</v>
      </c>
      <c r="O921" s="57">
        <v>45689</v>
      </c>
      <c r="P921" t="s">
        <v>877</v>
      </c>
      <c r="Q921" s="56">
        <v>127500</v>
      </c>
      <c r="R921" t="s">
        <v>856</v>
      </c>
      <c r="S921" t="s">
        <v>747</v>
      </c>
      <c r="T921" t="s">
        <v>748</v>
      </c>
      <c r="U921" t="s">
        <v>173</v>
      </c>
      <c r="V921" t="s">
        <v>7</v>
      </c>
      <c r="W921" t="s">
        <v>56</v>
      </c>
      <c r="X921" t="s">
        <v>9</v>
      </c>
      <c r="Y921" s="56">
        <f>IF(clean[[#This Row],[is_delivered]]="Yes",clean[[#This Row],[net_sales]],0 )</f>
        <v>127500</v>
      </c>
    </row>
    <row r="922" spans="1:25">
      <c r="A922" t="s">
        <v>1169</v>
      </c>
      <c r="B922" s="9">
        <v>45701</v>
      </c>
      <c r="C922" t="s">
        <v>624</v>
      </c>
      <c r="D922" t="s">
        <v>841</v>
      </c>
      <c r="E922">
        <v>1</v>
      </c>
      <c r="F922" s="56">
        <v>75000</v>
      </c>
      <c r="G922" s="56">
        <v>75000</v>
      </c>
      <c r="H922" t="s">
        <v>883</v>
      </c>
      <c r="I922" s="56">
        <v>7500</v>
      </c>
      <c r="J922" s="56">
        <v>10000</v>
      </c>
      <c r="K922" s="56">
        <v>77500</v>
      </c>
      <c r="L922" t="s">
        <v>884</v>
      </c>
      <c r="M922" t="s">
        <v>874</v>
      </c>
      <c r="N922" t="s">
        <v>875</v>
      </c>
      <c r="O922" s="57">
        <v>45689</v>
      </c>
      <c r="P922" t="s">
        <v>877</v>
      </c>
      <c r="Q922" s="56">
        <v>67500</v>
      </c>
      <c r="R922" t="s">
        <v>842</v>
      </c>
      <c r="S922" t="s">
        <v>743</v>
      </c>
      <c r="T922" t="s">
        <v>744</v>
      </c>
      <c r="U922" t="s">
        <v>625</v>
      </c>
      <c r="V922" t="s">
        <v>7</v>
      </c>
      <c r="W922" t="s">
        <v>56</v>
      </c>
      <c r="X922" t="s">
        <v>9</v>
      </c>
      <c r="Y922" s="56">
        <f>IF(clean[[#This Row],[is_delivered]]="Yes",clean[[#This Row],[net_sales]],0 )</f>
        <v>67500</v>
      </c>
    </row>
    <row r="923" spans="1:25">
      <c r="A923" t="s">
        <v>1313</v>
      </c>
      <c r="B923" s="9">
        <v>45701</v>
      </c>
      <c r="C923" t="s">
        <v>472</v>
      </c>
      <c r="D923" t="s">
        <v>757</v>
      </c>
      <c r="E923">
        <v>1</v>
      </c>
      <c r="F923" s="56">
        <v>75000</v>
      </c>
      <c r="G923" s="56">
        <v>75000</v>
      </c>
      <c r="H923" t="s">
        <v>895</v>
      </c>
      <c r="I923" s="56">
        <v>11250</v>
      </c>
      <c r="J923" s="56">
        <v>10000</v>
      </c>
      <c r="K923" s="56">
        <v>73750</v>
      </c>
      <c r="L923" t="s">
        <v>884</v>
      </c>
      <c r="M923" t="s">
        <v>874</v>
      </c>
      <c r="N923" t="s">
        <v>875</v>
      </c>
      <c r="O923" s="57">
        <v>45689</v>
      </c>
      <c r="P923" t="s">
        <v>877</v>
      </c>
      <c r="Q923" s="56">
        <v>63750</v>
      </c>
      <c r="R923" t="s">
        <v>758</v>
      </c>
      <c r="S923" t="s">
        <v>743</v>
      </c>
      <c r="T923" t="s">
        <v>744</v>
      </c>
      <c r="U923" t="s">
        <v>473</v>
      </c>
      <c r="V923" t="s">
        <v>7</v>
      </c>
      <c r="W923" t="s">
        <v>137</v>
      </c>
      <c r="X923" t="s">
        <v>9</v>
      </c>
      <c r="Y923" s="56">
        <f>IF(clean[[#This Row],[is_delivered]]="Yes",clean[[#This Row],[net_sales]],0 )</f>
        <v>63750</v>
      </c>
    </row>
    <row r="924" spans="1:25">
      <c r="A924" t="s">
        <v>1939</v>
      </c>
      <c r="B924" s="9">
        <v>45701</v>
      </c>
      <c r="C924" t="s">
        <v>284</v>
      </c>
      <c r="D924" t="s">
        <v>845</v>
      </c>
      <c r="E924">
        <v>2</v>
      </c>
      <c r="F924" s="56">
        <v>300000</v>
      </c>
      <c r="G924" s="56">
        <v>600000</v>
      </c>
      <c r="H924" t="s">
        <v>883</v>
      </c>
      <c r="I924" s="56">
        <v>60000</v>
      </c>
      <c r="J924" s="56">
        <v>20000</v>
      </c>
      <c r="K924" s="56">
        <v>560000</v>
      </c>
      <c r="L924" t="s">
        <v>873</v>
      </c>
      <c r="M924" t="s">
        <v>881</v>
      </c>
      <c r="N924" t="s">
        <v>890</v>
      </c>
      <c r="O924" s="57">
        <v>45689</v>
      </c>
      <c r="P924" t="s">
        <v>892</v>
      </c>
      <c r="Q924" s="56">
        <v>540000</v>
      </c>
      <c r="R924" t="s">
        <v>846</v>
      </c>
      <c r="S924" t="s">
        <v>727</v>
      </c>
      <c r="T924" t="s">
        <v>728</v>
      </c>
      <c r="U924" t="s">
        <v>285</v>
      </c>
      <c r="V924" t="s">
        <v>7</v>
      </c>
      <c r="W924" t="s">
        <v>137</v>
      </c>
      <c r="X924" t="s">
        <v>24</v>
      </c>
      <c r="Y924" s="56">
        <f>IF(clean[[#This Row],[is_delivered]]="Yes",clean[[#This Row],[net_sales]],0 )</f>
        <v>0</v>
      </c>
    </row>
    <row r="925" spans="1:25">
      <c r="A925" t="s">
        <v>2046</v>
      </c>
      <c r="B925" s="9">
        <v>45701</v>
      </c>
      <c r="C925" t="s">
        <v>358</v>
      </c>
      <c r="D925" t="s">
        <v>815</v>
      </c>
      <c r="E925">
        <v>1</v>
      </c>
      <c r="F925" s="56">
        <v>75000</v>
      </c>
      <c r="G925" s="56">
        <v>75000</v>
      </c>
      <c r="H925" t="s">
        <v>872</v>
      </c>
      <c r="I925" s="56">
        <v>0</v>
      </c>
      <c r="J925" s="56">
        <v>15000</v>
      </c>
      <c r="K925" s="56">
        <v>90000</v>
      </c>
      <c r="L925" t="s">
        <v>889</v>
      </c>
      <c r="M925" t="s">
        <v>903</v>
      </c>
      <c r="N925" t="s">
        <v>875</v>
      </c>
      <c r="O925" s="57">
        <v>45689</v>
      </c>
      <c r="P925" t="s">
        <v>877</v>
      </c>
      <c r="Q925" s="56">
        <v>75000</v>
      </c>
      <c r="R925" t="s">
        <v>816</v>
      </c>
      <c r="S925" t="s">
        <v>739</v>
      </c>
      <c r="T925" t="s">
        <v>740</v>
      </c>
      <c r="U925" t="s">
        <v>359</v>
      </c>
      <c r="V925" t="s">
        <v>7</v>
      </c>
      <c r="W925" t="s">
        <v>137</v>
      </c>
      <c r="X925" t="s">
        <v>9</v>
      </c>
      <c r="Y925" s="56">
        <f>IF(clean[[#This Row],[is_delivered]]="Yes",clean[[#This Row],[net_sales]],0 )</f>
        <v>75000</v>
      </c>
    </row>
    <row r="926" spans="1:25">
      <c r="A926" t="s">
        <v>2050</v>
      </c>
      <c r="B926" s="9">
        <v>45701</v>
      </c>
      <c r="C926" t="s">
        <v>348</v>
      </c>
      <c r="D926" t="s">
        <v>831</v>
      </c>
      <c r="E926">
        <v>1</v>
      </c>
      <c r="F926" s="56">
        <v>300000</v>
      </c>
      <c r="G926" s="56">
        <v>300000</v>
      </c>
      <c r="H926" t="s">
        <v>872</v>
      </c>
      <c r="I926" s="56">
        <v>0</v>
      </c>
      <c r="J926" s="56">
        <v>10000</v>
      </c>
      <c r="K926" s="56">
        <v>310000</v>
      </c>
      <c r="L926" t="s">
        <v>873</v>
      </c>
      <c r="M926" t="s">
        <v>903</v>
      </c>
      <c r="N926" t="s">
        <v>905</v>
      </c>
      <c r="O926" s="57">
        <v>45689</v>
      </c>
      <c r="P926" t="s">
        <v>892</v>
      </c>
      <c r="Q926" s="56">
        <v>300000</v>
      </c>
      <c r="R926" t="s">
        <v>832</v>
      </c>
      <c r="S926" t="s">
        <v>747</v>
      </c>
      <c r="T926" t="s">
        <v>748</v>
      </c>
      <c r="U926" t="s">
        <v>349</v>
      </c>
      <c r="V926" t="s">
        <v>23</v>
      </c>
      <c r="W926" t="s">
        <v>56</v>
      </c>
      <c r="X926" t="s">
        <v>9</v>
      </c>
      <c r="Y926" s="56">
        <f>IF(clean[[#This Row],[is_delivered]]="Yes",clean[[#This Row],[net_sales]],0 )</f>
        <v>0</v>
      </c>
    </row>
    <row r="927" spans="1:25">
      <c r="A927" t="s">
        <v>985</v>
      </c>
      <c r="B927" s="9">
        <v>45700</v>
      </c>
      <c r="C927" t="s">
        <v>270</v>
      </c>
      <c r="D927" t="s">
        <v>803</v>
      </c>
      <c r="E927">
        <v>1</v>
      </c>
      <c r="F927" s="56">
        <v>50000</v>
      </c>
      <c r="G927" s="56">
        <v>50000</v>
      </c>
      <c r="H927" t="s">
        <v>872</v>
      </c>
      <c r="I927" s="56">
        <v>0</v>
      </c>
      <c r="J927" s="56">
        <v>20000</v>
      </c>
      <c r="K927" s="56">
        <v>70000</v>
      </c>
      <c r="L927" t="s">
        <v>880</v>
      </c>
      <c r="M927" t="s">
        <v>881</v>
      </c>
      <c r="N927" t="s">
        <v>875</v>
      </c>
      <c r="O927" s="57">
        <v>45689</v>
      </c>
      <c r="P927" t="s">
        <v>877</v>
      </c>
      <c r="Q927" s="56">
        <v>50000</v>
      </c>
      <c r="R927" t="s">
        <v>804</v>
      </c>
      <c r="S927" t="s">
        <v>739</v>
      </c>
      <c r="T927" t="s">
        <v>740</v>
      </c>
      <c r="U927" t="s">
        <v>271</v>
      </c>
      <c r="V927" t="s">
        <v>7</v>
      </c>
      <c r="W927" t="s">
        <v>39</v>
      </c>
      <c r="X927" t="s">
        <v>24</v>
      </c>
      <c r="Y927" s="56">
        <f>IF(clean[[#This Row],[is_delivered]]="Yes",clean[[#This Row],[net_sales]],0 )</f>
        <v>50000</v>
      </c>
    </row>
    <row r="928" spans="1:25">
      <c r="A928" t="s">
        <v>1542</v>
      </c>
      <c r="B928" s="9">
        <v>45700</v>
      </c>
      <c r="C928" t="s">
        <v>214</v>
      </c>
      <c r="D928" t="s">
        <v>845</v>
      </c>
      <c r="E928">
        <v>1</v>
      </c>
      <c r="F928" s="56">
        <v>300000</v>
      </c>
      <c r="G928" s="56">
        <v>300000</v>
      </c>
      <c r="H928" t="s">
        <v>895</v>
      </c>
      <c r="I928" s="56">
        <v>45000</v>
      </c>
      <c r="J928" s="56">
        <v>20000</v>
      </c>
      <c r="K928" s="56">
        <v>275000</v>
      </c>
      <c r="L928" t="s">
        <v>884</v>
      </c>
      <c r="M928" t="s">
        <v>881</v>
      </c>
      <c r="N928" t="s">
        <v>890</v>
      </c>
      <c r="O928" s="57">
        <v>45689</v>
      </c>
      <c r="P928" t="s">
        <v>892</v>
      </c>
      <c r="Q928" s="56">
        <v>255000</v>
      </c>
      <c r="R928" t="s">
        <v>846</v>
      </c>
      <c r="S928" t="s">
        <v>727</v>
      </c>
      <c r="T928" t="s">
        <v>728</v>
      </c>
      <c r="U928" t="s">
        <v>215</v>
      </c>
      <c r="V928" t="s">
        <v>23</v>
      </c>
      <c r="W928" t="s">
        <v>8</v>
      </c>
      <c r="X928" t="s">
        <v>9</v>
      </c>
      <c r="Y928" s="56">
        <f>IF(clean[[#This Row],[is_delivered]]="Yes",clean[[#This Row],[net_sales]],0 )</f>
        <v>0</v>
      </c>
    </row>
    <row r="929" spans="1:25">
      <c r="A929" t="s">
        <v>1590</v>
      </c>
      <c r="B929" s="9">
        <v>45700</v>
      </c>
      <c r="C929" t="s">
        <v>186</v>
      </c>
      <c r="D929" t="s">
        <v>733</v>
      </c>
      <c r="E929">
        <v>4</v>
      </c>
      <c r="F929" s="56">
        <v>150000</v>
      </c>
      <c r="G929" s="56">
        <v>600000</v>
      </c>
      <c r="H929" t="s">
        <v>886</v>
      </c>
      <c r="I929" s="56">
        <v>60000</v>
      </c>
      <c r="J929" s="56">
        <v>15000</v>
      </c>
      <c r="K929" s="56">
        <v>555000</v>
      </c>
      <c r="L929" t="s">
        <v>880</v>
      </c>
      <c r="M929" t="s">
        <v>874</v>
      </c>
      <c r="N929" t="s">
        <v>875</v>
      </c>
      <c r="O929" s="57">
        <v>45689</v>
      </c>
      <c r="P929" t="s">
        <v>877</v>
      </c>
      <c r="Q929" s="56">
        <v>540000</v>
      </c>
      <c r="R929" t="s">
        <v>734</v>
      </c>
      <c r="S929" t="s">
        <v>735</v>
      </c>
      <c r="T929" t="s">
        <v>736</v>
      </c>
      <c r="U929" t="s">
        <v>187</v>
      </c>
      <c r="V929" t="s">
        <v>23</v>
      </c>
      <c r="W929" t="s">
        <v>51</v>
      </c>
      <c r="X929" t="s">
        <v>9</v>
      </c>
      <c r="Y929" s="56">
        <f>IF(clean[[#This Row],[is_delivered]]="Yes",clean[[#This Row],[net_sales]],0 )</f>
        <v>540000</v>
      </c>
    </row>
    <row r="930" spans="1:25">
      <c r="A930" t="s">
        <v>1644</v>
      </c>
      <c r="B930" s="9">
        <v>45700</v>
      </c>
      <c r="C930" t="s">
        <v>434</v>
      </c>
      <c r="D930" t="s">
        <v>755</v>
      </c>
      <c r="E930">
        <v>1</v>
      </c>
      <c r="F930" s="56">
        <v>50000</v>
      </c>
      <c r="G930" s="56">
        <v>50000</v>
      </c>
      <c r="H930" t="s">
        <v>872</v>
      </c>
      <c r="I930" s="56">
        <v>0</v>
      </c>
      <c r="J930" s="56">
        <v>15000</v>
      </c>
      <c r="K930" s="56">
        <v>65000</v>
      </c>
      <c r="L930" t="s">
        <v>884</v>
      </c>
      <c r="M930" t="s">
        <v>903</v>
      </c>
      <c r="N930" t="s">
        <v>921</v>
      </c>
      <c r="O930" s="57">
        <v>45689</v>
      </c>
      <c r="P930" t="s">
        <v>892</v>
      </c>
      <c r="Q930" s="56">
        <v>50000</v>
      </c>
      <c r="R930" t="s">
        <v>756</v>
      </c>
      <c r="S930" t="s">
        <v>739</v>
      </c>
      <c r="T930" t="s">
        <v>740</v>
      </c>
      <c r="U930" t="s">
        <v>435</v>
      </c>
      <c r="V930" t="s">
        <v>23</v>
      </c>
      <c r="W930" t="s">
        <v>137</v>
      </c>
      <c r="X930" t="s">
        <v>9</v>
      </c>
      <c r="Y930" s="56">
        <f>IF(clean[[#This Row],[is_delivered]]="Yes",clean[[#This Row],[net_sales]],0 )</f>
        <v>0</v>
      </c>
    </row>
    <row r="931" spans="1:25">
      <c r="A931" t="s">
        <v>1747</v>
      </c>
      <c r="B931" s="9">
        <v>45700</v>
      </c>
      <c r="C931" t="s">
        <v>326</v>
      </c>
      <c r="D931" t="s">
        <v>749</v>
      </c>
      <c r="E931">
        <v>3</v>
      </c>
      <c r="F931" s="56">
        <v>150000</v>
      </c>
      <c r="G931" s="56">
        <v>450000</v>
      </c>
      <c r="H931" t="s">
        <v>886</v>
      </c>
      <c r="I931" s="56">
        <v>45000</v>
      </c>
      <c r="J931" s="56">
        <v>10000</v>
      </c>
      <c r="K931" s="56">
        <v>415000</v>
      </c>
      <c r="L931" t="s">
        <v>873</v>
      </c>
      <c r="M931" t="s">
        <v>901</v>
      </c>
      <c r="N931" t="s">
        <v>875</v>
      </c>
      <c r="O931" s="57">
        <v>45689</v>
      </c>
      <c r="P931" t="s">
        <v>877</v>
      </c>
      <c r="Q931" s="56">
        <v>405000</v>
      </c>
      <c r="R931" t="s">
        <v>750</v>
      </c>
      <c r="S931" t="s">
        <v>727</v>
      </c>
      <c r="T931" t="s">
        <v>728</v>
      </c>
      <c r="U931" t="s">
        <v>327</v>
      </c>
      <c r="V931" t="s">
        <v>7</v>
      </c>
      <c r="W931" t="s">
        <v>8</v>
      </c>
      <c r="X931" t="s">
        <v>9</v>
      </c>
      <c r="Y931" s="56">
        <f>IF(clean[[#This Row],[is_delivered]]="Yes",clean[[#This Row],[net_sales]],0 )</f>
        <v>405000</v>
      </c>
    </row>
    <row r="932" spans="1:25">
      <c r="A932" t="s">
        <v>1791</v>
      </c>
      <c r="B932" s="9">
        <v>45700</v>
      </c>
      <c r="C932" t="s">
        <v>546</v>
      </c>
      <c r="D932" t="s">
        <v>839</v>
      </c>
      <c r="E932">
        <v>1</v>
      </c>
      <c r="F932" s="56">
        <v>200000</v>
      </c>
      <c r="G932" s="56">
        <v>200000</v>
      </c>
      <c r="H932" t="s">
        <v>886</v>
      </c>
      <c r="I932" s="56">
        <v>20000</v>
      </c>
      <c r="J932" s="56">
        <v>30000</v>
      </c>
      <c r="K932" s="56">
        <v>210000</v>
      </c>
      <c r="L932" t="s">
        <v>880</v>
      </c>
      <c r="M932" t="s">
        <v>903</v>
      </c>
      <c r="N932" t="s">
        <v>875</v>
      </c>
      <c r="O932" s="57">
        <v>45689</v>
      </c>
      <c r="P932" t="s">
        <v>877</v>
      </c>
      <c r="Q932" s="56">
        <v>180000</v>
      </c>
      <c r="R932" t="s">
        <v>840</v>
      </c>
      <c r="S932" t="s">
        <v>739</v>
      </c>
      <c r="T932" t="s">
        <v>740</v>
      </c>
      <c r="U932" t="s">
        <v>547</v>
      </c>
      <c r="V932" t="s">
        <v>23</v>
      </c>
      <c r="W932" t="s">
        <v>8</v>
      </c>
      <c r="X932" t="s">
        <v>24</v>
      </c>
      <c r="Y932" s="56">
        <f>IF(clean[[#This Row],[is_delivered]]="Yes",clean[[#This Row],[net_sales]],0 )</f>
        <v>180000</v>
      </c>
    </row>
    <row r="933" spans="1:25">
      <c r="A933" t="s">
        <v>909</v>
      </c>
      <c r="B933" s="9">
        <v>45699</v>
      </c>
      <c r="C933" t="s">
        <v>99</v>
      </c>
      <c r="D933" t="s">
        <v>811</v>
      </c>
      <c r="E933">
        <v>1</v>
      </c>
      <c r="F933" s="56">
        <v>35000</v>
      </c>
      <c r="G933" s="56">
        <v>35000</v>
      </c>
      <c r="H933" t="s">
        <v>895</v>
      </c>
      <c r="I933" s="56">
        <v>5250</v>
      </c>
      <c r="J933" s="56">
        <v>30000</v>
      </c>
      <c r="K933" s="56">
        <v>59750</v>
      </c>
      <c r="L933" t="s">
        <v>873</v>
      </c>
      <c r="M933" t="s">
        <v>903</v>
      </c>
      <c r="N933" t="s">
        <v>875</v>
      </c>
      <c r="O933" s="57">
        <v>45689</v>
      </c>
      <c r="P933" t="s">
        <v>877</v>
      </c>
      <c r="Q933" s="56">
        <v>29750</v>
      </c>
      <c r="R933" t="s">
        <v>812</v>
      </c>
      <c r="S933" t="s">
        <v>731</v>
      </c>
      <c r="T933" t="s">
        <v>732</v>
      </c>
      <c r="U933" t="s">
        <v>100</v>
      </c>
      <c r="V933" t="s">
        <v>7</v>
      </c>
      <c r="W933" t="s">
        <v>39</v>
      </c>
      <c r="X933" t="s">
        <v>9</v>
      </c>
      <c r="Y933" s="56">
        <f>IF(clean[[#This Row],[is_delivered]]="Yes",clean[[#This Row],[net_sales]],0 )</f>
        <v>29750</v>
      </c>
    </row>
    <row r="934" spans="1:25">
      <c r="A934" t="s">
        <v>1084</v>
      </c>
      <c r="B934" s="9">
        <v>45699</v>
      </c>
      <c r="C934" t="s">
        <v>650</v>
      </c>
      <c r="D934" t="s">
        <v>775</v>
      </c>
      <c r="E934">
        <v>3</v>
      </c>
      <c r="F934" s="56">
        <v>75000</v>
      </c>
      <c r="G934" s="56">
        <v>225000</v>
      </c>
      <c r="H934" t="s">
        <v>872</v>
      </c>
      <c r="I934" s="56">
        <v>0</v>
      </c>
      <c r="J934" s="56">
        <v>20000</v>
      </c>
      <c r="K934" s="56">
        <v>245000</v>
      </c>
      <c r="L934" t="s">
        <v>884</v>
      </c>
      <c r="M934" t="s">
        <v>881</v>
      </c>
      <c r="N934" t="s">
        <v>890</v>
      </c>
      <c r="O934" s="57">
        <v>45689</v>
      </c>
      <c r="P934" t="s">
        <v>892</v>
      </c>
      <c r="Q934" s="56">
        <v>225000</v>
      </c>
      <c r="R934" t="s">
        <v>776</v>
      </c>
      <c r="S934" t="s">
        <v>731</v>
      </c>
      <c r="T934" t="s">
        <v>732</v>
      </c>
      <c r="U934" t="s">
        <v>651</v>
      </c>
      <c r="V934" t="s">
        <v>23</v>
      </c>
      <c r="W934" t="s">
        <v>20</v>
      </c>
      <c r="X934" t="s">
        <v>9</v>
      </c>
      <c r="Y934" s="56">
        <f>IF(clean[[#This Row],[is_delivered]]="Yes",clean[[#This Row],[net_sales]],0 )</f>
        <v>0</v>
      </c>
    </row>
    <row r="935" spans="1:25">
      <c r="A935" t="s">
        <v>1497</v>
      </c>
      <c r="B935" s="9">
        <v>45699</v>
      </c>
      <c r="C935" t="s">
        <v>568</v>
      </c>
      <c r="D935" t="s">
        <v>769</v>
      </c>
      <c r="E935">
        <v>2</v>
      </c>
      <c r="F935" s="56">
        <v>100000</v>
      </c>
      <c r="G935" s="56">
        <v>200000</v>
      </c>
      <c r="H935" t="s">
        <v>895</v>
      </c>
      <c r="I935" s="56">
        <v>30000</v>
      </c>
      <c r="J935" s="56">
        <v>10000</v>
      </c>
      <c r="K935" s="56">
        <v>180000</v>
      </c>
      <c r="L935" t="s">
        <v>880</v>
      </c>
      <c r="M935" t="s">
        <v>881</v>
      </c>
      <c r="N935" t="s">
        <v>890</v>
      </c>
      <c r="O935" s="57">
        <v>45689</v>
      </c>
      <c r="P935" t="s">
        <v>892</v>
      </c>
      <c r="Q935" s="56">
        <v>170000</v>
      </c>
      <c r="R935" t="s">
        <v>770</v>
      </c>
      <c r="S935" t="s">
        <v>743</v>
      </c>
      <c r="T935" t="s">
        <v>744</v>
      </c>
      <c r="U935" t="s">
        <v>569</v>
      </c>
      <c r="V935" t="s">
        <v>23</v>
      </c>
      <c r="W935" t="s">
        <v>137</v>
      </c>
      <c r="X935" t="s">
        <v>9</v>
      </c>
      <c r="Y935" s="56">
        <f>IF(clean[[#This Row],[is_delivered]]="Yes",clean[[#This Row],[net_sales]],0 )</f>
        <v>0</v>
      </c>
    </row>
    <row r="936" spans="1:25">
      <c r="A936" t="s">
        <v>1557</v>
      </c>
      <c r="B936" s="9">
        <v>45699</v>
      </c>
      <c r="C936" t="s">
        <v>648</v>
      </c>
      <c r="D936" t="s">
        <v>775</v>
      </c>
      <c r="E936">
        <v>1</v>
      </c>
      <c r="F936" s="56">
        <v>75000</v>
      </c>
      <c r="G936" s="56">
        <v>75000</v>
      </c>
      <c r="H936" t="s">
        <v>895</v>
      </c>
      <c r="I936" s="56">
        <v>11250</v>
      </c>
      <c r="J936" s="56">
        <v>20000</v>
      </c>
      <c r="K936" s="56">
        <v>83750</v>
      </c>
      <c r="L936" t="s">
        <v>884</v>
      </c>
      <c r="M936" t="s">
        <v>881</v>
      </c>
      <c r="N936" t="s">
        <v>875</v>
      </c>
      <c r="O936" s="57">
        <v>45689</v>
      </c>
      <c r="P936" t="s">
        <v>877</v>
      </c>
      <c r="Q936" s="56">
        <v>63750</v>
      </c>
      <c r="R936" t="s">
        <v>776</v>
      </c>
      <c r="S936" t="s">
        <v>731</v>
      </c>
      <c r="T936" t="s">
        <v>732</v>
      </c>
      <c r="U936" t="s">
        <v>649</v>
      </c>
      <c r="V936" t="s">
        <v>7</v>
      </c>
      <c r="W936" t="s">
        <v>8</v>
      </c>
      <c r="X936" t="s">
        <v>24</v>
      </c>
      <c r="Y936" s="56">
        <f>IF(clean[[#This Row],[is_delivered]]="Yes",clean[[#This Row],[net_sales]],0 )</f>
        <v>63750</v>
      </c>
    </row>
    <row r="937" spans="1:25">
      <c r="A937" t="s">
        <v>1628</v>
      </c>
      <c r="B937" s="9">
        <v>45699</v>
      </c>
      <c r="C937" t="s">
        <v>426</v>
      </c>
      <c r="D937" t="s">
        <v>833</v>
      </c>
      <c r="E937">
        <v>2</v>
      </c>
      <c r="F937" s="56">
        <v>200000</v>
      </c>
      <c r="G937" s="56">
        <v>400000</v>
      </c>
      <c r="H937" t="s">
        <v>872</v>
      </c>
      <c r="I937" s="56">
        <v>0</v>
      </c>
      <c r="J937" s="56">
        <v>25000</v>
      </c>
      <c r="K937" s="56">
        <v>425000</v>
      </c>
      <c r="L937" t="s">
        <v>873</v>
      </c>
      <c r="M937" t="s">
        <v>903</v>
      </c>
      <c r="N937" t="s">
        <v>875</v>
      </c>
      <c r="O937" s="57">
        <v>45689</v>
      </c>
      <c r="P937" t="s">
        <v>877</v>
      </c>
      <c r="Q937" s="56">
        <v>400000</v>
      </c>
      <c r="R937" t="s">
        <v>834</v>
      </c>
      <c r="S937" t="s">
        <v>727</v>
      </c>
      <c r="T937" t="s">
        <v>728</v>
      </c>
      <c r="U937" t="s">
        <v>427</v>
      </c>
      <c r="V937" t="s">
        <v>7</v>
      </c>
      <c r="W937" t="s">
        <v>20</v>
      </c>
      <c r="X937" t="s">
        <v>9</v>
      </c>
      <c r="Y937" s="56">
        <f>IF(clean[[#This Row],[is_delivered]]="Yes",clean[[#This Row],[net_sales]],0 )</f>
        <v>400000</v>
      </c>
    </row>
    <row r="938" spans="1:25">
      <c r="A938" t="s">
        <v>1987</v>
      </c>
      <c r="B938" s="9">
        <v>45699</v>
      </c>
      <c r="C938" t="s">
        <v>40</v>
      </c>
      <c r="D938" t="s">
        <v>759</v>
      </c>
      <c r="E938">
        <v>4</v>
      </c>
      <c r="F938" s="56">
        <v>300000</v>
      </c>
      <c r="G938" s="56">
        <v>1200000</v>
      </c>
      <c r="H938" t="s">
        <v>872</v>
      </c>
      <c r="I938" s="56">
        <v>0</v>
      </c>
      <c r="J938" s="56">
        <v>30000</v>
      </c>
      <c r="K938" s="56">
        <v>1230000</v>
      </c>
      <c r="L938" t="s">
        <v>884</v>
      </c>
      <c r="M938" t="s">
        <v>874</v>
      </c>
      <c r="N938" t="s">
        <v>875</v>
      </c>
      <c r="O938" s="57">
        <v>45689</v>
      </c>
      <c r="P938" t="s">
        <v>877</v>
      </c>
      <c r="Q938" s="56">
        <v>1200000</v>
      </c>
      <c r="R938" t="s">
        <v>760</v>
      </c>
      <c r="S938" t="s">
        <v>747</v>
      </c>
      <c r="T938" t="s">
        <v>748</v>
      </c>
      <c r="U938" t="s">
        <v>41</v>
      </c>
      <c r="V938" t="s">
        <v>7</v>
      </c>
      <c r="W938" t="s">
        <v>36</v>
      </c>
      <c r="X938" t="s">
        <v>15</v>
      </c>
      <c r="Y938" s="56">
        <f>IF(clean[[#This Row],[is_delivered]]="Yes",clean[[#This Row],[net_sales]],0 )</f>
        <v>1200000</v>
      </c>
    </row>
    <row r="939" spans="1:25">
      <c r="A939" t="s">
        <v>1083</v>
      </c>
      <c r="B939" s="9">
        <v>45698</v>
      </c>
      <c r="C939" t="s">
        <v>346</v>
      </c>
      <c r="D939" t="s">
        <v>809</v>
      </c>
      <c r="E939">
        <v>2</v>
      </c>
      <c r="F939" s="56">
        <v>100000</v>
      </c>
      <c r="G939" s="56">
        <v>200000</v>
      </c>
      <c r="H939" t="s">
        <v>879</v>
      </c>
      <c r="I939" s="56">
        <v>40000</v>
      </c>
      <c r="J939" s="56">
        <v>15000</v>
      </c>
      <c r="K939" s="56">
        <v>175000</v>
      </c>
      <c r="L939" t="s">
        <v>873</v>
      </c>
      <c r="M939" t="s">
        <v>881</v>
      </c>
      <c r="N939" t="s">
        <v>875</v>
      </c>
      <c r="O939" s="57">
        <v>45689</v>
      </c>
      <c r="P939" t="s">
        <v>877</v>
      </c>
      <c r="Q939" s="56">
        <v>160000</v>
      </c>
      <c r="R939" t="s">
        <v>810</v>
      </c>
      <c r="S939" t="s">
        <v>727</v>
      </c>
      <c r="T939" t="s">
        <v>728</v>
      </c>
      <c r="U939" t="s">
        <v>347</v>
      </c>
      <c r="V939" t="s">
        <v>23</v>
      </c>
      <c r="W939" t="s">
        <v>46</v>
      </c>
      <c r="X939" t="s">
        <v>9</v>
      </c>
      <c r="Y939" s="56">
        <f>IF(clean[[#This Row],[is_delivered]]="Yes",clean[[#This Row],[net_sales]],0 )</f>
        <v>160000</v>
      </c>
    </row>
    <row r="940" spans="1:25">
      <c r="A940" t="s">
        <v>1226</v>
      </c>
      <c r="B940" s="9">
        <v>45698</v>
      </c>
      <c r="C940" t="s">
        <v>314</v>
      </c>
      <c r="D940" t="s">
        <v>823</v>
      </c>
      <c r="E940">
        <v>1</v>
      </c>
      <c r="F940" s="56">
        <v>500000</v>
      </c>
      <c r="G940" s="56">
        <v>500000</v>
      </c>
      <c r="H940" t="s">
        <v>886</v>
      </c>
      <c r="I940" s="56">
        <v>50000</v>
      </c>
      <c r="J940" s="56">
        <v>20000</v>
      </c>
      <c r="K940" s="56">
        <v>470000</v>
      </c>
      <c r="L940" t="s">
        <v>873</v>
      </c>
      <c r="M940" t="s">
        <v>903</v>
      </c>
      <c r="N940" t="s">
        <v>875</v>
      </c>
      <c r="O940" s="57">
        <v>45689</v>
      </c>
      <c r="P940" t="s">
        <v>877</v>
      </c>
      <c r="Q940" s="56">
        <v>450000</v>
      </c>
      <c r="R940" t="s">
        <v>824</v>
      </c>
      <c r="S940" t="s">
        <v>731</v>
      </c>
      <c r="T940" t="s">
        <v>732</v>
      </c>
      <c r="U940" t="s">
        <v>315</v>
      </c>
      <c r="V940" t="s">
        <v>23</v>
      </c>
      <c r="W940" t="s">
        <v>56</v>
      </c>
      <c r="X940" t="s">
        <v>9</v>
      </c>
      <c r="Y940" s="56">
        <f>IF(clean[[#This Row],[is_delivered]]="Yes",clean[[#This Row],[net_sales]],0 )</f>
        <v>450000</v>
      </c>
    </row>
    <row r="941" spans="1:25">
      <c r="A941" t="s">
        <v>1435</v>
      </c>
      <c r="B941" s="9">
        <v>45698</v>
      </c>
      <c r="C941" t="s">
        <v>286</v>
      </c>
      <c r="D941" t="s">
        <v>757</v>
      </c>
      <c r="E941">
        <v>1</v>
      </c>
      <c r="F941" s="56">
        <v>75000</v>
      </c>
      <c r="G941" s="56">
        <v>75000</v>
      </c>
      <c r="H941" t="s">
        <v>886</v>
      </c>
      <c r="I941" s="56">
        <v>7500</v>
      </c>
      <c r="J941" s="56">
        <v>20000</v>
      </c>
      <c r="K941" s="56">
        <v>87500</v>
      </c>
      <c r="L941" t="s">
        <v>889</v>
      </c>
      <c r="M941" t="s">
        <v>881</v>
      </c>
      <c r="N941" t="s">
        <v>875</v>
      </c>
      <c r="O941" s="57">
        <v>45689</v>
      </c>
      <c r="P941" t="s">
        <v>877</v>
      </c>
      <c r="Q941" s="56">
        <v>67500</v>
      </c>
      <c r="R941" t="s">
        <v>758</v>
      </c>
      <c r="S941" t="s">
        <v>743</v>
      </c>
      <c r="T941" t="s">
        <v>744</v>
      </c>
      <c r="U941" t="s">
        <v>287</v>
      </c>
      <c r="V941" t="s">
        <v>7</v>
      </c>
      <c r="W941" t="s">
        <v>46</v>
      </c>
      <c r="X941" t="s">
        <v>24</v>
      </c>
      <c r="Y941" s="56">
        <f>IF(clean[[#This Row],[is_delivered]]="Yes",clean[[#This Row],[net_sales]],0 )</f>
        <v>67500</v>
      </c>
    </row>
    <row r="942" spans="1:25">
      <c r="A942" t="s">
        <v>1812</v>
      </c>
      <c r="B942" s="9">
        <v>45698</v>
      </c>
      <c r="C942" t="s">
        <v>164</v>
      </c>
      <c r="D942" t="s">
        <v>839</v>
      </c>
      <c r="E942">
        <v>2</v>
      </c>
      <c r="F942" s="56">
        <v>200000</v>
      </c>
      <c r="G942" s="56">
        <v>400000</v>
      </c>
      <c r="H942" t="s">
        <v>886</v>
      </c>
      <c r="I942" s="56">
        <v>40000</v>
      </c>
      <c r="J942" s="56">
        <v>30000</v>
      </c>
      <c r="K942" s="56">
        <v>390000</v>
      </c>
      <c r="L942" t="s">
        <v>889</v>
      </c>
      <c r="M942" t="s">
        <v>903</v>
      </c>
      <c r="N942" t="s">
        <v>875</v>
      </c>
      <c r="O942" s="57">
        <v>45689</v>
      </c>
      <c r="P942" t="s">
        <v>877</v>
      </c>
      <c r="Q942" s="56">
        <v>360000</v>
      </c>
      <c r="R942" t="s">
        <v>840</v>
      </c>
      <c r="S942" t="s">
        <v>739</v>
      </c>
      <c r="T942" t="s">
        <v>740</v>
      </c>
      <c r="U942" t="s">
        <v>165</v>
      </c>
      <c r="V942" t="s">
        <v>7</v>
      </c>
      <c r="W942" t="s">
        <v>51</v>
      </c>
      <c r="X942" t="s">
        <v>24</v>
      </c>
      <c r="Y942" s="56">
        <f>IF(clean[[#This Row],[is_delivered]]="Yes",clean[[#This Row],[net_sales]],0 )</f>
        <v>360000</v>
      </c>
    </row>
    <row r="943" spans="1:25">
      <c r="A943" t="s">
        <v>1827</v>
      </c>
      <c r="B943" s="9">
        <v>45698</v>
      </c>
      <c r="C943" t="s">
        <v>348</v>
      </c>
      <c r="D943" t="s">
        <v>837</v>
      </c>
      <c r="E943">
        <v>4</v>
      </c>
      <c r="F943" s="56">
        <v>300000</v>
      </c>
      <c r="G943" s="56">
        <v>1200000</v>
      </c>
      <c r="H943" t="s">
        <v>886</v>
      </c>
      <c r="I943" s="56">
        <v>120000</v>
      </c>
      <c r="J943" s="56">
        <v>15000</v>
      </c>
      <c r="K943" s="56">
        <v>1095000</v>
      </c>
      <c r="L943" t="s">
        <v>880</v>
      </c>
      <c r="M943" t="s">
        <v>874</v>
      </c>
      <c r="N943" t="s">
        <v>911</v>
      </c>
      <c r="O943" s="57">
        <v>45689</v>
      </c>
      <c r="P943" t="s">
        <v>892</v>
      </c>
      <c r="Q943" s="56">
        <v>1080000</v>
      </c>
      <c r="R943" t="s">
        <v>838</v>
      </c>
      <c r="S943" t="s">
        <v>735</v>
      </c>
      <c r="T943" t="s">
        <v>736</v>
      </c>
      <c r="U943" t="s">
        <v>349</v>
      </c>
      <c r="V943" t="s">
        <v>23</v>
      </c>
      <c r="W943" t="s">
        <v>56</v>
      </c>
      <c r="X943" t="s">
        <v>9</v>
      </c>
      <c r="Y943" s="56">
        <f>IF(clean[[#This Row],[is_delivered]]="Yes",clean[[#This Row],[net_sales]],0 )</f>
        <v>0</v>
      </c>
    </row>
    <row r="944" spans="1:25">
      <c r="A944" t="s">
        <v>1941</v>
      </c>
      <c r="B944" s="9">
        <v>45698</v>
      </c>
      <c r="C944" t="s">
        <v>172</v>
      </c>
      <c r="D944" t="s">
        <v>765</v>
      </c>
      <c r="E944">
        <v>3</v>
      </c>
      <c r="F944" s="56">
        <v>500000</v>
      </c>
      <c r="G944" s="56">
        <v>1500000</v>
      </c>
      <c r="H944" t="s">
        <v>872</v>
      </c>
      <c r="I944" s="56">
        <v>0</v>
      </c>
      <c r="J944" s="56">
        <v>25000</v>
      </c>
      <c r="K944" s="56">
        <v>1525000</v>
      </c>
      <c r="L944" t="s">
        <v>889</v>
      </c>
      <c r="M944" t="s">
        <v>881</v>
      </c>
      <c r="N944" t="s">
        <v>875</v>
      </c>
      <c r="O944" s="57">
        <v>45689</v>
      </c>
      <c r="P944" t="s">
        <v>877</v>
      </c>
      <c r="Q944" s="56">
        <v>1500000</v>
      </c>
      <c r="R944" t="s">
        <v>766</v>
      </c>
      <c r="S944" t="s">
        <v>735</v>
      </c>
      <c r="T944" t="s">
        <v>736</v>
      </c>
      <c r="U944" t="s">
        <v>173</v>
      </c>
      <c r="V944" t="s">
        <v>7</v>
      </c>
      <c r="W944" t="s">
        <v>56</v>
      </c>
      <c r="X944" t="s">
        <v>9</v>
      </c>
      <c r="Y944" s="56">
        <f>IF(clean[[#This Row],[is_delivered]]="Yes",clean[[#This Row],[net_sales]],0 )</f>
        <v>1500000</v>
      </c>
    </row>
    <row r="945" spans="1:25">
      <c r="A945" t="s">
        <v>1286</v>
      </c>
      <c r="B945" s="9">
        <v>45697</v>
      </c>
      <c r="C945" t="s">
        <v>254</v>
      </c>
      <c r="D945" t="s">
        <v>775</v>
      </c>
      <c r="E945">
        <v>3</v>
      </c>
      <c r="F945" s="56">
        <v>75000</v>
      </c>
      <c r="G945" s="56">
        <v>225000</v>
      </c>
      <c r="H945" t="s">
        <v>872</v>
      </c>
      <c r="I945" s="56">
        <v>0</v>
      </c>
      <c r="J945" s="56">
        <v>30000</v>
      </c>
      <c r="K945" s="56">
        <v>255000</v>
      </c>
      <c r="L945" t="s">
        <v>873</v>
      </c>
      <c r="M945" t="s">
        <v>903</v>
      </c>
      <c r="N945" t="s">
        <v>911</v>
      </c>
      <c r="O945" s="57">
        <v>45689</v>
      </c>
      <c r="P945" t="s">
        <v>892</v>
      </c>
      <c r="Q945" s="56">
        <v>225000</v>
      </c>
      <c r="R945" t="s">
        <v>776</v>
      </c>
      <c r="S945" t="s">
        <v>731</v>
      </c>
      <c r="T945" t="s">
        <v>732</v>
      </c>
      <c r="U945" t="s">
        <v>255</v>
      </c>
      <c r="V945" t="s">
        <v>7</v>
      </c>
      <c r="W945" t="s">
        <v>36</v>
      </c>
      <c r="X945" t="s">
        <v>9</v>
      </c>
      <c r="Y945" s="56">
        <f>IF(clean[[#This Row],[is_delivered]]="Yes",clean[[#This Row],[net_sales]],0 )</f>
        <v>0</v>
      </c>
    </row>
    <row r="946" spans="1:25">
      <c r="A946" t="s">
        <v>1370</v>
      </c>
      <c r="B946" s="9">
        <v>45697</v>
      </c>
      <c r="C946" t="s">
        <v>630</v>
      </c>
      <c r="D946" t="s">
        <v>821</v>
      </c>
      <c r="E946">
        <v>1</v>
      </c>
      <c r="F946" s="56">
        <v>50000</v>
      </c>
      <c r="G946" s="56">
        <v>50000</v>
      </c>
      <c r="H946" t="s">
        <v>883</v>
      </c>
      <c r="I946" s="56">
        <v>5000</v>
      </c>
      <c r="J946" s="56">
        <v>15000</v>
      </c>
      <c r="K946" s="56">
        <v>60000</v>
      </c>
      <c r="L946" t="s">
        <v>884</v>
      </c>
      <c r="M946" t="s">
        <v>903</v>
      </c>
      <c r="N946" t="s">
        <v>905</v>
      </c>
      <c r="O946" s="57">
        <v>45689</v>
      </c>
      <c r="P946" t="s">
        <v>892</v>
      </c>
      <c r="Q946" s="56">
        <v>45000</v>
      </c>
      <c r="R946" t="s">
        <v>822</v>
      </c>
      <c r="S946" t="s">
        <v>727</v>
      </c>
      <c r="T946" t="s">
        <v>728</v>
      </c>
      <c r="U946" t="s">
        <v>631</v>
      </c>
      <c r="V946" t="s">
        <v>7</v>
      </c>
      <c r="W946" t="s">
        <v>36</v>
      </c>
      <c r="X946" t="s">
        <v>24</v>
      </c>
      <c r="Y946" s="56">
        <f>IF(clean[[#This Row],[is_delivered]]="Yes",clean[[#This Row],[net_sales]],0 )</f>
        <v>0</v>
      </c>
    </row>
    <row r="947" spans="1:25">
      <c r="A947" t="s">
        <v>1721</v>
      </c>
      <c r="B947" s="9">
        <v>45697</v>
      </c>
      <c r="C947" t="s">
        <v>568</v>
      </c>
      <c r="D947" t="s">
        <v>733</v>
      </c>
      <c r="E947">
        <v>1</v>
      </c>
      <c r="F947" s="56">
        <v>150000</v>
      </c>
      <c r="G947" s="56">
        <v>150000</v>
      </c>
      <c r="H947" t="s">
        <v>872</v>
      </c>
      <c r="I947" s="56">
        <v>0</v>
      </c>
      <c r="J947" s="56">
        <v>15000</v>
      </c>
      <c r="K947" s="56">
        <v>165000</v>
      </c>
      <c r="L947" t="s">
        <v>884</v>
      </c>
      <c r="M947" t="s">
        <v>881</v>
      </c>
      <c r="N947" t="s">
        <v>875</v>
      </c>
      <c r="O947" s="57">
        <v>45689</v>
      </c>
      <c r="P947" t="s">
        <v>877</v>
      </c>
      <c r="Q947" s="56">
        <v>150000</v>
      </c>
      <c r="R947" t="s">
        <v>734</v>
      </c>
      <c r="S947" t="s">
        <v>735</v>
      </c>
      <c r="T947" t="s">
        <v>736</v>
      </c>
      <c r="U947" t="s">
        <v>569</v>
      </c>
      <c r="V947" t="s">
        <v>23</v>
      </c>
      <c r="W947" t="s">
        <v>137</v>
      </c>
      <c r="X947" t="s">
        <v>9</v>
      </c>
      <c r="Y947" s="56">
        <f>IF(clean[[#This Row],[is_delivered]]="Yes",clean[[#This Row],[net_sales]],0 )</f>
        <v>150000</v>
      </c>
    </row>
    <row r="948" spans="1:25">
      <c r="A948" t="s">
        <v>1926</v>
      </c>
      <c r="B948" s="9">
        <v>45697</v>
      </c>
      <c r="C948" t="s">
        <v>13</v>
      </c>
      <c r="D948" t="s">
        <v>769</v>
      </c>
      <c r="E948">
        <v>1</v>
      </c>
      <c r="F948" s="56">
        <v>100000</v>
      </c>
      <c r="G948" s="56">
        <v>100000</v>
      </c>
      <c r="H948" t="s">
        <v>872</v>
      </c>
      <c r="I948" s="56">
        <v>0</v>
      </c>
      <c r="J948" s="56">
        <v>25000</v>
      </c>
      <c r="K948" s="56">
        <v>125000</v>
      </c>
      <c r="L948" t="s">
        <v>889</v>
      </c>
      <c r="M948" t="s">
        <v>874</v>
      </c>
      <c r="N948" t="s">
        <v>905</v>
      </c>
      <c r="O948" s="57">
        <v>45689</v>
      </c>
      <c r="P948" t="s">
        <v>892</v>
      </c>
      <c r="Q948" s="56">
        <v>100000</v>
      </c>
      <c r="R948" t="s">
        <v>770</v>
      </c>
      <c r="S948" t="s">
        <v>743</v>
      </c>
      <c r="T948" t="s">
        <v>744</v>
      </c>
      <c r="U948" t="s">
        <v>14</v>
      </c>
      <c r="V948" t="s">
        <v>7</v>
      </c>
      <c r="W948" t="s">
        <v>8</v>
      </c>
      <c r="X948" t="s">
        <v>15</v>
      </c>
      <c r="Y948" s="56">
        <f>IF(clean[[#This Row],[is_delivered]]="Yes",clean[[#This Row],[net_sales]],0 )</f>
        <v>0</v>
      </c>
    </row>
    <row r="949" spans="1:25">
      <c r="A949" t="s">
        <v>2083</v>
      </c>
      <c r="B949" s="9">
        <v>45697</v>
      </c>
      <c r="C949" t="s">
        <v>546</v>
      </c>
      <c r="D949" t="s">
        <v>751</v>
      </c>
      <c r="E949">
        <v>1</v>
      </c>
      <c r="F949" s="56">
        <v>150000</v>
      </c>
      <c r="G949" s="56">
        <v>150000</v>
      </c>
      <c r="H949" t="s">
        <v>872</v>
      </c>
      <c r="I949" s="56">
        <v>0</v>
      </c>
      <c r="J949" s="56">
        <v>30000</v>
      </c>
      <c r="K949" s="56">
        <v>180000</v>
      </c>
      <c r="L949" t="s">
        <v>884</v>
      </c>
      <c r="M949" t="s">
        <v>874</v>
      </c>
      <c r="N949" t="s">
        <v>875</v>
      </c>
      <c r="O949" s="57">
        <v>45689</v>
      </c>
      <c r="P949" t="s">
        <v>877</v>
      </c>
      <c r="Q949" s="56">
        <v>150000</v>
      </c>
      <c r="R949" t="s">
        <v>752</v>
      </c>
      <c r="S949" t="s">
        <v>731</v>
      </c>
      <c r="T949" t="s">
        <v>732</v>
      </c>
      <c r="U949" t="s">
        <v>547</v>
      </c>
      <c r="V949" t="s">
        <v>23</v>
      </c>
      <c r="W949" t="s">
        <v>8</v>
      </c>
      <c r="X949" t="s">
        <v>24</v>
      </c>
      <c r="Y949" s="56">
        <f>IF(clean[[#This Row],[is_delivered]]="Yes",clean[[#This Row],[net_sales]],0 )</f>
        <v>150000</v>
      </c>
    </row>
    <row r="950" spans="1:25">
      <c r="A950" t="s">
        <v>927</v>
      </c>
      <c r="B950" s="9">
        <v>45696</v>
      </c>
      <c r="C950" t="s">
        <v>44</v>
      </c>
      <c r="D950" t="s">
        <v>847</v>
      </c>
      <c r="E950">
        <v>1</v>
      </c>
      <c r="F950" s="56">
        <v>100000</v>
      </c>
      <c r="G950" s="56">
        <v>100000</v>
      </c>
      <c r="H950" t="s">
        <v>886</v>
      </c>
      <c r="I950" s="56">
        <v>10000</v>
      </c>
      <c r="J950" s="56">
        <v>30000</v>
      </c>
      <c r="K950" s="56">
        <v>120000</v>
      </c>
      <c r="L950" t="s">
        <v>873</v>
      </c>
      <c r="M950" t="s">
        <v>901</v>
      </c>
      <c r="N950" t="s">
        <v>875</v>
      </c>
      <c r="O950" s="57">
        <v>45689</v>
      </c>
      <c r="P950" t="s">
        <v>877</v>
      </c>
      <c r="Q950" s="56">
        <v>90000</v>
      </c>
      <c r="R950" t="s">
        <v>848</v>
      </c>
      <c r="S950" t="s">
        <v>731</v>
      </c>
      <c r="T950" t="s">
        <v>732</v>
      </c>
      <c r="U950" t="s">
        <v>45</v>
      </c>
      <c r="V950" t="s">
        <v>7</v>
      </c>
      <c r="W950" t="s">
        <v>46</v>
      </c>
      <c r="X950" t="s">
        <v>24</v>
      </c>
      <c r="Y950" s="56">
        <f>IF(clean[[#This Row],[is_delivered]]="Yes",clean[[#This Row],[net_sales]],0 )</f>
        <v>90000</v>
      </c>
    </row>
    <row r="951" spans="1:25">
      <c r="A951" t="s">
        <v>1247</v>
      </c>
      <c r="B951" s="9">
        <v>45696</v>
      </c>
      <c r="C951" t="s">
        <v>318</v>
      </c>
      <c r="D951" t="s">
        <v>817</v>
      </c>
      <c r="E951">
        <v>3</v>
      </c>
      <c r="F951" s="56">
        <v>75000</v>
      </c>
      <c r="G951" s="56">
        <v>225000</v>
      </c>
      <c r="H951" t="s">
        <v>883</v>
      </c>
      <c r="I951" s="56">
        <v>22500</v>
      </c>
      <c r="J951" s="56">
        <v>20000</v>
      </c>
      <c r="K951" s="56">
        <v>222500</v>
      </c>
      <c r="L951" t="s">
        <v>880</v>
      </c>
      <c r="M951" t="s">
        <v>874</v>
      </c>
      <c r="N951" t="s">
        <v>890</v>
      </c>
      <c r="O951" s="57">
        <v>45689</v>
      </c>
      <c r="P951" t="s">
        <v>892</v>
      </c>
      <c r="Q951" s="56">
        <v>202500</v>
      </c>
      <c r="R951" t="s">
        <v>818</v>
      </c>
      <c r="S951" t="s">
        <v>743</v>
      </c>
      <c r="T951" t="s">
        <v>744</v>
      </c>
      <c r="U951" t="s">
        <v>319</v>
      </c>
      <c r="V951" t="s">
        <v>7</v>
      </c>
      <c r="W951" t="s">
        <v>29</v>
      </c>
      <c r="X951" t="s">
        <v>9</v>
      </c>
      <c r="Y951" s="56">
        <f>IF(clean[[#This Row],[is_delivered]]="Yes",clean[[#This Row],[net_sales]],0 )</f>
        <v>0</v>
      </c>
    </row>
    <row r="952" spans="1:25">
      <c r="A952" t="s">
        <v>1114</v>
      </c>
      <c r="B952" s="9">
        <v>45696</v>
      </c>
      <c r="C952" t="s">
        <v>402</v>
      </c>
      <c r="D952" t="s">
        <v>757</v>
      </c>
      <c r="E952">
        <v>3</v>
      </c>
      <c r="F952" s="56">
        <v>75000</v>
      </c>
      <c r="G952" s="56">
        <v>225000</v>
      </c>
      <c r="H952" t="s">
        <v>872</v>
      </c>
      <c r="I952" s="56">
        <v>0</v>
      </c>
      <c r="J952" s="56">
        <v>25000</v>
      </c>
      <c r="K952" s="56">
        <v>250000</v>
      </c>
      <c r="L952" t="s">
        <v>889</v>
      </c>
      <c r="M952" t="s">
        <v>903</v>
      </c>
      <c r="N952" t="s">
        <v>921</v>
      </c>
      <c r="O952" s="57">
        <v>45689</v>
      </c>
      <c r="P952" t="s">
        <v>892</v>
      </c>
      <c r="Q952" s="56">
        <v>225000</v>
      </c>
      <c r="R952" t="s">
        <v>758</v>
      </c>
      <c r="S952" t="s">
        <v>743</v>
      </c>
      <c r="T952" t="s">
        <v>744</v>
      </c>
      <c r="U952" t="s">
        <v>403</v>
      </c>
      <c r="V952" t="s">
        <v>7</v>
      </c>
      <c r="W952" t="s">
        <v>8</v>
      </c>
      <c r="X952" t="s">
        <v>9</v>
      </c>
      <c r="Y952" s="56">
        <f>IF(clean[[#This Row],[is_delivered]]="Yes",clean[[#This Row],[net_sales]],0 )</f>
        <v>0</v>
      </c>
    </row>
    <row r="953" spans="1:25">
      <c r="A953" t="s">
        <v>1303</v>
      </c>
      <c r="B953" s="9">
        <v>45696</v>
      </c>
      <c r="C953" t="s">
        <v>162</v>
      </c>
      <c r="D953" t="s">
        <v>785</v>
      </c>
      <c r="E953">
        <v>2</v>
      </c>
      <c r="F953" s="56">
        <v>100000</v>
      </c>
      <c r="G953" s="56">
        <v>200000</v>
      </c>
      <c r="H953" t="s">
        <v>883</v>
      </c>
      <c r="I953" s="56">
        <v>20000</v>
      </c>
      <c r="J953" s="56">
        <v>30000</v>
      </c>
      <c r="K953" s="56">
        <v>210000</v>
      </c>
      <c r="L953" t="s">
        <v>889</v>
      </c>
      <c r="M953" t="s">
        <v>903</v>
      </c>
      <c r="N953" t="s">
        <v>875</v>
      </c>
      <c r="O953" s="57">
        <v>45689</v>
      </c>
      <c r="P953" t="s">
        <v>877</v>
      </c>
      <c r="Q953" s="56">
        <v>180000</v>
      </c>
      <c r="R953" t="s">
        <v>786</v>
      </c>
      <c r="S953" t="s">
        <v>727</v>
      </c>
      <c r="T953" t="s">
        <v>728</v>
      </c>
      <c r="U953" t="s">
        <v>163</v>
      </c>
      <c r="V953" t="s">
        <v>7</v>
      </c>
      <c r="W953" t="s">
        <v>39</v>
      </c>
      <c r="X953" t="s">
        <v>9</v>
      </c>
      <c r="Y953" s="56">
        <f>IF(clean[[#This Row],[is_delivered]]="Yes",clean[[#This Row],[net_sales]],0 )</f>
        <v>180000</v>
      </c>
    </row>
    <row r="954" spans="1:25">
      <c r="A954" t="s">
        <v>1375</v>
      </c>
      <c r="B954" s="9">
        <v>45696</v>
      </c>
      <c r="C954" t="s">
        <v>138</v>
      </c>
      <c r="D954" t="s">
        <v>729</v>
      </c>
      <c r="E954">
        <v>1</v>
      </c>
      <c r="F954" s="56">
        <v>100000</v>
      </c>
      <c r="G954" s="56">
        <v>100000</v>
      </c>
      <c r="H954" t="s">
        <v>872</v>
      </c>
      <c r="I954" s="56">
        <v>0</v>
      </c>
      <c r="J954" s="56">
        <v>10000</v>
      </c>
      <c r="K954" s="56">
        <v>110000</v>
      </c>
      <c r="L954" t="s">
        <v>873</v>
      </c>
      <c r="M954" t="s">
        <v>903</v>
      </c>
      <c r="N954" t="s">
        <v>875</v>
      </c>
      <c r="O954" s="57">
        <v>45689</v>
      </c>
      <c r="P954" t="s">
        <v>877</v>
      </c>
      <c r="Q954" s="56">
        <v>100000</v>
      </c>
      <c r="R954" t="s">
        <v>730</v>
      </c>
      <c r="S954" t="s">
        <v>731</v>
      </c>
      <c r="T954" t="s">
        <v>732</v>
      </c>
      <c r="U954" t="s">
        <v>139</v>
      </c>
      <c r="V954" t="s">
        <v>7</v>
      </c>
      <c r="W954" t="s">
        <v>29</v>
      </c>
      <c r="X954" t="s">
        <v>9</v>
      </c>
      <c r="Y954" s="56">
        <f>IF(clean[[#This Row],[is_delivered]]="Yes",clean[[#This Row],[net_sales]],0 )</f>
        <v>100000</v>
      </c>
    </row>
    <row r="955" spans="1:25">
      <c r="A955" t="s">
        <v>1440</v>
      </c>
      <c r="B955" s="9">
        <v>45696</v>
      </c>
      <c r="C955" t="s">
        <v>592</v>
      </c>
      <c r="D955" t="s">
        <v>819</v>
      </c>
      <c r="E955">
        <v>1</v>
      </c>
      <c r="F955" s="56">
        <v>300000</v>
      </c>
      <c r="G955" s="56">
        <v>300000</v>
      </c>
      <c r="H955" t="s">
        <v>872</v>
      </c>
      <c r="I955" s="56">
        <v>0</v>
      </c>
      <c r="J955" s="56">
        <v>30000</v>
      </c>
      <c r="K955" s="56">
        <v>330000</v>
      </c>
      <c r="L955" t="s">
        <v>889</v>
      </c>
      <c r="M955" t="s">
        <v>874</v>
      </c>
      <c r="N955" t="s">
        <v>875</v>
      </c>
      <c r="O955" s="57">
        <v>45689</v>
      </c>
      <c r="P955" t="s">
        <v>877</v>
      </c>
      <c r="Q955" s="56">
        <v>300000</v>
      </c>
      <c r="R955" t="s">
        <v>820</v>
      </c>
      <c r="S955" t="s">
        <v>747</v>
      </c>
      <c r="T955" t="s">
        <v>748</v>
      </c>
      <c r="U955" t="s">
        <v>593</v>
      </c>
      <c r="V955" t="s">
        <v>7</v>
      </c>
      <c r="W955" t="s">
        <v>56</v>
      </c>
      <c r="X955" t="s">
        <v>9</v>
      </c>
      <c r="Y955" s="56">
        <f>IF(clean[[#This Row],[is_delivered]]="Yes",clean[[#This Row],[net_sales]],0 )</f>
        <v>300000</v>
      </c>
    </row>
    <row r="956" spans="1:25">
      <c r="A956" t="s">
        <v>1635</v>
      </c>
      <c r="B956" s="9">
        <v>45696</v>
      </c>
      <c r="C956" t="s">
        <v>326</v>
      </c>
      <c r="D956" t="s">
        <v>831</v>
      </c>
      <c r="E956">
        <v>1</v>
      </c>
      <c r="F956" s="56">
        <v>300000</v>
      </c>
      <c r="G956" s="56">
        <v>300000</v>
      </c>
      <c r="H956" t="s">
        <v>883</v>
      </c>
      <c r="I956" s="56">
        <v>30000</v>
      </c>
      <c r="J956" s="56">
        <v>15000</v>
      </c>
      <c r="K956" s="56">
        <v>285000</v>
      </c>
      <c r="L956" t="s">
        <v>884</v>
      </c>
      <c r="M956" t="s">
        <v>903</v>
      </c>
      <c r="N956" t="s">
        <v>875</v>
      </c>
      <c r="O956" s="57">
        <v>45689</v>
      </c>
      <c r="P956" t="s">
        <v>877</v>
      </c>
      <c r="Q956" s="56">
        <v>270000</v>
      </c>
      <c r="R956" t="s">
        <v>832</v>
      </c>
      <c r="S956" t="s">
        <v>747</v>
      </c>
      <c r="T956" t="s">
        <v>748</v>
      </c>
      <c r="U956" t="s">
        <v>327</v>
      </c>
      <c r="V956" t="s">
        <v>7</v>
      </c>
      <c r="W956" t="s">
        <v>8</v>
      </c>
      <c r="X956" t="s">
        <v>9</v>
      </c>
      <c r="Y956" s="56">
        <f>IF(clean[[#This Row],[is_delivered]]="Yes",clean[[#This Row],[net_sales]],0 )</f>
        <v>270000</v>
      </c>
    </row>
    <row r="957" spans="1:25">
      <c r="A957" t="s">
        <v>1743</v>
      </c>
      <c r="B957" s="9">
        <v>45696</v>
      </c>
      <c r="C957" t="s">
        <v>296</v>
      </c>
      <c r="D957" t="s">
        <v>807</v>
      </c>
      <c r="E957">
        <v>2</v>
      </c>
      <c r="F957" s="56">
        <v>150000</v>
      </c>
      <c r="G957" s="56">
        <v>300000</v>
      </c>
      <c r="H957" t="s">
        <v>886</v>
      </c>
      <c r="I957" s="56">
        <v>30000</v>
      </c>
      <c r="J957" s="56">
        <v>10000</v>
      </c>
      <c r="K957" s="56">
        <v>280000</v>
      </c>
      <c r="L957" t="s">
        <v>880</v>
      </c>
      <c r="M957" t="s">
        <v>901</v>
      </c>
      <c r="N957" t="s">
        <v>875</v>
      </c>
      <c r="O957" s="57">
        <v>45689</v>
      </c>
      <c r="P957" t="s">
        <v>877</v>
      </c>
      <c r="Q957" s="56">
        <v>270000</v>
      </c>
      <c r="R957" t="s">
        <v>808</v>
      </c>
      <c r="S957" t="s">
        <v>747</v>
      </c>
      <c r="T957" t="s">
        <v>748</v>
      </c>
      <c r="U957" t="s">
        <v>297</v>
      </c>
      <c r="V957" t="s">
        <v>7</v>
      </c>
      <c r="W957" t="s">
        <v>137</v>
      </c>
      <c r="X957" t="s">
        <v>24</v>
      </c>
      <c r="Y957" s="56">
        <f>IF(clean[[#This Row],[is_delivered]]="Yes",clean[[#This Row],[net_sales]],0 )</f>
        <v>270000</v>
      </c>
    </row>
    <row r="958" spans="1:25">
      <c r="A958" t="s">
        <v>2020</v>
      </c>
      <c r="B958" s="9">
        <v>45696</v>
      </c>
      <c r="C958" t="s">
        <v>156</v>
      </c>
      <c r="D958" t="s">
        <v>823</v>
      </c>
      <c r="E958">
        <v>2</v>
      </c>
      <c r="F958" s="56">
        <v>500000</v>
      </c>
      <c r="G958" s="56">
        <v>1000000</v>
      </c>
      <c r="H958" t="s">
        <v>872</v>
      </c>
      <c r="I958" s="56">
        <v>0</v>
      </c>
      <c r="J958" s="56">
        <v>30000</v>
      </c>
      <c r="K958" s="56">
        <v>1030000</v>
      </c>
      <c r="L958" t="s">
        <v>880</v>
      </c>
      <c r="M958" t="s">
        <v>874</v>
      </c>
      <c r="N958" t="s">
        <v>921</v>
      </c>
      <c r="O958" s="57">
        <v>45689</v>
      </c>
      <c r="P958" t="s">
        <v>892</v>
      </c>
      <c r="Q958" s="56">
        <v>1000000</v>
      </c>
      <c r="R958" t="s">
        <v>824</v>
      </c>
      <c r="S958" t="s">
        <v>731</v>
      </c>
      <c r="T958" t="s">
        <v>732</v>
      </c>
      <c r="U958" t="s">
        <v>157</v>
      </c>
      <c r="V958" t="s">
        <v>23</v>
      </c>
      <c r="W958" t="s">
        <v>137</v>
      </c>
      <c r="X958" t="s">
        <v>15</v>
      </c>
      <c r="Y958" s="56">
        <f>IF(clean[[#This Row],[is_delivered]]="Yes",clean[[#This Row],[net_sales]],0 )</f>
        <v>0</v>
      </c>
    </row>
    <row r="959" spans="1:25">
      <c r="A959" t="s">
        <v>1042</v>
      </c>
      <c r="B959" s="9">
        <v>45695</v>
      </c>
      <c r="C959" t="s">
        <v>240</v>
      </c>
      <c r="D959" t="s">
        <v>799</v>
      </c>
      <c r="E959">
        <v>2</v>
      </c>
      <c r="F959" s="56">
        <v>35000</v>
      </c>
      <c r="G959" s="56">
        <v>70000</v>
      </c>
      <c r="H959" t="s">
        <v>886</v>
      </c>
      <c r="I959" s="56">
        <v>7000</v>
      </c>
      <c r="J959" s="56">
        <v>15000</v>
      </c>
      <c r="K959" s="56">
        <v>78000</v>
      </c>
      <c r="L959" t="s">
        <v>873</v>
      </c>
      <c r="M959" t="s">
        <v>874</v>
      </c>
      <c r="N959" t="s">
        <v>911</v>
      </c>
      <c r="O959" s="57">
        <v>45689</v>
      </c>
      <c r="P959" t="s">
        <v>892</v>
      </c>
      <c r="Q959" s="56">
        <v>63000</v>
      </c>
      <c r="R959" t="s">
        <v>800</v>
      </c>
      <c r="S959" t="s">
        <v>731</v>
      </c>
      <c r="T959" t="s">
        <v>732</v>
      </c>
      <c r="U959" t="s">
        <v>241</v>
      </c>
      <c r="V959" t="s">
        <v>23</v>
      </c>
      <c r="W959" t="s">
        <v>39</v>
      </c>
      <c r="X959" t="s">
        <v>24</v>
      </c>
      <c r="Y959" s="56">
        <f>IF(clean[[#This Row],[is_delivered]]="Yes",clean[[#This Row],[net_sales]],0 )</f>
        <v>0</v>
      </c>
    </row>
    <row r="960" spans="1:25">
      <c r="A960" t="s">
        <v>1463</v>
      </c>
      <c r="B960" s="9">
        <v>45695</v>
      </c>
      <c r="C960" t="s">
        <v>42</v>
      </c>
      <c r="D960" t="s">
        <v>751</v>
      </c>
      <c r="E960">
        <v>1</v>
      </c>
      <c r="F960" s="56">
        <v>150000</v>
      </c>
      <c r="G960" s="56">
        <v>150000</v>
      </c>
      <c r="H960" t="s">
        <v>883</v>
      </c>
      <c r="I960" s="56">
        <v>15000</v>
      </c>
      <c r="J960" s="56">
        <v>30000</v>
      </c>
      <c r="K960" s="56">
        <v>165000</v>
      </c>
      <c r="L960" t="s">
        <v>889</v>
      </c>
      <c r="M960" t="s">
        <v>903</v>
      </c>
      <c r="N960" t="s">
        <v>875</v>
      </c>
      <c r="O960" s="57">
        <v>45689</v>
      </c>
      <c r="P960" t="s">
        <v>877</v>
      </c>
      <c r="Q960" s="56">
        <v>135000</v>
      </c>
      <c r="R960" t="s">
        <v>752</v>
      </c>
      <c r="S960" t="s">
        <v>731</v>
      </c>
      <c r="T960" t="s">
        <v>732</v>
      </c>
      <c r="U960" t="s">
        <v>43</v>
      </c>
      <c r="V960" t="s">
        <v>23</v>
      </c>
      <c r="W960" t="s">
        <v>39</v>
      </c>
      <c r="X960" t="s">
        <v>15</v>
      </c>
      <c r="Y960" s="56">
        <f>IF(clean[[#This Row],[is_delivered]]="Yes",clean[[#This Row],[net_sales]],0 )</f>
        <v>135000</v>
      </c>
    </row>
    <row r="961" spans="1:25">
      <c r="A961" t="s">
        <v>1586</v>
      </c>
      <c r="B961" s="9">
        <v>45695</v>
      </c>
      <c r="C961" t="s">
        <v>470</v>
      </c>
      <c r="D961" t="s">
        <v>841</v>
      </c>
      <c r="E961">
        <v>4</v>
      </c>
      <c r="F961" s="56">
        <v>75000</v>
      </c>
      <c r="G961" s="56">
        <v>300000</v>
      </c>
      <c r="H961" t="s">
        <v>895</v>
      </c>
      <c r="I961" s="56">
        <v>45000</v>
      </c>
      <c r="J961" s="56">
        <v>30000</v>
      </c>
      <c r="K961" s="56">
        <v>285000</v>
      </c>
      <c r="L961" t="s">
        <v>884</v>
      </c>
      <c r="M961" t="s">
        <v>881</v>
      </c>
      <c r="N961" t="s">
        <v>875</v>
      </c>
      <c r="O961" s="57">
        <v>45689</v>
      </c>
      <c r="P961" t="s">
        <v>877</v>
      </c>
      <c r="Q961" s="56">
        <v>255000</v>
      </c>
      <c r="R961" t="s">
        <v>842</v>
      </c>
      <c r="S961" t="s">
        <v>743</v>
      </c>
      <c r="T961" t="s">
        <v>744</v>
      </c>
      <c r="U961" t="s">
        <v>471</v>
      </c>
      <c r="V961" t="s">
        <v>7</v>
      </c>
      <c r="W961" t="s">
        <v>36</v>
      </c>
      <c r="X961" t="s">
        <v>24</v>
      </c>
      <c r="Y961" s="56">
        <f>IF(clean[[#This Row],[is_delivered]]="Yes",clean[[#This Row],[net_sales]],0 )</f>
        <v>255000</v>
      </c>
    </row>
    <row r="962" spans="1:25">
      <c r="A962" t="s">
        <v>1652</v>
      </c>
      <c r="B962" s="9">
        <v>45695</v>
      </c>
      <c r="C962" t="s">
        <v>314</v>
      </c>
      <c r="D962" t="s">
        <v>835</v>
      </c>
      <c r="E962">
        <v>1</v>
      </c>
      <c r="F962" s="56">
        <v>200000</v>
      </c>
      <c r="G962" s="56">
        <v>200000</v>
      </c>
      <c r="H962" t="s">
        <v>872</v>
      </c>
      <c r="I962" s="56">
        <v>0</v>
      </c>
      <c r="J962" s="56">
        <v>20000</v>
      </c>
      <c r="K962" s="56">
        <v>220000</v>
      </c>
      <c r="L962" t="s">
        <v>873</v>
      </c>
      <c r="M962" t="s">
        <v>903</v>
      </c>
      <c r="N962" t="s">
        <v>875</v>
      </c>
      <c r="O962" s="57">
        <v>45689</v>
      </c>
      <c r="P962" t="s">
        <v>877</v>
      </c>
      <c r="Q962" s="56">
        <v>200000</v>
      </c>
      <c r="R962" t="s">
        <v>836</v>
      </c>
      <c r="S962" t="s">
        <v>731</v>
      </c>
      <c r="T962" t="s">
        <v>732</v>
      </c>
      <c r="U962" t="s">
        <v>315</v>
      </c>
      <c r="V962" t="s">
        <v>23</v>
      </c>
      <c r="W962" t="s">
        <v>56</v>
      </c>
      <c r="X962" t="s">
        <v>9</v>
      </c>
      <c r="Y962" s="56">
        <f>IF(clean[[#This Row],[is_delivered]]="Yes",clean[[#This Row],[net_sales]],0 )</f>
        <v>200000</v>
      </c>
    </row>
    <row r="963" spans="1:25">
      <c r="A963" t="s">
        <v>1839</v>
      </c>
      <c r="B963" s="9">
        <v>45695</v>
      </c>
      <c r="C963" t="s">
        <v>67</v>
      </c>
      <c r="D963" t="s">
        <v>787</v>
      </c>
      <c r="E963">
        <v>2</v>
      </c>
      <c r="F963" s="56">
        <v>200000</v>
      </c>
      <c r="G963" s="56">
        <v>400000</v>
      </c>
      <c r="H963" t="s">
        <v>883</v>
      </c>
      <c r="I963" s="56">
        <v>40000</v>
      </c>
      <c r="J963" s="56">
        <v>10000</v>
      </c>
      <c r="K963" s="56">
        <v>370000</v>
      </c>
      <c r="L963" t="s">
        <v>873</v>
      </c>
      <c r="M963" t="s">
        <v>881</v>
      </c>
      <c r="N963" t="s">
        <v>875</v>
      </c>
      <c r="O963" s="57">
        <v>45689</v>
      </c>
      <c r="P963" t="s">
        <v>877</v>
      </c>
      <c r="Q963" s="56">
        <v>360000</v>
      </c>
      <c r="R963" t="s">
        <v>788</v>
      </c>
      <c r="S963" t="s">
        <v>731</v>
      </c>
      <c r="T963" t="s">
        <v>732</v>
      </c>
      <c r="U963" t="s">
        <v>68</v>
      </c>
      <c r="V963" t="s">
        <v>7</v>
      </c>
      <c r="W963" t="s">
        <v>56</v>
      </c>
      <c r="X963" t="s">
        <v>24</v>
      </c>
      <c r="Y963" s="56">
        <f>IF(clean[[#This Row],[is_delivered]]="Yes",clean[[#This Row],[net_sales]],0 )</f>
        <v>360000</v>
      </c>
    </row>
    <row r="964" spans="1:25">
      <c r="A964" t="s">
        <v>933</v>
      </c>
      <c r="B964" s="9">
        <v>45694</v>
      </c>
      <c r="C964" t="s">
        <v>140</v>
      </c>
      <c r="D964" t="s">
        <v>809</v>
      </c>
      <c r="E964">
        <v>1</v>
      </c>
      <c r="F964" s="56">
        <v>100000</v>
      </c>
      <c r="G964" s="56">
        <v>100000</v>
      </c>
      <c r="H964" t="s">
        <v>879</v>
      </c>
      <c r="I964" s="56">
        <v>20000</v>
      </c>
      <c r="J964" s="56">
        <v>20000</v>
      </c>
      <c r="K964" s="56">
        <v>100000</v>
      </c>
      <c r="L964" t="s">
        <v>880</v>
      </c>
      <c r="M964" t="s">
        <v>881</v>
      </c>
      <c r="N964" t="s">
        <v>875</v>
      </c>
      <c r="O964" s="57">
        <v>45689</v>
      </c>
      <c r="P964" t="s">
        <v>877</v>
      </c>
      <c r="Q964" s="56">
        <v>80000</v>
      </c>
      <c r="R964" t="s">
        <v>810</v>
      </c>
      <c r="S964" t="s">
        <v>727</v>
      </c>
      <c r="T964" t="s">
        <v>728</v>
      </c>
      <c r="U964" t="s">
        <v>141</v>
      </c>
      <c r="V964" t="s">
        <v>23</v>
      </c>
      <c r="W964" t="s">
        <v>137</v>
      </c>
      <c r="X964" t="s">
        <v>9</v>
      </c>
      <c r="Y964" s="56">
        <f>IF(clean[[#This Row],[is_delivered]]="Yes",clean[[#This Row],[net_sales]],0 )</f>
        <v>80000</v>
      </c>
    </row>
    <row r="965" spans="1:25">
      <c r="A965" t="s">
        <v>941</v>
      </c>
      <c r="B965" s="9">
        <v>45694</v>
      </c>
      <c r="C965" t="s">
        <v>650</v>
      </c>
      <c r="D965" t="s">
        <v>831</v>
      </c>
      <c r="E965">
        <v>2</v>
      </c>
      <c r="F965" s="56">
        <v>300000</v>
      </c>
      <c r="G965" s="56">
        <v>600000</v>
      </c>
      <c r="H965" t="s">
        <v>886</v>
      </c>
      <c r="I965" s="56">
        <v>60000</v>
      </c>
      <c r="J965" s="56">
        <v>30000</v>
      </c>
      <c r="K965" s="56">
        <v>570000</v>
      </c>
      <c r="L965" t="s">
        <v>880</v>
      </c>
      <c r="M965" t="s">
        <v>903</v>
      </c>
      <c r="N965" t="s">
        <v>911</v>
      </c>
      <c r="O965" s="57">
        <v>45689</v>
      </c>
      <c r="P965" t="s">
        <v>892</v>
      </c>
      <c r="Q965" s="56">
        <v>540000</v>
      </c>
      <c r="R965" t="s">
        <v>832</v>
      </c>
      <c r="S965" t="s">
        <v>747</v>
      </c>
      <c r="T965" t="s">
        <v>748</v>
      </c>
      <c r="U965" t="s">
        <v>651</v>
      </c>
      <c r="V965" t="s">
        <v>23</v>
      </c>
      <c r="W965" t="s">
        <v>20</v>
      </c>
      <c r="X965" t="s">
        <v>9</v>
      </c>
      <c r="Y965" s="56">
        <f>IF(clean[[#This Row],[is_delivered]]="Yes",clean[[#This Row],[net_sales]],0 )</f>
        <v>0</v>
      </c>
    </row>
    <row r="966" spans="1:25">
      <c r="A966" t="s">
        <v>1057</v>
      </c>
      <c r="B966" s="9">
        <v>45694</v>
      </c>
      <c r="C966" t="s">
        <v>478</v>
      </c>
      <c r="D966" t="s">
        <v>777</v>
      </c>
      <c r="E966">
        <v>3</v>
      </c>
      <c r="F966" s="56">
        <v>200000</v>
      </c>
      <c r="G966" s="56">
        <v>600000</v>
      </c>
      <c r="H966" t="s">
        <v>872</v>
      </c>
      <c r="I966" s="56">
        <v>0</v>
      </c>
      <c r="J966" s="56">
        <v>25000</v>
      </c>
      <c r="K966" s="56">
        <v>625000</v>
      </c>
      <c r="L966" t="s">
        <v>889</v>
      </c>
      <c r="M966" t="s">
        <v>903</v>
      </c>
      <c r="N966" t="s">
        <v>890</v>
      </c>
      <c r="O966" s="57">
        <v>45689</v>
      </c>
      <c r="P966" t="s">
        <v>892</v>
      </c>
      <c r="Q966" s="56">
        <v>600000</v>
      </c>
      <c r="R966" t="s">
        <v>778</v>
      </c>
      <c r="S966" t="s">
        <v>735</v>
      </c>
      <c r="T966" t="s">
        <v>736</v>
      </c>
      <c r="U966" t="s">
        <v>479</v>
      </c>
      <c r="V966" t="s">
        <v>23</v>
      </c>
      <c r="W966" t="s">
        <v>51</v>
      </c>
      <c r="X966" t="s">
        <v>15</v>
      </c>
      <c r="Y966" s="56">
        <f>IF(clean[[#This Row],[is_delivered]]="Yes",clean[[#This Row],[net_sales]],0 )</f>
        <v>0</v>
      </c>
    </row>
    <row r="967" spans="1:25">
      <c r="A967" t="s">
        <v>1988</v>
      </c>
      <c r="B967" s="9">
        <v>45694</v>
      </c>
      <c r="C967" t="s">
        <v>524</v>
      </c>
      <c r="D967" t="s">
        <v>855</v>
      </c>
      <c r="E967">
        <v>2</v>
      </c>
      <c r="F967" s="56">
        <v>150000</v>
      </c>
      <c r="G967" s="56">
        <v>300000</v>
      </c>
      <c r="H967" t="s">
        <v>872</v>
      </c>
      <c r="I967" s="56">
        <v>0</v>
      </c>
      <c r="J967" s="56">
        <v>10000</v>
      </c>
      <c r="K967" s="56">
        <v>310000</v>
      </c>
      <c r="L967" t="s">
        <v>880</v>
      </c>
      <c r="M967" t="s">
        <v>903</v>
      </c>
      <c r="N967" t="s">
        <v>905</v>
      </c>
      <c r="O967" s="57">
        <v>45689</v>
      </c>
      <c r="P967" t="s">
        <v>892</v>
      </c>
      <c r="Q967" s="56">
        <v>300000</v>
      </c>
      <c r="R967" t="s">
        <v>856</v>
      </c>
      <c r="S967" t="s">
        <v>747</v>
      </c>
      <c r="T967" t="s">
        <v>748</v>
      </c>
      <c r="U967" t="s">
        <v>525</v>
      </c>
      <c r="V967" t="s">
        <v>23</v>
      </c>
      <c r="W967" t="s">
        <v>39</v>
      </c>
      <c r="X967" t="s">
        <v>9</v>
      </c>
      <c r="Y967" s="56">
        <f>IF(clean[[#This Row],[is_delivered]]="Yes",clean[[#This Row],[net_sales]],0 )</f>
        <v>0</v>
      </c>
    </row>
    <row r="968" spans="1:25">
      <c r="A968" t="s">
        <v>1014</v>
      </c>
      <c r="B968" s="9">
        <v>45692</v>
      </c>
      <c r="C968" t="s">
        <v>590</v>
      </c>
      <c r="D968" t="s">
        <v>839</v>
      </c>
      <c r="E968">
        <v>3</v>
      </c>
      <c r="F968" s="56">
        <v>200000</v>
      </c>
      <c r="G968" s="56">
        <v>600000</v>
      </c>
      <c r="H968" t="s">
        <v>886</v>
      </c>
      <c r="I968" s="56">
        <v>60000</v>
      </c>
      <c r="J968" s="56">
        <v>10000</v>
      </c>
      <c r="K968" s="56">
        <v>550000</v>
      </c>
      <c r="L968" t="s">
        <v>880</v>
      </c>
      <c r="M968" t="s">
        <v>901</v>
      </c>
      <c r="N968" t="s">
        <v>875</v>
      </c>
      <c r="O968" s="57">
        <v>45689</v>
      </c>
      <c r="P968" t="s">
        <v>877</v>
      </c>
      <c r="Q968" s="56">
        <v>540000</v>
      </c>
      <c r="R968" t="s">
        <v>840</v>
      </c>
      <c r="S968" t="s">
        <v>739</v>
      </c>
      <c r="T968" t="s">
        <v>740</v>
      </c>
      <c r="U968" t="s">
        <v>591</v>
      </c>
      <c r="V968" t="s">
        <v>7</v>
      </c>
      <c r="W968" t="s">
        <v>29</v>
      </c>
      <c r="X968" t="s">
        <v>24</v>
      </c>
      <c r="Y968" s="56">
        <f>IF(clean[[#This Row],[is_delivered]]="Yes",clean[[#This Row],[net_sales]],0 )</f>
        <v>540000</v>
      </c>
    </row>
    <row r="969" spans="1:25">
      <c r="A969" t="s">
        <v>898</v>
      </c>
      <c r="B969" s="9">
        <v>45692</v>
      </c>
      <c r="C969" t="s">
        <v>210</v>
      </c>
      <c r="D969" t="s">
        <v>783</v>
      </c>
      <c r="E969">
        <v>3</v>
      </c>
      <c r="F969" s="56">
        <v>500000</v>
      </c>
      <c r="G969" s="56">
        <v>1500000</v>
      </c>
      <c r="H969" t="s">
        <v>872</v>
      </c>
      <c r="I969" s="56">
        <v>0</v>
      </c>
      <c r="J969" s="56">
        <v>30000</v>
      </c>
      <c r="K969" s="56">
        <v>1530000</v>
      </c>
      <c r="L969" t="s">
        <v>880</v>
      </c>
      <c r="M969" t="s">
        <v>874</v>
      </c>
      <c r="N969" t="s">
        <v>875</v>
      </c>
      <c r="O969" s="57">
        <v>45689</v>
      </c>
      <c r="P969" t="s">
        <v>877</v>
      </c>
      <c r="Q969" s="56">
        <v>1500000</v>
      </c>
      <c r="R969" t="s">
        <v>784</v>
      </c>
      <c r="S969" t="s">
        <v>747</v>
      </c>
      <c r="T969" t="s">
        <v>748</v>
      </c>
      <c r="U969" t="s">
        <v>211</v>
      </c>
      <c r="V969" t="s">
        <v>23</v>
      </c>
      <c r="W969" t="s">
        <v>56</v>
      </c>
      <c r="X969" t="s">
        <v>15</v>
      </c>
      <c r="Y969" s="56">
        <f>IF(clean[[#This Row],[is_delivered]]="Yes",clean[[#This Row],[net_sales]],0 )</f>
        <v>1500000</v>
      </c>
    </row>
    <row r="970" spans="1:25">
      <c r="A970" t="s">
        <v>1384</v>
      </c>
      <c r="B970" s="9">
        <v>45692</v>
      </c>
      <c r="C970" t="s">
        <v>284</v>
      </c>
      <c r="D970" t="s">
        <v>753</v>
      </c>
      <c r="E970">
        <v>2</v>
      </c>
      <c r="F970" s="56">
        <v>300000</v>
      </c>
      <c r="G970" s="56">
        <v>600000</v>
      </c>
      <c r="H970" t="s">
        <v>895</v>
      </c>
      <c r="I970" s="56">
        <v>90000</v>
      </c>
      <c r="J970" s="56">
        <v>30000</v>
      </c>
      <c r="K970" s="56">
        <v>540000</v>
      </c>
      <c r="L970" t="s">
        <v>884</v>
      </c>
      <c r="M970" t="s">
        <v>903</v>
      </c>
      <c r="N970" t="s">
        <v>875</v>
      </c>
      <c r="O970" s="57">
        <v>45689</v>
      </c>
      <c r="P970" t="s">
        <v>877</v>
      </c>
      <c r="Q970" s="56">
        <v>510000</v>
      </c>
      <c r="R970" t="s">
        <v>754</v>
      </c>
      <c r="S970" t="s">
        <v>735</v>
      </c>
      <c r="T970" t="s">
        <v>736</v>
      </c>
      <c r="U970" t="s">
        <v>285</v>
      </c>
      <c r="V970" t="s">
        <v>7</v>
      </c>
      <c r="W970" t="s">
        <v>137</v>
      </c>
      <c r="X970" t="s">
        <v>24</v>
      </c>
      <c r="Y970" s="56">
        <f>IF(clean[[#This Row],[is_delivered]]="Yes",clean[[#This Row],[net_sales]],0 )</f>
        <v>510000</v>
      </c>
    </row>
    <row r="971" spans="1:25">
      <c r="A971" t="s">
        <v>1578</v>
      </c>
      <c r="B971" s="9">
        <v>45692</v>
      </c>
      <c r="C971" t="s">
        <v>536</v>
      </c>
      <c r="D971" t="s">
        <v>847</v>
      </c>
      <c r="E971">
        <v>2</v>
      </c>
      <c r="F971" s="56">
        <v>100000</v>
      </c>
      <c r="G971" s="56">
        <v>200000</v>
      </c>
      <c r="H971" t="s">
        <v>886</v>
      </c>
      <c r="I971" s="56">
        <v>20000</v>
      </c>
      <c r="J971" s="56">
        <v>15000</v>
      </c>
      <c r="K971" s="56">
        <v>195000</v>
      </c>
      <c r="L971" t="s">
        <v>873</v>
      </c>
      <c r="M971" t="s">
        <v>901</v>
      </c>
      <c r="N971" t="s">
        <v>875</v>
      </c>
      <c r="O971" s="57">
        <v>45689</v>
      </c>
      <c r="P971" t="s">
        <v>877</v>
      </c>
      <c r="Q971" s="56">
        <v>180000</v>
      </c>
      <c r="R971" t="s">
        <v>848</v>
      </c>
      <c r="S971" t="s">
        <v>731</v>
      </c>
      <c r="T971" t="s">
        <v>732</v>
      </c>
      <c r="U971" t="s">
        <v>537</v>
      </c>
      <c r="V971" t="s">
        <v>7</v>
      </c>
      <c r="W971" t="s">
        <v>36</v>
      </c>
      <c r="X971" t="s">
        <v>9</v>
      </c>
      <c r="Y971" s="56">
        <f>IF(clean[[#This Row],[is_delivered]]="Yes",clean[[#This Row],[net_sales]],0 )</f>
        <v>180000</v>
      </c>
    </row>
    <row r="972" spans="1:25">
      <c r="A972" t="s">
        <v>1850</v>
      </c>
      <c r="B972" s="9">
        <v>45692</v>
      </c>
      <c r="C972" t="s">
        <v>282</v>
      </c>
      <c r="D972" t="s">
        <v>767</v>
      </c>
      <c r="E972">
        <v>2</v>
      </c>
      <c r="F972" s="56">
        <v>150000</v>
      </c>
      <c r="G972" s="56">
        <v>300000</v>
      </c>
      <c r="H972" t="s">
        <v>872</v>
      </c>
      <c r="I972" s="56">
        <v>0</v>
      </c>
      <c r="J972" s="56">
        <v>15000</v>
      </c>
      <c r="K972" s="56">
        <v>315000</v>
      </c>
      <c r="L972" t="s">
        <v>873</v>
      </c>
      <c r="M972" t="s">
        <v>903</v>
      </c>
      <c r="N972" t="s">
        <v>875</v>
      </c>
      <c r="O972" s="57">
        <v>45689</v>
      </c>
      <c r="P972" t="s">
        <v>877</v>
      </c>
      <c r="Q972" s="56">
        <v>300000</v>
      </c>
      <c r="R972" t="s">
        <v>768</v>
      </c>
      <c r="S972" t="s">
        <v>739</v>
      </c>
      <c r="T972" t="s">
        <v>740</v>
      </c>
      <c r="U972" t="s">
        <v>283</v>
      </c>
      <c r="V972" t="s">
        <v>7</v>
      </c>
      <c r="W972" t="s">
        <v>46</v>
      </c>
      <c r="X972" t="s">
        <v>9</v>
      </c>
      <c r="Y972" s="56">
        <f>IF(clean[[#This Row],[is_delivered]]="Yes",clean[[#This Row],[net_sales]],0 )</f>
        <v>300000</v>
      </c>
    </row>
    <row r="973" spans="1:25">
      <c r="A973" t="s">
        <v>1862</v>
      </c>
      <c r="B973" s="9">
        <v>45692</v>
      </c>
      <c r="C973" t="s">
        <v>658</v>
      </c>
      <c r="D973" t="s">
        <v>841</v>
      </c>
      <c r="E973">
        <v>1</v>
      </c>
      <c r="F973" s="56">
        <v>75000</v>
      </c>
      <c r="G973" s="56">
        <v>75000</v>
      </c>
      <c r="H973" t="s">
        <v>886</v>
      </c>
      <c r="I973" s="56">
        <v>7500</v>
      </c>
      <c r="J973" s="56">
        <v>20000</v>
      </c>
      <c r="K973" s="56">
        <v>87500</v>
      </c>
      <c r="L973" t="s">
        <v>889</v>
      </c>
      <c r="M973" t="s">
        <v>881</v>
      </c>
      <c r="N973" t="s">
        <v>875</v>
      </c>
      <c r="O973" s="57">
        <v>45689</v>
      </c>
      <c r="P973" t="s">
        <v>877</v>
      </c>
      <c r="Q973" s="56">
        <v>67500</v>
      </c>
      <c r="R973" t="s">
        <v>842</v>
      </c>
      <c r="S973" t="s">
        <v>743</v>
      </c>
      <c r="T973" t="s">
        <v>744</v>
      </c>
      <c r="U973" t="s">
        <v>659</v>
      </c>
      <c r="V973" t="s">
        <v>7</v>
      </c>
      <c r="W973" t="s">
        <v>12</v>
      </c>
      <c r="X973" t="s">
        <v>24</v>
      </c>
      <c r="Y973" s="56">
        <f>IF(clean[[#This Row],[is_delivered]]="Yes",clean[[#This Row],[net_sales]],0 )</f>
        <v>67500</v>
      </c>
    </row>
    <row r="974" spans="1:25">
      <c r="A974" t="s">
        <v>1974</v>
      </c>
      <c r="B974" s="9">
        <v>45692</v>
      </c>
      <c r="C974" t="s">
        <v>596</v>
      </c>
      <c r="D974" t="s">
        <v>771</v>
      </c>
      <c r="E974">
        <v>2</v>
      </c>
      <c r="F974" s="56">
        <v>500000</v>
      </c>
      <c r="G974" s="56">
        <v>1000000</v>
      </c>
      <c r="H974" t="s">
        <v>872</v>
      </c>
      <c r="I974" s="56">
        <v>0</v>
      </c>
      <c r="J974" s="56">
        <v>10000</v>
      </c>
      <c r="K974" s="56">
        <v>1010000</v>
      </c>
      <c r="L974" t="s">
        <v>873</v>
      </c>
      <c r="M974" t="s">
        <v>903</v>
      </c>
      <c r="N974" t="s">
        <v>875</v>
      </c>
      <c r="O974" s="57">
        <v>45689</v>
      </c>
      <c r="P974" t="s">
        <v>877</v>
      </c>
      <c r="Q974" s="56">
        <v>1000000</v>
      </c>
      <c r="R974" t="s">
        <v>772</v>
      </c>
      <c r="S974" t="s">
        <v>747</v>
      </c>
      <c r="T974" t="s">
        <v>748</v>
      </c>
      <c r="U974" t="s">
        <v>597</v>
      </c>
      <c r="V974" t="s">
        <v>23</v>
      </c>
      <c r="W974" t="s">
        <v>137</v>
      </c>
      <c r="X974" t="s">
        <v>24</v>
      </c>
      <c r="Y974" s="56">
        <f>IF(clean[[#This Row],[is_delivered]]="Yes",clean[[#This Row],[net_sales]],0 )</f>
        <v>1000000</v>
      </c>
    </row>
    <row r="975" spans="1:25">
      <c r="A975" t="s">
        <v>1365</v>
      </c>
      <c r="B975" s="9">
        <v>45691</v>
      </c>
      <c r="C975" t="s">
        <v>172</v>
      </c>
      <c r="D975" t="s">
        <v>819</v>
      </c>
      <c r="E975">
        <v>1</v>
      </c>
      <c r="F975" s="56">
        <v>300000</v>
      </c>
      <c r="G975" s="56">
        <v>300000</v>
      </c>
      <c r="H975" t="s">
        <v>872</v>
      </c>
      <c r="I975" s="56">
        <v>0</v>
      </c>
      <c r="J975" s="56">
        <v>20000</v>
      </c>
      <c r="K975" s="56">
        <v>320000</v>
      </c>
      <c r="L975" t="s">
        <v>880</v>
      </c>
      <c r="M975" t="s">
        <v>881</v>
      </c>
      <c r="N975" t="s">
        <v>875</v>
      </c>
      <c r="O975" s="57">
        <v>45689</v>
      </c>
      <c r="P975" t="s">
        <v>877</v>
      </c>
      <c r="Q975" s="56">
        <v>300000</v>
      </c>
      <c r="R975" t="s">
        <v>820</v>
      </c>
      <c r="S975" t="s">
        <v>747</v>
      </c>
      <c r="T975" t="s">
        <v>748</v>
      </c>
      <c r="U975" t="s">
        <v>173</v>
      </c>
      <c r="V975" t="s">
        <v>7</v>
      </c>
      <c r="W975" t="s">
        <v>56</v>
      </c>
      <c r="X975" t="s">
        <v>9</v>
      </c>
      <c r="Y975" s="56">
        <f>IF(clean[[#This Row],[is_delivered]]="Yes",clean[[#This Row],[net_sales]],0 )</f>
        <v>300000</v>
      </c>
    </row>
    <row r="976" spans="1:25">
      <c r="A976" t="s">
        <v>1662</v>
      </c>
      <c r="B976" s="9">
        <v>45691</v>
      </c>
      <c r="C976" t="s">
        <v>186</v>
      </c>
      <c r="D976" t="s">
        <v>785</v>
      </c>
      <c r="E976">
        <v>2</v>
      </c>
      <c r="F976" s="56">
        <v>100000</v>
      </c>
      <c r="G976" s="56">
        <v>200000</v>
      </c>
      <c r="H976" t="s">
        <v>872</v>
      </c>
      <c r="I976" s="56">
        <v>0</v>
      </c>
      <c r="J976" s="56">
        <v>15000</v>
      </c>
      <c r="K976" s="56">
        <v>215000</v>
      </c>
      <c r="L976" t="s">
        <v>873</v>
      </c>
      <c r="M976" t="s">
        <v>881</v>
      </c>
      <c r="N976" t="s">
        <v>921</v>
      </c>
      <c r="O976" s="57">
        <v>45689</v>
      </c>
      <c r="P976" t="s">
        <v>892</v>
      </c>
      <c r="Q976" s="56">
        <v>200000</v>
      </c>
      <c r="R976" t="s">
        <v>786</v>
      </c>
      <c r="S976" t="s">
        <v>727</v>
      </c>
      <c r="T976" t="s">
        <v>728</v>
      </c>
      <c r="U976" t="s">
        <v>187</v>
      </c>
      <c r="V976" t="s">
        <v>23</v>
      </c>
      <c r="W976" t="s">
        <v>51</v>
      </c>
      <c r="X976" t="s">
        <v>9</v>
      </c>
      <c r="Y976" s="56">
        <f>IF(clean[[#This Row],[is_delivered]]="Yes",clean[[#This Row],[net_sales]],0 )</f>
        <v>0</v>
      </c>
    </row>
    <row r="977" spans="1:25">
      <c r="A977" t="s">
        <v>1766</v>
      </c>
      <c r="B977" s="9">
        <v>45691</v>
      </c>
      <c r="C977" t="s">
        <v>238</v>
      </c>
      <c r="D977" t="s">
        <v>831</v>
      </c>
      <c r="E977">
        <v>1</v>
      </c>
      <c r="F977" s="56">
        <v>300000</v>
      </c>
      <c r="G977" s="56">
        <v>300000</v>
      </c>
      <c r="H977" t="s">
        <v>872</v>
      </c>
      <c r="I977" s="56">
        <v>0</v>
      </c>
      <c r="J977" s="56">
        <v>30000</v>
      </c>
      <c r="K977" s="56">
        <v>330000</v>
      </c>
      <c r="L977" t="s">
        <v>880</v>
      </c>
      <c r="M977" t="s">
        <v>903</v>
      </c>
      <c r="N977" t="s">
        <v>875</v>
      </c>
      <c r="O977" s="57">
        <v>45689</v>
      </c>
      <c r="P977" t="s">
        <v>877</v>
      </c>
      <c r="Q977" s="56">
        <v>300000</v>
      </c>
      <c r="R977" t="s">
        <v>832</v>
      </c>
      <c r="S977" t="s">
        <v>747</v>
      </c>
      <c r="T977" t="s">
        <v>748</v>
      </c>
      <c r="U977" t="s">
        <v>239</v>
      </c>
      <c r="V977" t="s">
        <v>23</v>
      </c>
      <c r="W977" t="s">
        <v>46</v>
      </c>
      <c r="X977" t="s">
        <v>9</v>
      </c>
      <c r="Y977" s="56">
        <f>IF(clean[[#This Row],[is_delivered]]="Yes",clean[[#This Row],[net_sales]],0 )</f>
        <v>300000</v>
      </c>
    </row>
    <row r="978" spans="1:25">
      <c r="A978" t="s">
        <v>1820</v>
      </c>
      <c r="B978" s="9">
        <v>45691</v>
      </c>
      <c r="C978" t="s">
        <v>344</v>
      </c>
      <c r="D978" t="s">
        <v>765</v>
      </c>
      <c r="E978">
        <v>3</v>
      </c>
      <c r="F978" s="56">
        <v>500000</v>
      </c>
      <c r="G978" s="56">
        <v>1500000</v>
      </c>
      <c r="H978" t="s">
        <v>895</v>
      </c>
      <c r="I978" s="56">
        <v>225000</v>
      </c>
      <c r="J978" s="56">
        <v>10000</v>
      </c>
      <c r="K978" s="56">
        <v>1285000</v>
      </c>
      <c r="L978" t="s">
        <v>889</v>
      </c>
      <c r="M978" t="s">
        <v>874</v>
      </c>
      <c r="N978" t="s">
        <v>875</v>
      </c>
      <c r="O978" s="57">
        <v>45689</v>
      </c>
      <c r="P978" t="s">
        <v>877</v>
      </c>
      <c r="Q978" s="56">
        <v>1275000</v>
      </c>
      <c r="R978" t="s">
        <v>766</v>
      </c>
      <c r="S978" t="s">
        <v>735</v>
      </c>
      <c r="T978" t="s">
        <v>736</v>
      </c>
      <c r="U978" t="s">
        <v>345</v>
      </c>
      <c r="V978" t="s">
        <v>23</v>
      </c>
      <c r="W978" t="s">
        <v>137</v>
      </c>
      <c r="X978" t="s">
        <v>24</v>
      </c>
      <c r="Y978" s="56">
        <f>IF(clean[[#This Row],[is_delivered]]="Yes",clean[[#This Row],[net_sales]],0 )</f>
        <v>1275000</v>
      </c>
    </row>
    <row r="979" spans="1:25">
      <c r="A979" t="s">
        <v>1214</v>
      </c>
      <c r="B979" s="9">
        <v>45690</v>
      </c>
      <c r="C979" t="s">
        <v>558</v>
      </c>
      <c r="D979" t="s">
        <v>803</v>
      </c>
      <c r="E979">
        <v>2</v>
      </c>
      <c r="F979" s="56">
        <v>50000</v>
      </c>
      <c r="G979" s="56">
        <v>100000</v>
      </c>
      <c r="H979" t="s">
        <v>883</v>
      </c>
      <c r="I979" s="56">
        <v>10000</v>
      </c>
      <c r="J979" s="56">
        <v>10000</v>
      </c>
      <c r="K979" s="56">
        <v>100000</v>
      </c>
      <c r="L979" t="s">
        <v>884</v>
      </c>
      <c r="M979" t="s">
        <v>901</v>
      </c>
      <c r="N979" t="s">
        <v>875</v>
      </c>
      <c r="O979" s="57">
        <v>45689</v>
      </c>
      <c r="P979" t="s">
        <v>877</v>
      </c>
      <c r="Q979" s="56">
        <v>90000</v>
      </c>
      <c r="R979" t="s">
        <v>804</v>
      </c>
      <c r="S979" t="s">
        <v>739</v>
      </c>
      <c r="T979" t="s">
        <v>740</v>
      </c>
      <c r="U979" t="s">
        <v>559</v>
      </c>
      <c r="V979" t="s">
        <v>23</v>
      </c>
      <c r="W979" t="s">
        <v>56</v>
      </c>
      <c r="X979" t="s">
        <v>24</v>
      </c>
      <c r="Y979" s="56">
        <f>IF(clean[[#This Row],[is_delivered]]="Yes",clean[[#This Row],[net_sales]],0 )</f>
        <v>90000</v>
      </c>
    </row>
    <row r="980" spans="1:25">
      <c r="A980" t="s">
        <v>1221</v>
      </c>
      <c r="B980" s="9">
        <v>45690</v>
      </c>
      <c r="C980" t="s">
        <v>300</v>
      </c>
      <c r="D980" t="s">
        <v>775</v>
      </c>
      <c r="E980">
        <v>3</v>
      </c>
      <c r="F980" s="56">
        <v>75000</v>
      </c>
      <c r="G980" s="56">
        <v>225000</v>
      </c>
      <c r="H980" t="s">
        <v>872</v>
      </c>
      <c r="I980" s="56">
        <v>0</v>
      </c>
      <c r="J980" s="56">
        <v>30000</v>
      </c>
      <c r="K980" s="56">
        <v>255000</v>
      </c>
      <c r="L980" t="s">
        <v>889</v>
      </c>
      <c r="M980" t="s">
        <v>881</v>
      </c>
      <c r="N980" t="s">
        <v>890</v>
      </c>
      <c r="O980" s="57">
        <v>45689</v>
      </c>
      <c r="P980" t="s">
        <v>892</v>
      </c>
      <c r="Q980" s="56">
        <v>225000</v>
      </c>
      <c r="R980" t="s">
        <v>776</v>
      </c>
      <c r="S980" t="s">
        <v>731</v>
      </c>
      <c r="T980" t="s">
        <v>732</v>
      </c>
      <c r="U980" t="s">
        <v>301</v>
      </c>
      <c r="V980" t="s">
        <v>7</v>
      </c>
      <c r="W980" t="s">
        <v>39</v>
      </c>
      <c r="X980" t="s">
        <v>9</v>
      </c>
      <c r="Y980" s="56">
        <f>IF(clean[[#This Row],[is_delivered]]="Yes",clean[[#This Row],[net_sales]],0 )</f>
        <v>0</v>
      </c>
    </row>
    <row r="981" spans="1:25">
      <c r="A981" t="s">
        <v>1220</v>
      </c>
      <c r="B981" s="9">
        <v>45690</v>
      </c>
      <c r="C981" t="s">
        <v>654</v>
      </c>
      <c r="D981" t="s">
        <v>835</v>
      </c>
      <c r="E981">
        <v>1</v>
      </c>
      <c r="F981" s="56">
        <v>200000</v>
      </c>
      <c r="G981" s="56">
        <v>200000</v>
      </c>
      <c r="H981" t="s">
        <v>872</v>
      </c>
      <c r="I981" s="56">
        <v>0</v>
      </c>
      <c r="J981" s="56">
        <v>25000</v>
      </c>
      <c r="K981" s="56">
        <v>225000</v>
      </c>
      <c r="L981" t="s">
        <v>884</v>
      </c>
      <c r="M981" t="s">
        <v>903</v>
      </c>
      <c r="N981" t="s">
        <v>890</v>
      </c>
      <c r="O981" s="57">
        <v>45689</v>
      </c>
      <c r="P981" t="s">
        <v>892</v>
      </c>
      <c r="Q981" s="56">
        <v>200000</v>
      </c>
      <c r="R981" t="s">
        <v>836</v>
      </c>
      <c r="S981" t="s">
        <v>731</v>
      </c>
      <c r="T981" t="s">
        <v>732</v>
      </c>
      <c r="U981" t="s">
        <v>655</v>
      </c>
      <c r="V981" t="s">
        <v>7</v>
      </c>
      <c r="W981" t="s">
        <v>36</v>
      </c>
      <c r="X981" t="s">
        <v>24</v>
      </c>
      <c r="Y981" s="56">
        <f>IF(clean[[#This Row],[is_delivered]]="Yes",clean[[#This Row],[net_sales]],0 )</f>
        <v>0</v>
      </c>
    </row>
    <row r="982" spans="1:25">
      <c r="A982" t="s">
        <v>1427</v>
      </c>
      <c r="B982" s="9">
        <v>45690</v>
      </c>
      <c r="C982" t="s">
        <v>73</v>
      </c>
      <c r="D982" t="s">
        <v>853</v>
      </c>
      <c r="E982">
        <v>2</v>
      </c>
      <c r="F982" s="56">
        <v>75000</v>
      </c>
      <c r="G982" s="56">
        <v>150000</v>
      </c>
      <c r="H982" t="s">
        <v>883</v>
      </c>
      <c r="I982" s="56">
        <v>15000</v>
      </c>
      <c r="J982" s="56">
        <v>20000</v>
      </c>
      <c r="K982" s="56">
        <v>155000</v>
      </c>
      <c r="L982" t="s">
        <v>889</v>
      </c>
      <c r="M982" t="s">
        <v>903</v>
      </c>
      <c r="N982" t="s">
        <v>905</v>
      </c>
      <c r="O982" s="57">
        <v>45689</v>
      </c>
      <c r="P982" t="s">
        <v>892</v>
      </c>
      <c r="Q982" s="56">
        <v>135000</v>
      </c>
      <c r="R982" t="s">
        <v>854</v>
      </c>
      <c r="S982" t="s">
        <v>743</v>
      </c>
      <c r="T982" t="s">
        <v>744</v>
      </c>
      <c r="U982" t="s">
        <v>74</v>
      </c>
      <c r="V982" t="s">
        <v>7</v>
      </c>
      <c r="W982" t="s">
        <v>29</v>
      </c>
      <c r="X982" t="s">
        <v>15</v>
      </c>
      <c r="Y982" s="56">
        <f>IF(clean[[#This Row],[is_delivered]]="Yes",clean[[#This Row],[net_sales]],0 )</f>
        <v>0</v>
      </c>
    </row>
    <row r="983" spans="1:25">
      <c r="A983" t="s">
        <v>1694</v>
      </c>
      <c r="B983" s="9">
        <v>45690</v>
      </c>
      <c r="C983" t="s">
        <v>97</v>
      </c>
      <c r="D983" t="s">
        <v>799</v>
      </c>
      <c r="E983">
        <v>2</v>
      </c>
      <c r="F983" s="56">
        <v>35000</v>
      </c>
      <c r="G983" s="56">
        <v>70000</v>
      </c>
      <c r="H983" t="s">
        <v>886</v>
      </c>
      <c r="I983" s="56">
        <v>7000</v>
      </c>
      <c r="J983" s="56">
        <v>20000</v>
      </c>
      <c r="K983" s="56">
        <v>83000</v>
      </c>
      <c r="L983" t="s">
        <v>884</v>
      </c>
      <c r="M983" t="s">
        <v>903</v>
      </c>
      <c r="N983" t="s">
        <v>875</v>
      </c>
      <c r="O983" s="57">
        <v>45689</v>
      </c>
      <c r="P983" t="s">
        <v>877</v>
      </c>
      <c r="Q983" s="56">
        <v>63000</v>
      </c>
      <c r="R983" t="s">
        <v>800</v>
      </c>
      <c r="S983" t="s">
        <v>731</v>
      </c>
      <c r="T983" t="s">
        <v>732</v>
      </c>
      <c r="U983" t="s">
        <v>98</v>
      </c>
      <c r="V983" t="s">
        <v>7</v>
      </c>
      <c r="W983" t="s">
        <v>39</v>
      </c>
      <c r="X983" t="s">
        <v>9</v>
      </c>
      <c r="Y983" s="56">
        <f>IF(clean[[#This Row],[is_delivered]]="Yes",clean[[#This Row],[net_sales]],0 )</f>
        <v>63000</v>
      </c>
    </row>
    <row r="984" spans="1:25">
      <c r="A984" t="s">
        <v>1709</v>
      </c>
      <c r="B984" s="9">
        <v>45690</v>
      </c>
      <c r="C984" t="s">
        <v>692</v>
      </c>
      <c r="D984" t="s">
        <v>819</v>
      </c>
      <c r="E984">
        <v>2</v>
      </c>
      <c r="F984" s="56">
        <v>300000</v>
      </c>
      <c r="G984" s="56">
        <v>600000</v>
      </c>
      <c r="H984" t="s">
        <v>872</v>
      </c>
      <c r="I984" s="56">
        <v>0</v>
      </c>
      <c r="J984" s="56">
        <v>25000</v>
      </c>
      <c r="K984" s="56">
        <v>625000</v>
      </c>
      <c r="L984" t="s">
        <v>884</v>
      </c>
      <c r="M984" t="s">
        <v>874</v>
      </c>
      <c r="N984" t="s">
        <v>875</v>
      </c>
      <c r="O984" s="57">
        <v>45689</v>
      </c>
      <c r="P984" t="s">
        <v>877</v>
      </c>
      <c r="Q984" s="56">
        <v>600000</v>
      </c>
      <c r="R984" t="s">
        <v>820</v>
      </c>
      <c r="S984" t="s">
        <v>747</v>
      </c>
      <c r="T984" t="s">
        <v>748</v>
      </c>
      <c r="U984" t="s">
        <v>693</v>
      </c>
      <c r="V984" t="s">
        <v>23</v>
      </c>
      <c r="W984" t="s">
        <v>36</v>
      </c>
      <c r="X984" t="s">
        <v>9</v>
      </c>
      <c r="Y984" s="56">
        <f>IF(clean[[#This Row],[is_delivered]]="Yes",clean[[#This Row],[net_sales]],0 )</f>
        <v>600000</v>
      </c>
    </row>
    <row r="985" spans="1:25">
      <c r="A985" t="s">
        <v>893</v>
      </c>
      <c r="B985" s="9">
        <v>45689</v>
      </c>
      <c r="C985" t="s">
        <v>550</v>
      </c>
      <c r="D985" t="s">
        <v>755</v>
      </c>
      <c r="E985">
        <v>1</v>
      </c>
      <c r="F985" s="56">
        <v>50000</v>
      </c>
      <c r="G985" s="56">
        <v>50000</v>
      </c>
      <c r="H985" t="s">
        <v>879</v>
      </c>
      <c r="I985" s="56">
        <v>10000</v>
      </c>
      <c r="J985" s="56">
        <v>15000</v>
      </c>
      <c r="K985" s="56">
        <v>55000</v>
      </c>
      <c r="L985" t="s">
        <v>884</v>
      </c>
      <c r="M985" t="s">
        <v>881</v>
      </c>
      <c r="N985" t="s">
        <v>875</v>
      </c>
      <c r="O985" s="57">
        <v>45689</v>
      </c>
      <c r="P985" t="s">
        <v>877</v>
      </c>
      <c r="Q985" s="56">
        <v>40000</v>
      </c>
      <c r="R985" t="s">
        <v>756</v>
      </c>
      <c r="S985" t="s">
        <v>739</v>
      </c>
      <c r="T985" t="s">
        <v>740</v>
      </c>
      <c r="U985" t="s">
        <v>551</v>
      </c>
      <c r="V985" t="s">
        <v>23</v>
      </c>
      <c r="W985" t="s">
        <v>36</v>
      </c>
      <c r="X985" t="s">
        <v>15</v>
      </c>
      <c r="Y985" s="56">
        <f>IF(clean[[#This Row],[is_delivered]]="Yes",clean[[#This Row],[net_sales]],0 )</f>
        <v>40000</v>
      </c>
    </row>
    <row r="986" spans="1:25">
      <c r="A986" t="s">
        <v>1068</v>
      </c>
      <c r="B986" s="9">
        <v>45688</v>
      </c>
      <c r="C986" t="s">
        <v>186</v>
      </c>
      <c r="D986" t="s">
        <v>783</v>
      </c>
      <c r="E986">
        <v>1</v>
      </c>
      <c r="F986" s="56">
        <v>500000</v>
      </c>
      <c r="G986" s="56">
        <v>500000</v>
      </c>
      <c r="H986" t="s">
        <v>872</v>
      </c>
      <c r="I986" s="56">
        <v>0</v>
      </c>
      <c r="J986" s="56">
        <v>25000</v>
      </c>
      <c r="K986" s="56">
        <v>525000</v>
      </c>
      <c r="L986" t="s">
        <v>889</v>
      </c>
      <c r="M986" t="s">
        <v>874</v>
      </c>
      <c r="N986" t="s">
        <v>921</v>
      </c>
      <c r="O986" s="57">
        <v>45658</v>
      </c>
      <c r="P986" t="s">
        <v>892</v>
      </c>
      <c r="Q986" s="56">
        <v>500000</v>
      </c>
      <c r="R986" t="s">
        <v>784</v>
      </c>
      <c r="S986" t="s">
        <v>747</v>
      </c>
      <c r="T986" t="s">
        <v>748</v>
      </c>
      <c r="U986" t="s">
        <v>187</v>
      </c>
      <c r="V986" t="s">
        <v>23</v>
      </c>
      <c r="W986" t="s">
        <v>51</v>
      </c>
      <c r="X986" t="s">
        <v>9</v>
      </c>
      <c r="Y986" s="56">
        <f>IF(clean[[#This Row],[is_delivered]]="Yes",clean[[#This Row],[net_sales]],0 )</f>
        <v>0</v>
      </c>
    </row>
    <row r="987" spans="1:25">
      <c r="A987" t="s">
        <v>945</v>
      </c>
      <c r="B987" s="9">
        <v>45688</v>
      </c>
      <c r="C987" t="s">
        <v>63</v>
      </c>
      <c r="D987" t="s">
        <v>819</v>
      </c>
      <c r="E987">
        <v>1</v>
      </c>
      <c r="F987" s="56">
        <v>300000</v>
      </c>
      <c r="G987" s="56">
        <v>300000</v>
      </c>
      <c r="H987" t="s">
        <v>872</v>
      </c>
      <c r="I987" s="56">
        <v>0</v>
      </c>
      <c r="J987" s="56">
        <v>25000</v>
      </c>
      <c r="K987" s="56">
        <v>325000</v>
      </c>
      <c r="L987" t="s">
        <v>889</v>
      </c>
      <c r="M987" t="s">
        <v>881</v>
      </c>
      <c r="N987" t="s">
        <v>905</v>
      </c>
      <c r="O987" s="57">
        <v>45658</v>
      </c>
      <c r="P987" t="s">
        <v>892</v>
      </c>
      <c r="Q987" s="56">
        <v>300000</v>
      </c>
      <c r="R987" t="s">
        <v>820</v>
      </c>
      <c r="S987" t="s">
        <v>747</v>
      </c>
      <c r="T987" t="s">
        <v>748</v>
      </c>
      <c r="U987" t="s">
        <v>64</v>
      </c>
      <c r="V987" t="s">
        <v>7</v>
      </c>
      <c r="W987" t="s">
        <v>8</v>
      </c>
      <c r="X987" t="s">
        <v>15</v>
      </c>
      <c r="Y987" s="56">
        <f>IF(clean[[#This Row],[is_delivered]]="Yes",clean[[#This Row],[net_sales]],0 )</f>
        <v>0</v>
      </c>
    </row>
    <row r="988" spans="1:25">
      <c r="A988" t="s">
        <v>1026</v>
      </c>
      <c r="B988" s="9">
        <v>45688</v>
      </c>
      <c r="C988" t="s">
        <v>686</v>
      </c>
      <c r="D988" t="s">
        <v>775</v>
      </c>
      <c r="E988">
        <v>1</v>
      </c>
      <c r="F988" s="56">
        <v>75000</v>
      </c>
      <c r="G988" s="56">
        <v>75000</v>
      </c>
      <c r="H988" t="s">
        <v>872</v>
      </c>
      <c r="I988" s="56">
        <v>0</v>
      </c>
      <c r="J988" s="56">
        <v>15000</v>
      </c>
      <c r="K988" s="56">
        <v>90000</v>
      </c>
      <c r="L988" t="s">
        <v>880</v>
      </c>
      <c r="M988" t="s">
        <v>2106</v>
      </c>
      <c r="N988" t="s">
        <v>875</v>
      </c>
      <c r="O988" s="57">
        <v>45658</v>
      </c>
      <c r="P988" t="s">
        <v>877</v>
      </c>
      <c r="Q988" s="56">
        <v>75000</v>
      </c>
      <c r="R988" t="s">
        <v>776</v>
      </c>
      <c r="S988" t="s">
        <v>731</v>
      </c>
      <c r="T988" t="s">
        <v>732</v>
      </c>
      <c r="U988" t="s">
        <v>687</v>
      </c>
      <c r="V988" t="s">
        <v>23</v>
      </c>
      <c r="W988" t="s">
        <v>29</v>
      </c>
      <c r="X988" t="s">
        <v>9</v>
      </c>
      <c r="Y988" s="56">
        <f>IF(clean[[#This Row],[is_delivered]]="Yes",clean[[#This Row],[net_sales]],0 )</f>
        <v>75000</v>
      </c>
    </row>
    <row r="989" spans="1:25">
      <c r="A989" t="s">
        <v>1296</v>
      </c>
      <c r="B989" s="9">
        <v>45688</v>
      </c>
      <c r="C989" t="s">
        <v>34</v>
      </c>
      <c r="D989" t="s">
        <v>791</v>
      </c>
      <c r="E989">
        <v>3</v>
      </c>
      <c r="F989" s="56">
        <v>50000</v>
      </c>
      <c r="G989" s="56">
        <v>150000</v>
      </c>
      <c r="H989" t="s">
        <v>895</v>
      </c>
      <c r="I989" s="56">
        <v>22500</v>
      </c>
      <c r="J989" s="56">
        <v>20000</v>
      </c>
      <c r="K989" s="56">
        <v>147500</v>
      </c>
      <c r="L989" t="s">
        <v>889</v>
      </c>
      <c r="M989" t="s">
        <v>903</v>
      </c>
      <c r="N989" t="s">
        <v>905</v>
      </c>
      <c r="O989" s="57">
        <v>45658</v>
      </c>
      <c r="P989" t="s">
        <v>892</v>
      </c>
      <c r="Q989" s="56">
        <v>127500</v>
      </c>
      <c r="R989" t="s">
        <v>792</v>
      </c>
      <c r="S989" t="s">
        <v>739</v>
      </c>
      <c r="T989" t="s">
        <v>740</v>
      </c>
      <c r="U989" t="s">
        <v>35</v>
      </c>
      <c r="V989" t="s">
        <v>23</v>
      </c>
      <c r="W989" t="s">
        <v>36</v>
      </c>
      <c r="X989" t="s">
        <v>24</v>
      </c>
      <c r="Y989" s="56">
        <f>IF(clean[[#This Row],[is_delivered]]="Yes",clean[[#This Row],[net_sales]],0 )</f>
        <v>0</v>
      </c>
    </row>
    <row r="990" spans="1:25">
      <c r="A990" t="s">
        <v>1333</v>
      </c>
      <c r="B990" s="9">
        <v>45688</v>
      </c>
      <c r="C990" t="s">
        <v>121</v>
      </c>
      <c r="D990" t="s">
        <v>785</v>
      </c>
      <c r="E990">
        <v>2</v>
      </c>
      <c r="F990" s="56">
        <v>100000</v>
      </c>
      <c r="G990" s="56">
        <v>200000</v>
      </c>
      <c r="H990" t="s">
        <v>886</v>
      </c>
      <c r="I990" s="56">
        <v>20000</v>
      </c>
      <c r="J990" s="56">
        <v>10000</v>
      </c>
      <c r="K990" s="56">
        <v>190000</v>
      </c>
      <c r="L990" t="s">
        <v>889</v>
      </c>
      <c r="M990" t="s">
        <v>901</v>
      </c>
      <c r="N990" t="s">
        <v>875</v>
      </c>
      <c r="O990" s="57">
        <v>45658</v>
      </c>
      <c r="P990" t="s">
        <v>877</v>
      </c>
      <c r="Q990" s="56">
        <v>180000</v>
      </c>
      <c r="R990" t="s">
        <v>786</v>
      </c>
      <c r="S990" t="s">
        <v>727</v>
      </c>
      <c r="T990" t="s">
        <v>728</v>
      </c>
      <c r="U990" t="s">
        <v>122</v>
      </c>
      <c r="V990" t="s">
        <v>7</v>
      </c>
      <c r="W990" t="s">
        <v>36</v>
      </c>
      <c r="X990" t="s">
        <v>9</v>
      </c>
      <c r="Y990" s="56">
        <f>IF(clean[[#This Row],[is_delivered]]="Yes",clean[[#This Row],[net_sales]],0 )</f>
        <v>180000</v>
      </c>
    </row>
    <row r="991" spans="1:25">
      <c r="A991" t="s">
        <v>1667</v>
      </c>
      <c r="B991" s="9">
        <v>45688</v>
      </c>
      <c r="C991" t="s">
        <v>648</v>
      </c>
      <c r="D991" t="s">
        <v>797</v>
      </c>
      <c r="E991">
        <v>2</v>
      </c>
      <c r="F991" s="56">
        <v>150000</v>
      </c>
      <c r="G991" s="56">
        <v>300000</v>
      </c>
      <c r="H991" t="s">
        <v>872</v>
      </c>
      <c r="I991" s="56">
        <v>0</v>
      </c>
      <c r="J991" s="56">
        <v>15000</v>
      </c>
      <c r="K991" s="56">
        <v>315000</v>
      </c>
      <c r="L991" t="s">
        <v>889</v>
      </c>
      <c r="M991" t="s">
        <v>874</v>
      </c>
      <c r="N991" t="s">
        <v>875</v>
      </c>
      <c r="O991" s="57">
        <v>45658</v>
      </c>
      <c r="P991" t="s">
        <v>877</v>
      </c>
      <c r="Q991" s="56">
        <v>300000</v>
      </c>
      <c r="R991" t="s">
        <v>798</v>
      </c>
      <c r="S991" t="s">
        <v>727</v>
      </c>
      <c r="T991" t="s">
        <v>728</v>
      </c>
      <c r="U991" t="s">
        <v>649</v>
      </c>
      <c r="V991" t="s">
        <v>7</v>
      </c>
      <c r="W991" t="s">
        <v>8</v>
      </c>
      <c r="X991" t="s">
        <v>24</v>
      </c>
      <c r="Y991" s="56">
        <f>IF(clean[[#This Row],[is_delivered]]="Yes",clean[[#This Row],[net_sales]],0 )</f>
        <v>300000</v>
      </c>
    </row>
    <row r="992" spans="1:25">
      <c r="A992" t="s">
        <v>1779</v>
      </c>
      <c r="B992" s="9">
        <v>45688</v>
      </c>
      <c r="C992" t="s">
        <v>188</v>
      </c>
      <c r="D992" t="s">
        <v>799</v>
      </c>
      <c r="E992">
        <v>3</v>
      </c>
      <c r="F992" s="56">
        <v>35000</v>
      </c>
      <c r="G992" s="56">
        <v>105000</v>
      </c>
      <c r="H992" t="s">
        <v>872</v>
      </c>
      <c r="I992" s="56">
        <v>0</v>
      </c>
      <c r="J992" s="56">
        <v>15000</v>
      </c>
      <c r="K992" s="56">
        <v>120000</v>
      </c>
      <c r="L992" t="s">
        <v>884</v>
      </c>
      <c r="M992" t="s">
        <v>874</v>
      </c>
      <c r="N992" t="s">
        <v>875</v>
      </c>
      <c r="O992" s="57">
        <v>45658</v>
      </c>
      <c r="P992" t="s">
        <v>877</v>
      </c>
      <c r="Q992" s="56">
        <v>105000</v>
      </c>
      <c r="R992" t="s">
        <v>800</v>
      </c>
      <c r="S992" t="s">
        <v>731</v>
      </c>
      <c r="T992" t="s">
        <v>732</v>
      </c>
      <c r="U992" t="s">
        <v>189</v>
      </c>
      <c r="V992" t="s">
        <v>23</v>
      </c>
      <c r="W992" t="s">
        <v>137</v>
      </c>
      <c r="X992" t="s">
        <v>9</v>
      </c>
      <c r="Y992" s="56">
        <f>IF(clean[[#This Row],[is_delivered]]="Yes",clean[[#This Row],[net_sales]],0 )</f>
        <v>105000</v>
      </c>
    </row>
    <row r="993" spans="1:25">
      <c r="A993" t="s">
        <v>2090</v>
      </c>
      <c r="B993" s="9">
        <v>45688</v>
      </c>
      <c r="C993" t="s">
        <v>530</v>
      </c>
      <c r="D993" t="s">
        <v>759</v>
      </c>
      <c r="E993">
        <v>2</v>
      </c>
      <c r="F993" s="56">
        <v>300000</v>
      </c>
      <c r="G993" s="56">
        <v>600000</v>
      </c>
      <c r="H993" t="s">
        <v>883</v>
      </c>
      <c r="I993" s="56">
        <v>60000</v>
      </c>
      <c r="J993" s="56">
        <v>10000</v>
      </c>
      <c r="K993" s="56">
        <v>550000</v>
      </c>
      <c r="L993" t="s">
        <v>880</v>
      </c>
      <c r="M993" t="s">
        <v>874</v>
      </c>
      <c r="N993" t="s">
        <v>890</v>
      </c>
      <c r="O993" s="57">
        <v>45658</v>
      </c>
      <c r="P993" t="s">
        <v>892</v>
      </c>
      <c r="Q993" s="56">
        <v>540000</v>
      </c>
      <c r="R993" t="s">
        <v>760</v>
      </c>
      <c r="S993" t="s">
        <v>747</v>
      </c>
      <c r="T993" t="s">
        <v>748</v>
      </c>
      <c r="U993" t="s">
        <v>531</v>
      </c>
      <c r="V993" t="s">
        <v>23</v>
      </c>
      <c r="W993" t="s">
        <v>8</v>
      </c>
      <c r="X993" t="s">
        <v>9</v>
      </c>
      <c r="Y993" s="56">
        <f>IF(clean[[#This Row],[is_delivered]]="Yes",clean[[#This Row],[net_sales]],0 )</f>
        <v>0</v>
      </c>
    </row>
    <row r="994" spans="1:25">
      <c r="A994" t="s">
        <v>1351</v>
      </c>
      <c r="B994" s="9">
        <v>45687</v>
      </c>
      <c r="C994" t="s">
        <v>580</v>
      </c>
      <c r="D994" t="s">
        <v>791</v>
      </c>
      <c r="E994">
        <v>1</v>
      </c>
      <c r="F994" s="56">
        <v>50000</v>
      </c>
      <c r="G994" s="56">
        <v>50000</v>
      </c>
      <c r="H994" t="s">
        <v>895</v>
      </c>
      <c r="I994" s="56">
        <v>7500</v>
      </c>
      <c r="J994" s="56">
        <v>15000</v>
      </c>
      <c r="K994" s="56">
        <v>57500</v>
      </c>
      <c r="L994" t="s">
        <v>884</v>
      </c>
      <c r="M994" t="s">
        <v>901</v>
      </c>
      <c r="N994" t="s">
        <v>875</v>
      </c>
      <c r="O994" s="57">
        <v>45658</v>
      </c>
      <c r="P994" t="s">
        <v>877</v>
      </c>
      <c r="Q994" s="56">
        <v>42500</v>
      </c>
      <c r="R994" t="s">
        <v>792</v>
      </c>
      <c r="S994" t="s">
        <v>739</v>
      </c>
      <c r="T994" t="s">
        <v>740</v>
      </c>
      <c r="U994" t="s">
        <v>581</v>
      </c>
      <c r="V994" t="s">
        <v>7</v>
      </c>
      <c r="W994" t="s">
        <v>20</v>
      </c>
      <c r="X994" t="s">
        <v>24</v>
      </c>
      <c r="Y994" s="56">
        <f>IF(clean[[#This Row],[is_delivered]]="Yes",clean[[#This Row],[net_sales]],0 )</f>
        <v>42500</v>
      </c>
    </row>
    <row r="995" spans="1:25">
      <c r="A995" t="s">
        <v>1398</v>
      </c>
      <c r="B995" s="9">
        <v>45687</v>
      </c>
      <c r="C995" t="s">
        <v>714</v>
      </c>
      <c r="D995" t="s">
        <v>769</v>
      </c>
      <c r="E995">
        <v>1</v>
      </c>
      <c r="F995" s="56">
        <v>100000</v>
      </c>
      <c r="G995" s="56">
        <v>100000</v>
      </c>
      <c r="H995" t="s">
        <v>883</v>
      </c>
      <c r="I995" s="56">
        <v>10000</v>
      </c>
      <c r="J995" s="56">
        <v>10000</v>
      </c>
      <c r="K995" s="56">
        <v>100000</v>
      </c>
      <c r="L995" t="s">
        <v>884</v>
      </c>
      <c r="M995" t="s">
        <v>901</v>
      </c>
      <c r="N995" t="s">
        <v>875</v>
      </c>
      <c r="O995" s="57">
        <v>45658</v>
      </c>
      <c r="P995" t="s">
        <v>877</v>
      </c>
      <c r="Q995" s="56">
        <v>90000</v>
      </c>
      <c r="R995" t="s">
        <v>770</v>
      </c>
      <c r="S995" t="s">
        <v>743</v>
      </c>
      <c r="T995" t="s">
        <v>744</v>
      </c>
      <c r="U995" t="s">
        <v>715</v>
      </c>
      <c r="V995" t="s">
        <v>23</v>
      </c>
      <c r="W995" t="s">
        <v>29</v>
      </c>
      <c r="X995" t="s">
        <v>9</v>
      </c>
      <c r="Y995" s="56">
        <f>IF(clean[[#This Row],[is_delivered]]="Yes",clean[[#This Row],[net_sales]],0 )</f>
        <v>90000</v>
      </c>
    </row>
    <row r="996" spans="1:25">
      <c r="A996" t="s">
        <v>1630</v>
      </c>
      <c r="B996" s="9">
        <v>45687</v>
      </c>
      <c r="C996" t="s">
        <v>546</v>
      </c>
      <c r="D996" t="s">
        <v>803</v>
      </c>
      <c r="E996">
        <v>1</v>
      </c>
      <c r="F996" s="56">
        <v>50000</v>
      </c>
      <c r="G996" s="56">
        <v>50000</v>
      </c>
      <c r="H996" t="s">
        <v>883</v>
      </c>
      <c r="I996" s="56">
        <v>5000</v>
      </c>
      <c r="J996" s="56">
        <v>30000</v>
      </c>
      <c r="K996" s="56">
        <v>75000</v>
      </c>
      <c r="L996" t="s">
        <v>889</v>
      </c>
      <c r="M996" t="s">
        <v>874</v>
      </c>
      <c r="N996" t="s">
        <v>921</v>
      </c>
      <c r="O996" s="57">
        <v>45658</v>
      </c>
      <c r="P996" t="s">
        <v>892</v>
      </c>
      <c r="Q996" s="56">
        <v>45000</v>
      </c>
      <c r="R996" t="s">
        <v>804</v>
      </c>
      <c r="S996" t="s">
        <v>739</v>
      </c>
      <c r="T996" t="s">
        <v>740</v>
      </c>
      <c r="U996" t="s">
        <v>547</v>
      </c>
      <c r="V996" t="s">
        <v>23</v>
      </c>
      <c r="W996" t="s">
        <v>8</v>
      </c>
      <c r="X996" t="s">
        <v>24</v>
      </c>
      <c r="Y996" s="56">
        <f>IF(clean[[#This Row],[is_delivered]]="Yes",clean[[#This Row],[net_sales]],0 )</f>
        <v>0</v>
      </c>
    </row>
    <row r="997" spans="1:25">
      <c r="A997" t="s">
        <v>2051</v>
      </c>
      <c r="B997" s="9">
        <v>45687</v>
      </c>
      <c r="C997" t="s">
        <v>426</v>
      </c>
      <c r="D997" t="s">
        <v>823</v>
      </c>
      <c r="E997">
        <v>2</v>
      </c>
      <c r="F997" s="56">
        <v>500000</v>
      </c>
      <c r="G997" s="56">
        <v>1000000</v>
      </c>
      <c r="H997" t="s">
        <v>872</v>
      </c>
      <c r="I997" s="56">
        <v>0</v>
      </c>
      <c r="J997" s="56">
        <v>25000</v>
      </c>
      <c r="K997" s="56">
        <v>1025000</v>
      </c>
      <c r="L997" t="s">
        <v>873</v>
      </c>
      <c r="M997" t="s">
        <v>874</v>
      </c>
      <c r="N997" t="s">
        <v>875</v>
      </c>
      <c r="O997" s="57">
        <v>45658</v>
      </c>
      <c r="P997" t="s">
        <v>877</v>
      </c>
      <c r="Q997" s="56">
        <v>1000000</v>
      </c>
      <c r="R997" t="s">
        <v>824</v>
      </c>
      <c r="S997" t="s">
        <v>731</v>
      </c>
      <c r="T997" t="s">
        <v>732</v>
      </c>
      <c r="U997" t="s">
        <v>427</v>
      </c>
      <c r="V997" t="s">
        <v>7</v>
      </c>
      <c r="W997" t="s">
        <v>20</v>
      </c>
      <c r="X997" t="s">
        <v>9</v>
      </c>
      <c r="Y997" s="56">
        <f>IF(clean[[#This Row],[is_delivered]]="Yes",clean[[#This Row],[net_sales]],0 )</f>
        <v>1000000</v>
      </c>
    </row>
    <row r="998" spans="1:25">
      <c r="A998" t="s">
        <v>939</v>
      </c>
      <c r="B998" s="9">
        <v>45686</v>
      </c>
      <c r="C998" t="s">
        <v>292</v>
      </c>
      <c r="D998" t="s">
        <v>733</v>
      </c>
      <c r="E998">
        <v>1</v>
      </c>
      <c r="F998" s="56">
        <v>150000</v>
      </c>
      <c r="G998" s="56">
        <v>150000</v>
      </c>
      <c r="H998" t="s">
        <v>895</v>
      </c>
      <c r="I998" s="56">
        <v>22500</v>
      </c>
      <c r="J998" s="56">
        <v>30000</v>
      </c>
      <c r="K998" s="56">
        <v>157500</v>
      </c>
      <c r="L998" t="s">
        <v>889</v>
      </c>
      <c r="M998" t="s">
        <v>881</v>
      </c>
      <c r="N998" t="s">
        <v>905</v>
      </c>
      <c r="O998" s="57">
        <v>45658</v>
      </c>
      <c r="P998" t="s">
        <v>892</v>
      </c>
      <c r="Q998" s="56">
        <v>127500</v>
      </c>
      <c r="R998" t="s">
        <v>734</v>
      </c>
      <c r="S998" t="s">
        <v>735</v>
      </c>
      <c r="T998" t="s">
        <v>736</v>
      </c>
      <c r="U998" t="s">
        <v>293</v>
      </c>
      <c r="V998" t="s">
        <v>23</v>
      </c>
      <c r="W998" t="s">
        <v>46</v>
      </c>
      <c r="X998" t="s">
        <v>9</v>
      </c>
      <c r="Y998" s="56">
        <f>IF(clean[[#This Row],[is_delivered]]="Yes",clean[[#This Row],[net_sales]],0 )</f>
        <v>0</v>
      </c>
    </row>
    <row r="999" spans="1:25">
      <c r="A999" t="s">
        <v>1119</v>
      </c>
      <c r="B999" s="9">
        <v>45686</v>
      </c>
      <c r="C999" t="s">
        <v>228</v>
      </c>
      <c r="D999" t="s">
        <v>755</v>
      </c>
      <c r="E999">
        <v>1</v>
      </c>
      <c r="F999" s="56">
        <v>50000</v>
      </c>
      <c r="G999" s="56">
        <v>50000</v>
      </c>
      <c r="H999" t="s">
        <v>886</v>
      </c>
      <c r="I999" s="56">
        <v>5000</v>
      </c>
      <c r="J999" s="56">
        <v>10000</v>
      </c>
      <c r="K999" s="56">
        <v>55000</v>
      </c>
      <c r="L999" t="s">
        <v>884</v>
      </c>
      <c r="M999" t="s">
        <v>903</v>
      </c>
      <c r="N999" t="s">
        <v>911</v>
      </c>
      <c r="O999" s="57">
        <v>45658</v>
      </c>
      <c r="P999" t="s">
        <v>892</v>
      </c>
      <c r="Q999" s="56">
        <v>45000</v>
      </c>
      <c r="R999" t="s">
        <v>756</v>
      </c>
      <c r="S999" t="s">
        <v>739</v>
      </c>
      <c r="T999" t="s">
        <v>740</v>
      </c>
      <c r="U999" t="s">
        <v>229</v>
      </c>
      <c r="V999" t="s">
        <v>23</v>
      </c>
      <c r="W999" t="s">
        <v>39</v>
      </c>
      <c r="X999" t="s">
        <v>9</v>
      </c>
      <c r="Y999" s="56">
        <f>IF(clean[[#This Row],[is_delivered]]="Yes",clean[[#This Row],[net_sales]],0 )</f>
        <v>0</v>
      </c>
    </row>
    <row r="1000" spans="1:25">
      <c r="A1000" t="s">
        <v>1623</v>
      </c>
      <c r="B1000" s="9">
        <v>45686</v>
      </c>
      <c r="C1000" t="s">
        <v>280</v>
      </c>
      <c r="D1000" t="s">
        <v>787</v>
      </c>
      <c r="E1000">
        <v>1</v>
      </c>
      <c r="F1000" s="56">
        <v>200000</v>
      </c>
      <c r="G1000" s="56">
        <v>200000</v>
      </c>
      <c r="H1000" t="s">
        <v>879</v>
      </c>
      <c r="I1000" s="56">
        <v>40000</v>
      </c>
      <c r="J1000" s="56">
        <v>25000</v>
      </c>
      <c r="K1000" s="56">
        <v>185000</v>
      </c>
      <c r="L1000" t="s">
        <v>889</v>
      </c>
      <c r="M1000" t="s">
        <v>903</v>
      </c>
      <c r="N1000" t="s">
        <v>875</v>
      </c>
      <c r="O1000" s="57">
        <v>45658</v>
      </c>
      <c r="P1000" t="s">
        <v>877</v>
      </c>
      <c r="Q1000" s="56">
        <v>160000</v>
      </c>
      <c r="R1000" t="s">
        <v>788</v>
      </c>
      <c r="S1000" t="s">
        <v>731</v>
      </c>
      <c r="T1000" t="s">
        <v>732</v>
      </c>
      <c r="U1000" t="s">
        <v>281</v>
      </c>
      <c r="V1000" t="s">
        <v>7</v>
      </c>
      <c r="W1000" t="s">
        <v>137</v>
      </c>
      <c r="X1000" t="s">
        <v>9</v>
      </c>
      <c r="Y1000" s="56">
        <f>IF(clean[[#This Row],[is_delivered]]="Yes",clean[[#This Row],[net_sales]],0 )</f>
        <v>160000</v>
      </c>
    </row>
    <row r="1001" spans="1:25">
      <c r="A1001" t="s">
        <v>1659</v>
      </c>
      <c r="B1001" s="9">
        <v>45686</v>
      </c>
      <c r="C1001" t="s">
        <v>320</v>
      </c>
      <c r="D1001" t="s">
        <v>841</v>
      </c>
      <c r="E1001">
        <v>3</v>
      </c>
      <c r="F1001" s="56">
        <v>75000</v>
      </c>
      <c r="G1001" s="56">
        <v>225000</v>
      </c>
      <c r="H1001" t="s">
        <v>879</v>
      </c>
      <c r="I1001" s="56">
        <v>45000</v>
      </c>
      <c r="J1001" s="56">
        <v>10000</v>
      </c>
      <c r="K1001" s="56">
        <v>190000</v>
      </c>
      <c r="L1001" t="s">
        <v>889</v>
      </c>
      <c r="M1001" t="s">
        <v>901</v>
      </c>
      <c r="N1001" t="s">
        <v>875</v>
      </c>
      <c r="O1001" s="57">
        <v>45658</v>
      </c>
      <c r="P1001" t="s">
        <v>877</v>
      </c>
      <c r="Q1001" s="56">
        <v>180000</v>
      </c>
      <c r="R1001" t="s">
        <v>842</v>
      </c>
      <c r="S1001" t="s">
        <v>743</v>
      </c>
      <c r="T1001" t="s">
        <v>744</v>
      </c>
      <c r="U1001" t="s">
        <v>321</v>
      </c>
      <c r="V1001" t="s">
        <v>7</v>
      </c>
      <c r="W1001" t="s">
        <v>56</v>
      </c>
      <c r="X1001" t="s">
        <v>9</v>
      </c>
      <c r="Y1001" s="56">
        <f>IF(clean[[#This Row],[is_delivered]]="Yes",clean[[#This Row],[net_sales]],0 )</f>
        <v>180000</v>
      </c>
    </row>
    <row r="1002" spans="1:25">
      <c r="A1002" t="s">
        <v>1782</v>
      </c>
      <c r="B1002" s="9">
        <v>45686</v>
      </c>
      <c r="C1002" t="s">
        <v>566</v>
      </c>
      <c r="D1002" t="s">
        <v>775</v>
      </c>
      <c r="E1002">
        <v>4</v>
      </c>
      <c r="F1002" s="56">
        <v>75000</v>
      </c>
      <c r="G1002" s="56">
        <v>300000</v>
      </c>
      <c r="H1002" t="s">
        <v>883</v>
      </c>
      <c r="I1002" s="56">
        <v>30000</v>
      </c>
      <c r="J1002" s="56">
        <v>15000</v>
      </c>
      <c r="K1002" s="56">
        <v>285000</v>
      </c>
      <c r="L1002" t="s">
        <v>884</v>
      </c>
      <c r="M1002" t="s">
        <v>881</v>
      </c>
      <c r="N1002" t="s">
        <v>890</v>
      </c>
      <c r="O1002" s="57">
        <v>45658</v>
      </c>
      <c r="P1002" t="s">
        <v>892</v>
      </c>
      <c r="Q1002" s="56">
        <v>270000</v>
      </c>
      <c r="R1002" t="s">
        <v>776</v>
      </c>
      <c r="S1002" t="s">
        <v>731</v>
      </c>
      <c r="T1002" t="s">
        <v>732</v>
      </c>
      <c r="U1002" t="s">
        <v>567</v>
      </c>
      <c r="V1002" t="s">
        <v>7</v>
      </c>
      <c r="W1002" t="s">
        <v>137</v>
      </c>
      <c r="X1002" t="s">
        <v>24</v>
      </c>
      <c r="Y1002" s="56">
        <f>IF(clean[[#This Row],[is_delivered]]="Yes",clean[[#This Row],[net_sales]],0 )</f>
        <v>0</v>
      </c>
    </row>
    <row r="1003" spans="1:25">
      <c r="A1003" t="s">
        <v>1863</v>
      </c>
      <c r="B1003" s="9">
        <v>45686</v>
      </c>
      <c r="C1003" t="s">
        <v>196</v>
      </c>
      <c r="D1003" t="s">
        <v>801</v>
      </c>
      <c r="E1003">
        <v>2</v>
      </c>
      <c r="F1003" s="56">
        <v>100000</v>
      </c>
      <c r="G1003" s="56">
        <v>200000</v>
      </c>
      <c r="H1003" t="s">
        <v>886</v>
      </c>
      <c r="I1003" s="56">
        <v>20000</v>
      </c>
      <c r="J1003" s="56">
        <v>15000</v>
      </c>
      <c r="K1003" s="56">
        <v>195000</v>
      </c>
      <c r="L1003" t="s">
        <v>873</v>
      </c>
      <c r="M1003" t="s">
        <v>874</v>
      </c>
      <c r="N1003" t="s">
        <v>875</v>
      </c>
      <c r="O1003" s="57">
        <v>45658</v>
      </c>
      <c r="P1003" t="s">
        <v>877</v>
      </c>
      <c r="Q1003" s="56">
        <v>180000</v>
      </c>
      <c r="R1003" t="s">
        <v>802</v>
      </c>
      <c r="S1003" t="s">
        <v>735</v>
      </c>
      <c r="T1003" t="s">
        <v>736</v>
      </c>
      <c r="U1003" t="s">
        <v>197</v>
      </c>
      <c r="V1003" t="s">
        <v>7</v>
      </c>
      <c r="W1003" t="s">
        <v>36</v>
      </c>
      <c r="X1003" t="s">
        <v>15</v>
      </c>
      <c r="Y1003" s="56">
        <f>IF(clean[[#This Row],[is_delivered]]="Yes",clean[[#This Row],[net_sales]],0 )</f>
        <v>180000</v>
      </c>
    </row>
    <row r="1004" spans="1:25">
      <c r="A1004" t="s">
        <v>1888</v>
      </c>
      <c r="B1004" s="9">
        <v>45686</v>
      </c>
      <c r="C1004" t="s">
        <v>306</v>
      </c>
      <c r="D1004" t="s">
        <v>759</v>
      </c>
      <c r="E1004">
        <v>1</v>
      </c>
      <c r="F1004" s="56">
        <v>300000</v>
      </c>
      <c r="G1004" s="56">
        <v>300000</v>
      </c>
      <c r="H1004" t="s">
        <v>883</v>
      </c>
      <c r="I1004" s="56">
        <v>30000</v>
      </c>
      <c r="J1004" s="56">
        <v>30000</v>
      </c>
      <c r="K1004" s="56">
        <v>300000</v>
      </c>
      <c r="L1004" t="s">
        <v>880</v>
      </c>
      <c r="M1004" t="s">
        <v>901</v>
      </c>
      <c r="N1004" t="s">
        <v>911</v>
      </c>
      <c r="O1004" s="57">
        <v>45658</v>
      </c>
      <c r="P1004" t="s">
        <v>892</v>
      </c>
      <c r="Q1004" s="56">
        <v>270000</v>
      </c>
      <c r="R1004" t="s">
        <v>760</v>
      </c>
      <c r="S1004" t="s">
        <v>747</v>
      </c>
      <c r="T1004" t="s">
        <v>748</v>
      </c>
      <c r="U1004" t="s">
        <v>307</v>
      </c>
      <c r="V1004" t="s">
        <v>7</v>
      </c>
      <c r="W1004" t="s">
        <v>12</v>
      </c>
      <c r="X1004" t="s">
        <v>9</v>
      </c>
      <c r="Y1004" s="56">
        <f>IF(clean[[#This Row],[is_delivered]]="Yes",clean[[#This Row],[net_sales]],0 )</f>
        <v>0</v>
      </c>
    </row>
    <row r="1005" spans="1:25">
      <c r="A1005" t="s">
        <v>2060</v>
      </c>
      <c r="B1005" s="9">
        <v>45686</v>
      </c>
      <c r="C1005" t="s">
        <v>54</v>
      </c>
      <c r="D1005" t="s">
        <v>829</v>
      </c>
      <c r="E1005">
        <v>4</v>
      </c>
      <c r="F1005" s="56">
        <v>500000</v>
      </c>
      <c r="G1005" s="56">
        <v>2000000</v>
      </c>
      <c r="H1005" t="s">
        <v>872</v>
      </c>
      <c r="I1005" s="56">
        <v>0</v>
      </c>
      <c r="J1005" s="56">
        <v>15000</v>
      </c>
      <c r="K1005" s="56">
        <v>2015000</v>
      </c>
      <c r="L1005" t="s">
        <v>873</v>
      </c>
      <c r="M1005" t="s">
        <v>901</v>
      </c>
      <c r="N1005" t="s">
        <v>875</v>
      </c>
      <c r="O1005" s="57">
        <v>45658</v>
      </c>
      <c r="P1005" t="s">
        <v>877</v>
      </c>
      <c r="Q1005" s="56">
        <v>2000000</v>
      </c>
      <c r="R1005" t="s">
        <v>830</v>
      </c>
      <c r="S1005" t="s">
        <v>743</v>
      </c>
      <c r="T1005" t="s">
        <v>744</v>
      </c>
      <c r="U1005" t="s">
        <v>55</v>
      </c>
      <c r="V1005" t="s">
        <v>7</v>
      </c>
      <c r="W1005" t="s">
        <v>56</v>
      </c>
      <c r="X1005" t="s">
        <v>24</v>
      </c>
      <c r="Y1005" s="56">
        <f>IF(clean[[#This Row],[is_delivered]]="Yes",clean[[#This Row],[net_sales]],0 )</f>
        <v>2000000</v>
      </c>
    </row>
    <row r="1006" spans="1:25">
      <c r="A1006" t="s">
        <v>1318</v>
      </c>
      <c r="B1006" s="9">
        <v>45685</v>
      </c>
      <c r="C1006" t="s">
        <v>93</v>
      </c>
      <c r="D1006" t="s">
        <v>845</v>
      </c>
      <c r="E1006">
        <v>2</v>
      </c>
      <c r="F1006" s="56">
        <v>300000</v>
      </c>
      <c r="G1006" s="56">
        <v>600000</v>
      </c>
      <c r="H1006" t="s">
        <v>879</v>
      </c>
      <c r="I1006" s="56">
        <v>120000</v>
      </c>
      <c r="J1006" s="56">
        <v>25000</v>
      </c>
      <c r="K1006" s="56">
        <v>505000</v>
      </c>
      <c r="L1006" t="s">
        <v>873</v>
      </c>
      <c r="M1006" t="s">
        <v>903</v>
      </c>
      <c r="N1006" t="s">
        <v>911</v>
      </c>
      <c r="O1006" s="57">
        <v>45658</v>
      </c>
      <c r="P1006" t="s">
        <v>892</v>
      </c>
      <c r="Q1006" s="56">
        <v>480000</v>
      </c>
      <c r="R1006" t="s">
        <v>846</v>
      </c>
      <c r="S1006" t="s">
        <v>727</v>
      </c>
      <c r="T1006" t="s">
        <v>728</v>
      </c>
      <c r="U1006" t="s">
        <v>94</v>
      </c>
      <c r="V1006" t="s">
        <v>23</v>
      </c>
      <c r="W1006" t="s">
        <v>36</v>
      </c>
      <c r="X1006" t="s">
        <v>24</v>
      </c>
      <c r="Y1006" s="56">
        <f>IF(clean[[#This Row],[is_delivered]]="Yes",clean[[#This Row],[net_sales]],0 )</f>
        <v>0</v>
      </c>
    </row>
    <row r="1007" spans="1:25">
      <c r="A1007" t="s">
        <v>1397</v>
      </c>
      <c r="B1007" s="9">
        <v>45685</v>
      </c>
      <c r="C1007" t="s">
        <v>488</v>
      </c>
      <c r="D1007" t="s">
        <v>829</v>
      </c>
      <c r="E1007">
        <v>1</v>
      </c>
      <c r="F1007" s="56">
        <v>500000</v>
      </c>
      <c r="G1007" s="56">
        <v>500000</v>
      </c>
      <c r="H1007" t="s">
        <v>872</v>
      </c>
      <c r="I1007" s="56">
        <v>0</v>
      </c>
      <c r="J1007" s="56">
        <v>20000</v>
      </c>
      <c r="K1007" s="56">
        <v>520000</v>
      </c>
      <c r="L1007" t="s">
        <v>889</v>
      </c>
      <c r="M1007" t="s">
        <v>881</v>
      </c>
      <c r="N1007" t="s">
        <v>875</v>
      </c>
      <c r="O1007" s="57">
        <v>45658</v>
      </c>
      <c r="P1007" t="s">
        <v>877</v>
      </c>
      <c r="Q1007" s="56">
        <v>500000</v>
      </c>
      <c r="R1007" t="s">
        <v>830</v>
      </c>
      <c r="S1007" t="s">
        <v>743</v>
      </c>
      <c r="T1007" t="s">
        <v>744</v>
      </c>
      <c r="U1007" t="s">
        <v>489</v>
      </c>
      <c r="V1007" t="s">
        <v>23</v>
      </c>
      <c r="W1007" t="s">
        <v>20</v>
      </c>
      <c r="X1007" t="s">
        <v>15</v>
      </c>
      <c r="Y1007" s="56">
        <f>IF(clean[[#This Row],[is_delivered]]="Yes",clean[[#This Row],[net_sales]],0 )</f>
        <v>500000</v>
      </c>
    </row>
    <row r="1008" spans="1:25">
      <c r="A1008" t="s">
        <v>1533</v>
      </c>
      <c r="B1008" s="9">
        <v>45685</v>
      </c>
      <c r="C1008" t="s">
        <v>642</v>
      </c>
      <c r="D1008" t="s">
        <v>805</v>
      </c>
      <c r="E1008">
        <v>2</v>
      </c>
      <c r="F1008" s="56">
        <v>200000</v>
      </c>
      <c r="G1008" s="56">
        <v>400000</v>
      </c>
      <c r="H1008" t="s">
        <v>879</v>
      </c>
      <c r="I1008" s="56">
        <v>80000</v>
      </c>
      <c r="J1008" s="56">
        <v>15000</v>
      </c>
      <c r="K1008" s="56">
        <v>335000</v>
      </c>
      <c r="L1008" t="s">
        <v>889</v>
      </c>
      <c r="M1008" t="s">
        <v>881</v>
      </c>
      <c r="N1008" t="s">
        <v>921</v>
      </c>
      <c r="O1008" s="57">
        <v>45658</v>
      </c>
      <c r="P1008" t="s">
        <v>892</v>
      </c>
      <c r="Q1008" s="56">
        <v>320000</v>
      </c>
      <c r="R1008" t="s">
        <v>806</v>
      </c>
      <c r="S1008" t="s">
        <v>743</v>
      </c>
      <c r="T1008" t="s">
        <v>744</v>
      </c>
      <c r="U1008" t="s">
        <v>643</v>
      </c>
      <c r="V1008" t="s">
        <v>23</v>
      </c>
      <c r="W1008" t="s">
        <v>137</v>
      </c>
      <c r="X1008" t="s">
        <v>24</v>
      </c>
      <c r="Y1008" s="56">
        <f>IF(clean[[#This Row],[is_delivered]]="Yes",clean[[#This Row],[net_sales]],0 )</f>
        <v>0</v>
      </c>
    </row>
    <row r="1009" spans="1:25">
      <c r="A1009" t="s">
        <v>1690</v>
      </c>
      <c r="B1009" s="9">
        <v>45685</v>
      </c>
      <c r="C1009" t="s">
        <v>444</v>
      </c>
      <c r="D1009" t="s">
        <v>853</v>
      </c>
      <c r="E1009">
        <v>4</v>
      </c>
      <c r="F1009" s="56">
        <v>75000</v>
      </c>
      <c r="G1009" s="56">
        <v>300000</v>
      </c>
      <c r="H1009" t="s">
        <v>883</v>
      </c>
      <c r="I1009" s="56">
        <v>30000</v>
      </c>
      <c r="J1009" s="56">
        <v>20000</v>
      </c>
      <c r="K1009" s="56">
        <v>290000</v>
      </c>
      <c r="L1009" t="s">
        <v>880</v>
      </c>
      <c r="M1009" t="s">
        <v>881</v>
      </c>
      <c r="N1009" t="s">
        <v>921</v>
      </c>
      <c r="O1009" s="57">
        <v>45658</v>
      </c>
      <c r="P1009" t="s">
        <v>892</v>
      </c>
      <c r="Q1009" s="56">
        <v>270000</v>
      </c>
      <c r="R1009" t="s">
        <v>854</v>
      </c>
      <c r="S1009" t="s">
        <v>743</v>
      </c>
      <c r="T1009" t="s">
        <v>744</v>
      </c>
      <c r="U1009" t="s">
        <v>445</v>
      </c>
      <c r="V1009" t="s">
        <v>23</v>
      </c>
      <c r="W1009" t="s">
        <v>20</v>
      </c>
      <c r="X1009" t="s">
        <v>9</v>
      </c>
      <c r="Y1009" s="56">
        <f>IF(clean[[#This Row],[is_delivered]]="Yes",clean[[#This Row],[net_sales]],0 )</f>
        <v>0</v>
      </c>
    </row>
    <row r="1010" spans="1:25">
      <c r="A1010" t="s">
        <v>1110</v>
      </c>
      <c r="B1010" s="9">
        <v>45684</v>
      </c>
      <c r="C1010" t="s">
        <v>290</v>
      </c>
      <c r="D1010" t="s">
        <v>773</v>
      </c>
      <c r="E1010">
        <v>2</v>
      </c>
      <c r="F1010" s="56">
        <v>500000</v>
      </c>
      <c r="G1010" s="56">
        <v>1000000</v>
      </c>
      <c r="H1010" t="s">
        <v>886</v>
      </c>
      <c r="I1010" s="56">
        <v>100000</v>
      </c>
      <c r="J1010" s="56">
        <v>20000</v>
      </c>
      <c r="K1010" s="56">
        <v>920000</v>
      </c>
      <c r="L1010" t="s">
        <v>884</v>
      </c>
      <c r="M1010" t="s">
        <v>901</v>
      </c>
      <c r="N1010" t="s">
        <v>875</v>
      </c>
      <c r="O1010" s="57">
        <v>45658</v>
      </c>
      <c r="P1010" t="s">
        <v>877</v>
      </c>
      <c r="Q1010" s="56">
        <v>900000</v>
      </c>
      <c r="R1010" t="s">
        <v>774</v>
      </c>
      <c r="S1010" t="s">
        <v>727</v>
      </c>
      <c r="T1010" t="s">
        <v>728</v>
      </c>
      <c r="U1010" t="s">
        <v>291</v>
      </c>
      <c r="V1010" t="s">
        <v>23</v>
      </c>
      <c r="W1010" t="s">
        <v>12</v>
      </c>
      <c r="X1010" t="s">
        <v>9</v>
      </c>
      <c r="Y1010" s="56">
        <f>IF(clean[[#This Row],[is_delivered]]="Yes",clean[[#This Row],[net_sales]],0 )</f>
        <v>900000</v>
      </c>
    </row>
    <row r="1011" spans="1:25">
      <c r="A1011" t="s">
        <v>1647</v>
      </c>
      <c r="B1011" s="9">
        <v>45684</v>
      </c>
      <c r="C1011" t="s">
        <v>414</v>
      </c>
      <c r="D1011" t="s">
        <v>845</v>
      </c>
      <c r="E1011">
        <v>2</v>
      </c>
      <c r="F1011" s="56">
        <v>300000</v>
      </c>
      <c r="G1011" s="56">
        <v>600000</v>
      </c>
      <c r="H1011" t="s">
        <v>895</v>
      </c>
      <c r="I1011" s="56">
        <v>90000</v>
      </c>
      <c r="J1011" s="56">
        <v>15000</v>
      </c>
      <c r="K1011" s="56">
        <v>525000</v>
      </c>
      <c r="L1011" t="s">
        <v>880</v>
      </c>
      <c r="M1011" t="s">
        <v>881</v>
      </c>
      <c r="N1011" t="s">
        <v>875</v>
      </c>
      <c r="O1011" s="57">
        <v>45658</v>
      </c>
      <c r="P1011" t="s">
        <v>877</v>
      </c>
      <c r="Q1011" s="56">
        <v>510000</v>
      </c>
      <c r="R1011" t="s">
        <v>846</v>
      </c>
      <c r="S1011" t="s">
        <v>727</v>
      </c>
      <c r="T1011" t="s">
        <v>728</v>
      </c>
      <c r="U1011" t="s">
        <v>415</v>
      </c>
      <c r="V1011" t="s">
        <v>23</v>
      </c>
      <c r="W1011" t="s">
        <v>39</v>
      </c>
      <c r="X1011" t="s">
        <v>24</v>
      </c>
      <c r="Y1011" s="56">
        <f>IF(clean[[#This Row],[is_delivered]]="Yes",clean[[#This Row],[net_sales]],0 )</f>
        <v>510000</v>
      </c>
    </row>
    <row r="1012" spans="1:25">
      <c r="A1012" t="s">
        <v>1846</v>
      </c>
      <c r="B1012" s="9">
        <v>45684</v>
      </c>
      <c r="C1012" t="s">
        <v>446</v>
      </c>
      <c r="D1012" t="s">
        <v>755</v>
      </c>
      <c r="E1012">
        <v>2</v>
      </c>
      <c r="F1012" s="56">
        <v>50000</v>
      </c>
      <c r="G1012" s="56">
        <v>100000</v>
      </c>
      <c r="H1012" t="s">
        <v>886</v>
      </c>
      <c r="I1012" s="56">
        <v>10000</v>
      </c>
      <c r="J1012" s="56">
        <v>10000</v>
      </c>
      <c r="K1012" s="56">
        <v>100000</v>
      </c>
      <c r="L1012" t="s">
        <v>889</v>
      </c>
      <c r="M1012" t="s">
        <v>903</v>
      </c>
      <c r="N1012" t="s">
        <v>890</v>
      </c>
      <c r="O1012" s="57">
        <v>45658</v>
      </c>
      <c r="P1012" t="s">
        <v>892</v>
      </c>
      <c r="Q1012" s="56">
        <v>90000</v>
      </c>
      <c r="R1012" t="s">
        <v>756</v>
      </c>
      <c r="S1012" t="s">
        <v>739</v>
      </c>
      <c r="T1012" t="s">
        <v>740</v>
      </c>
      <c r="U1012" t="s">
        <v>447</v>
      </c>
      <c r="V1012" t="s">
        <v>23</v>
      </c>
      <c r="W1012" t="s">
        <v>8</v>
      </c>
      <c r="X1012" t="s">
        <v>9</v>
      </c>
      <c r="Y1012" s="56">
        <f>IF(clean[[#This Row],[is_delivered]]="Yes",clean[[#This Row],[net_sales]],0 )</f>
        <v>0</v>
      </c>
    </row>
    <row r="1013" spans="1:25">
      <c r="A1013" t="s">
        <v>2067</v>
      </c>
      <c r="B1013" s="9">
        <v>45684</v>
      </c>
      <c r="C1013" t="s">
        <v>350</v>
      </c>
      <c r="D1013" t="s">
        <v>771</v>
      </c>
      <c r="E1013">
        <v>4</v>
      </c>
      <c r="F1013" s="56">
        <v>500000</v>
      </c>
      <c r="G1013" s="56">
        <v>2000000</v>
      </c>
      <c r="H1013" t="s">
        <v>886</v>
      </c>
      <c r="I1013" s="56">
        <v>200000</v>
      </c>
      <c r="J1013" s="56">
        <v>30000</v>
      </c>
      <c r="K1013" s="56">
        <v>1830000</v>
      </c>
      <c r="L1013" t="s">
        <v>884</v>
      </c>
      <c r="M1013" t="s">
        <v>901</v>
      </c>
      <c r="N1013" t="s">
        <v>875</v>
      </c>
      <c r="O1013" s="57">
        <v>45658</v>
      </c>
      <c r="P1013" t="s">
        <v>877</v>
      </c>
      <c r="Q1013" s="56">
        <v>1800000</v>
      </c>
      <c r="R1013" t="s">
        <v>772</v>
      </c>
      <c r="S1013" t="s">
        <v>747</v>
      </c>
      <c r="T1013" t="s">
        <v>748</v>
      </c>
      <c r="U1013" t="s">
        <v>351</v>
      </c>
      <c r="V1013" t="s">
        <v>23</v>
      </c>
      <c r="W1013" t="s">
        <v>36</v>
      </c>
      <c r="X1013" t="s">
        <v>9</v>
      </c>
      <c r="Y1013" s="56">
        <f>IF(clean[[#This Row],[is_delivered]]="Yes",clean[[#This Row],[net_sales]],0 )</f>
        <v>1800000</v>
      </c>
    </row>
    <row r="1014" spans="1:25">
      <c r="A1014" t="s">
        <v>923</v>
      </c>
      <c r="B1014" s="9">
        <v>45683</v>
      </c>
      <c r="C1014" t="s">
        <v>111</v>
      </c>
      <c r="D1014" t="s">
        <v>799</v>
      </c>
      <c r="E1014">
        <v>1</v>
      </c>
      <c r="F1014" s="56">
        <v>35000</v>
      </c>
      <c r="G1014" s="56">
        <v>35000</v>
      </c>
      <c r="H1014" t="s">
        <v>886</v>
      </c>
      <c r="I1014" s="56">
        <v>3500</v>
      </c>
      <c r="J1014" s="56">
        <v>15000</v>
      </c>
      <c r="K1014" s="56">
        <v>46500</v>
      </c>
      <c r="L1014" t="s">
        <v>880</v>
      </c>
      <c r="M1014" t="s">
        <v>903</v>
      </c>
      <c r="N1014" t="s">
        <v>875</v>
      </c>
      <c r="O1014" s="57">
        <v>45658</v>
      </c>
      <c r="P1014" t="s">
        <v>877</v>
      </c>
      <c r="Q1014" s="56">
        <v>31500</v>
      </c>
      <c r="R1014" t="s">
        <v>800</v>
      </c>
      <c r="S1014" t="s">
        <v>731</v>
      </c>
      <c r="T1014" t="s">
        <v>732</v>
      </c>
      <c r="U1014" t="s">
        <v>112</v>
      </c>
      <c r="V1014" t="s">
        <v>23</v>
      </c>
      <c r="W1014" t="s">
        <v>51</v>
      </c>
      <c r="X1014" t="s">
        <v>15</v>
      </c>
      <c r="Y1014" s="56">
        <f>IF(clean[[#This Row],[is_delivered]]="Yes",clean[[#This Row],[net_sales]],0 )</f>
        <v>31500</v>
      </c>
    </row>
    <row r="1015" spans="1:25">
      <c r="A1015" t="s">
        <v>1453</v>
      </c>
      <c r="B1015" s="9">
        <v>45683</v>
      </c>
      <c r="C1015" t="s">
        <v>248</v>
      </c>
      <c r="D1015" t="s">
        <v>803</v>
      </c>
      <c r="E1015">
        <v>2</v>
      </c>
      <c r="F1015" s="56">
        <v>50000</v>
      </c>
      <c r="G1015" s="56">
        <v>100000</v>
      </c>
      <c r="H1015" t="s">
        <v>872</v>
      </c>
      <c r="I1015" s="56">
        <v>0</v>
      </c>
      <c r="J1015" s="56">
        <v>30000</v>
      </c>
      <c r="K1015" s="56">
        <v>130000</v>
      </c>
      <c r="L1015" t="s">
        <v>880</v>
      </c>
      <c r="M1015" t="s">
        <v>903</v>
      </c>
      <c r="N1015" t="s">
        <v>905</v>
      </c>
      <c r="O1015" s="57">
        <v>45658</v>
      </c>
      <c r="P1015" t="s">
        <v>892</v>
      </c>
      <c r="Q1015" s="56">
        <v>100000</v>
      </c>
      <c r="R1015" t="s">
        <v>804</v>
      </c>
      <c r="S1015" t="s">
        <v>739</v>
      </c>
      <c r="T1015" t="s">
        <v>740</v>
      </c>
      <c r="U1015" t="s">
        <v>249</v>
      </c>
      <c r="V1015" t="s">
        <v>23</v>
      </c>
      <c r="W1015" t="s">
        <v>56</v>
      </c>
      <c r="X1015" t="s">
        <v>9</v>
      </c>
      <c r="Y1015" s="56">
        <f>IF(clean[[#This Row],[is_delivered]]="Yes",clean[[#This Row],[net_sales]],0 )</f>
        <v>0</v>
      </c>
    </row>
    <row r="1016" spans="1:25">
      <c r="A1016" t="s">
        <v>1496</v>
      </c>
      <c r="B1016" s="9">
        <v>45683</v>
      </c>
      <c r="C1016" t="s">
        <v>452</v>
      </c>
      <c r="D1016" t="s">
        <v>787</v>
      </c>
      <c r="E1016">
        <v>1</v>
      </c>
      <c r="F1016" s="56">
        <v>200000</v>
      </c>
      <c r="G1016" s="56">
        <v>200000</v>
      </c>
      <c r="H1016" t="s">
        <v>886</v>
      </c>
      <c r="I1016" s="56">
        <v>20000</v>
      </c>
      <c r="J1016" s="56">
        <v>15000</v>
      </c>
      <c r="K1016" s="56">
        <v>195000</v>
      </c>
      <c r="L1016" t="s">
        <v>873</v>
      </c>
      <c r="M1016" t="s">
        <v>874</v>
      </c>
      <c r="N1016" t="s">
        <v>875</v>
      </c>
      <c r="O1016" s="57">
        <v>45658</v>
      </c>
      <c r="P1016" t="s">
        <v>877</v>
      </c>
      <c r="Q1016" s="56">
        <v>180000</v>
      </c>
      <c r="R1016" t="s">
        <v>788</v>
      </c>
      <c r="S1016" t="s">
        <v>731</v>
      </c>
      <c r="T1016" t="s">
        <v>732</v>
      </c>
      <c r="U1016" t="s">
        <v>453</v>
      </c>
      <c r="V1016" t="s">
        <v>7</v>
      </c>
      <c r="W1016" t="s">
        <v>36</v>
      </c>
      <c r="X1016" t="s">
        <v>9</v>
      </c>
      <c r="Y1016" s="56">
        <f>IF(clean[[#This Row],[is_delivered]]="Yes",clean[[#This Row],[net_sales]],0 )</f>
        <v>180000</v>
      </c>
    </row>
    <row r="1017" spans="1:25">
      <c r="A1017" t="s">
        <v>1501</v>
      </c>
      <c r="B1017" s="9">
        <v>45683</v>
      </c>
      <c r="C1017" t="s">
        <v>260</v>
      </c>
      <c r="D1017" t="s">
        <v>825</v>
      </c>
      <c r="E1017">
        <v>2</v>
      </c>
      <c r="F1017" s="56">
        <v>100000</v>
      </c>
      <c r="G1017" s="56">
        <v>200000</v>
      </c>
      <c r="H1017" t="s">
        <v>872</v>
      </c>
      <c r="I1017" s="56">
        <v>0</v>
      </c>
      <c r="J1017" s="56">
        <v>15000</v>
      </c>
      <c r="K1017" s="56">
        <v>215000</v>
      </c>
      <c r="L1017" t="s">
        <v>880</v>
      </c>
      <c r="M1017" t="s">
        <v>901</v>
      </c>
      <c r="N1017" t="s">
        <v>875</v>
      </c>
      <c r="O1017" s="57">
        <v>45658</v>
      </c>
      <c r="P1017" t="s">
        <v>877</v>
      </c>
      <c r="Q1017" s="56">
        <v>200000</v>
      </c>
      <c r="R1017" t="s">
        <v>826</v>
      </c>
      <c r="S1017" t="s">
        <v>735</v>
      </c>
      <c r="T1017" t="s">
        <v>736</v>
      </c>
      <c r="U1017" t="s">
        <v>261</v>
      </c>
      <c r="V1017" t="s">
        <v>7</v>
      </c>
      <c r="W1017" t="s">
        <v>51</v>
      </c>
      <c r="X1017" t="s">
        <v>9</v>
      </c>
      <c r="Y1017" s="56">
        <f>IF(clean[[#This Row],[is_delivered]]="Yes",clean[[#This Row],[net_sales]],0 )</f>
        <v>200000</v>
      </c>
    </row>
    <row r="1018" spans="1:25">
      <c r="A1018" t="s">
        <v>1503</v>
      </c>
      <c r="B1018" s="9">
        <v>45683</v>
      </c>
      <c r="C1018" t="s">
        <v>316</v>
      </c>
      <c r="D1018" t="s">
        <v>791</v>
      </c>
      <c r="E1018">
        <v>2</v>
      </c>
      <c r="F1018" s="56">
        <v>50000</v>
      </c>
      <c r="G1018" s="56">
        <v>100000</v>
      </c>
      <c r="H1018" t="s">
        <v>872</v>
      </c>
      <c r="I1018" s="56">
        <v>0</v>
      </c>
      <c r="J1018" s="56">
        <v>10000</v>
      </c>
      <c r="K1018" s="56">
        <v>110000</v>
      </c>
      <c r="L1018" t="s">
        <v>889</v>
      </c>
      <c r="M1018" t="s">
        <v>881</v>
      </c>
      <c r="N1018" t="s">
        <v>875</v>
      </c>
      <c r="O1018" s="57">
        <v>45658</v>
      </c>
      <c r="P1018" t="s">
        <v>877</v>
      </c>
      <c r="Q1018" s="56">
        <v>100000</v>
      </c>
      <c r="R1018" t="s">
        <v>792</v>
      </c>
      <c r="S1018" t="s">
        <v>739</v>
      </c>
      <c r="T1018" t="s">
        <v>740</v>
      </c>
      <c r="U1018" t="s">
        <v>317</v>
      </c>
      <c r="V1018" t="s">
        <v>23</v>
      </c>
      <c r="W1018" t="s">
        <v>46</v>
      </c>
      <c r="X1018" t="s">
        <v>9</v>
      </c>
      <c r="Y1018" s="56">
        <f>IF(clean[[#This Row],[is_delivered]]="Yes",clean[[#This Row],[net_sales]],0 )</f>
        <v>100000</v>
      </c>
    </row>
    <row r="1019" spans="1:25">
      <c r="A1019" t="s">
        <v>1609</v>
      </c>
      <c r="B1019" s="9">
        <v>45683</v>
      </c>
      <c r="C1019" t="s">
        <v>340</v>
      </c>
      <c r="D1019" t="s">
        <v>809</v>
      </c>
      <c r="E1019">
        <v>4</v>
      </c>
      <c r="F1019" s="56">
        <v>100000</v>
      </c>
      <c r="G1019" s="56">
        <v>400000</v>
      </c>
      <c r="H1019" t="s">
        <v>879</v>
      </c>
      <c r="I1019" s="56">
        <v>80000</v>
      </c>
      <c r="J1019" s="56">
        <v>15000</v>
      </c>
      <c r="K1019" s="56">
        <v>335000</v>
      </c>
      <c r="L1019" t="s">
        <v>873</v>
      </c>
      <c r="M1019" t="s">
        <v>874</v>
      </c>
      <c r="N1019" t="s">
        <v>875</v>
      </c>
      <c r="O1019" s="57">
        <v>45658</v>
      </c>
      <c r="P1019" t="s">
        <v>877</v>
      </c>
      <c r="Q1019" s="56">
        <v>320000</v>
      </c>
      <c r="R1019" t="s">
        <v>810</v>
      </c>
      <c r="S1019" t="s">
        <v>727</v>
      </c>
      <c r="T1019" t="s">
        <v>728</v>
      </c>
      <c r="U1019" t="s">
        <v>341</v>
      </c>
      <c r="V1019" t="s">
        <v>7</v>
      </c>
      <c r="W1019" t="s">
        <v>46</v>
      </c>
      <c r="X1019" t="s">
        <v>24</v>
      </c>
      <c r="Y1019" s="56">
        <f>IF(clean[[#This Row],[is_delivered]]="Yes",clean[[#This Row],[net_sales]],0 )</f>
        <v>320000</v>
      </c>
    </row>
    <row r="1020" spans="1:25">
      <c r="A1020" t="s">
        <v>1669</v>
      </c>
      <c r="B1020" s="9">
        <v>45683</v>
      </c>
      <c r="C1020" t="s">
        <v>292</v>
      </c>
      <c r="D1020" t="s">
        <v>855</v>
      </c>
      <c r="E1020">
        <v>1</v>
      </c>
      <c r="F1020" s="56">
        <v>150000</v>
      </c>
      <c r="G1020" s="56">
        <v>150000</v>
      </c>
      <c r="H1020" t="s">
        <v>886</v>
      </c>
      <c r="I1020" s="56">
        <v>15000</v>
      </c>
      <c r="J1020" s="56">
        <v>30000</v>
      </c>
      <c r="K1020" s="56">
        <v>165000</v>
      </c>
      <c r="L1020" t="s">
        <v>884</v>
      </c>
      <c r="M1020" t="s">
        <v>903</v>
      </c>
      <c r="N1020" t="s">
        <v>921</v>
      </c>
      <c r="O1020" s="57">
        <v>45658</v>
      </c>
      <c r="P1020" t="s">
        <v>892</v>
      </c>
      <c r="Q1020" s="56">
        <v>135000</v>
      </c>
      <c r="R1020" t="s">
        <v>856</v>
      </c>
      <c r="S1020" t="s">
        <v>747</v>
      </c>
      <c r="T1020" t="s">
        <v>748</v>
      </c>
      <c r="U1020" t="s">
        <v>293</v>
      </c>
      <c r="V1020" t="s">
        <v>23</v>
      </c>
      <c r="W1020" t="s">
        <v>46</v>
      </c>
      <c r="X1020" t="s">
        <v>9</v>
      </c>
      <c r="Y1020" s="56">
        <f>IF(clean[[#This Row],[is_delivered]]="Yes",clean[[#This Row],[net_sales]],0 )</f>
        <v>0</v>
      </c>
    </row>
    <row r="1021" spans="1:25">
      <c r="A1021" t="s">
        <v>1729</v>
      </c>
      <c r="B1021" s="9">
        <v>45683</v>
      </c>
      <c r="C1021" t="s">
        <v>160</v>
      </c>
      <c r="D1021" t="s">
        <v>849</v>
      </c>
      <c r="E1021">
        <v>4</v>
      </c>
      <c r="F1021" s="56">
        <v>500000</v>
      </c>
      <c r="G1021" s="56">
        <v>2000000</v>
      </c>
      <c r="H1021" t="s">
        <v>886</v>
      </c>
      <c r="I1021" s="56">
        <v>200000</v>
      </c>
      <c r="J1021" s="56">
        <v>20000</v>
      </c>
      <c r="K1021" s="56">
        <v>1820000</v>
      </c>
      <c r="L1021" t="s">
        <v>884</v>
      </c>
      <c r="M1021" t="s">
        <v>881</v>
      </c>
      <c r="N1021" t="s">
        <v>905</v>
      </c>
      <c r="O1021" s="57">
        <v>45658</v>
      </c>
      <c r="P1021" t="s">
        <v>892</v>
      </c>
      <c r="Q1021" s="56">
        <v>1800000</v>
      </c>
      <c r="R1021" t="s">
        <v>850</v>
      </c>
      <c r="S1021" t="s">
        <v>735</v>
      </c>
      <c r="T1021" t="s">
        <v>736</v>
      </c>
      <c r="U1021" t="s">
        <v>161</v>
      </c>
      <c r="V1021" t="s">
        <v>23</v>
      </c>
      <c r="W1021" t="s">
        <v>137</v>
      </c>
      <c r="X1021" t="s">
        <v>9</v>
      </c>
      <c r="Y1021" s="56">
        <f>IF(clean[[#This Row],[is_delivered]]="Yes",clean[[#This Row],[net_sales]],0 )</f>
        <v>0</v>
      </c>
    </row>
    <row r="1022" spans="1:25">
      <c r="A1022" t="s">
        <v>1865</v>
      </c>
      <c r="B1022" s="9">
        <v>45683</v>
      </c>
      <c r="C1022" t="s">
        <v>99</v>
      </c>
      <c r="D1022" t="s">
        <v>851</v>
      </c>
      <c r="E1022">
        <v>1</v>
      </c>
      <c r="F1022" s="56">
        <v>35000</v>
      </c>
      <c r="G1022" s="56">
        <v>35000</v>
      </c>
      <c r="H1022" t="s">
        <v>879</v>
      </c>
      <c r="I1022" s="56">
        <v>7000</v>
      </c>
      <c r="J1022" s="56">
        <v>25000</v>
      </c>
      <c r="K1022" s="56">
        <v>53000</v>
      </c>
      <c r="L1022" t="s">
        <v>884</v>
      </c>
      <c r="M1022" t="s">
        <v>901</v>
      </c>
      <c r="N1022" t="s">
        <v>875</v>
      </c>
      <c r="O1022" s="57">
        <v>45658</v>
      </c>
      <c r="P1022" t="s">
        <v>877</v>
      </c>
      <c r="Q1022" s="56">
        <v>28000</v>
      </c>
      <c r="R1022" t="s">
        <v>852</v>
      </c>
      <c r="S1022" t="s">
        <v>739</v>
      </c>
      <c r="T1022" t="s">
        <v>740</v>
      </c>
      <c r="U1022" t="s">
        <v>100</v>
      </c>
      <c r="V1022" t="s">
        <v>7</v>
      </c>
      <c r="W1022" t="s">
        <v>39</v>
      </c>
      <c r="X1022" t="s">
        <v>9</v>
      </c>
      <c r="Y1022" s="56">
        <f>IF(clean[[#This Row],[is_delivered]]="Yes",clean[[#This Row],[net_sales]],0 )</f>
        <v>28000</v>
      </c>
    </row>
    <row r="1023" spans="1:25">
      <c r="A1023" t="s">
        <v>2043</v>
      </c>
      <c r="B1023" s="9">
        <v>45683</v>
      </c>
      <c r="C1023" t="s">
        <v>550</v>
      </c>
      <c r="D1023" t="s">
        <v>829</v>
      </c>
      <c r="E1023">
        <v>2</v>
      </c>
      <c r="F1023" s="56">
        <v>500000</v>
      </c>
      <c r="G1023" s="56">
        <v>1000000</v>
      </c>
      <c r="H1023" t="s">
        <v>872</v>
      </c>
      <c r="I1023" s="56">
        <v>0</v>
      </c>
      <c r="J1023" s="56">
        <v>15000</v>
      </c>
      <c r="K1023" s="56">
        <v>1015000</v>
      </c>
      <c r="L1023" t="s">
        <v>889</v>
      </c>
      <c r="M1023" t="s">
        <v>881</v>
      </c>
      <c r="N1023" t="s">
        <v>875</v>
      </c>
      <c r="O1023" s="57">
        <v>45658</v>
      </c>
      <c r="P1023" t="s">
        <v>877</v>
      </c>
      <c r="Q1023" s="56">
        <v>1000000</v>
      </c>
      <c r="R1023" t="s">
        <v>830</v>
      </c>
      <c r="S1023" t="s">
        <v>743</v>
      </c>
      <c r="T1023" t="s">
        <v>744</v>
      </c>
      <c r="U1023" t="s">
        <v>551</v>
      </c>
      <c r="V1023" t="s">
        <v>23</v>
      </c>
      <c r="W1023" t="s">
        <v>36</v>
      </c>
      <c r="X1023" t="s">
        <v>15</v>
      </c>
      <c r="Y1023" s="56">
        <f>IF(clean[[#This Row],[is_delivered]]="Yes",clean[[#This Row],[net_sales]],0 )</f>
        <v>1000000</v>
      </c>
    </row>
    <row r="1024" spans="1:25">
      <c r="A1024" t="s">
        <v>1089</v>
      </c>
      <c r="B1024" s="9">
        <v>45682</v>
      </c>
      <c r="C1024" t="s">
        <v>326</v>
      </c>
      <c r="D1024" t="s">
        <v>741</v>
      </c>
      <c r="E1024">
        <v>1</v>
      </c>
      <c r="F1024" s="56">
        <v>75000</v>
      </c>
      <c r="G1024" s="56">
        <v>75000</v>
      </c>
      <c r="H1024" t="s">
        <v>879</v>
      </c>
      <c r="I1024" s="56">
        <v>15000</v>
      </c>
      <c r="J1024" s="56">
        <v>20000</v>
      </c>
      <c r="K1024" s="56">
        <v>80000</v>
      </c>
      <c r="L1024" t="s">
        <v>880</v>
      </c>
      <c r="M1024" t="s">
        <v>874</v>
      </c>
      <c r="N1024" t="s">
        <v>875</v>
      </c>
      <c r="O1024" s="57">
        <v>45658</v>
      </c>
      <c r="P1024" t="s">
        <v>877</v>
      </c>
      <c r="Q1024" s="56">
        <v>60000</v>
      </c>
      <c r="R1024" t="s">
        <v>742</v>
      </c>
      <c r="S1024" t="s">
        <v>743</v>
      </c>
      <c r="T1024" t="s">
        <v>744</v>
      </c>
      <c r="U1024" t="s">
        <v>327</v>
      </c>
      <c r="V1024" t="s">
        <v>7</v>
      </c>
      <c r="W1024" t="s">
        <v>8</v>
      </c>
      <c r="X1024" t="s">
        <v>9</v>
      </c>
      <c r="Y1024" s="56">
        <f>IF(clean[[#This Row],[is_delivered]]="Yes",clean[[#This Row],[net_sales]],0 )</f>
        <v>60000</v>
      </c>
    </row>
    <row r="1025" spans="1:25">
      <c r="A1025" t="s">
        <v>1624</v>
      </c>
      <c r="B1025" s="9">
        <v>45682</v>
      </c>
      <c r="C1025" t="s">
        <v>376</v>
      </c>
      <c r="D1025" t="s">
        <v>761</v>
      </c>
      <c r="E1025">
        <v>4</v>
      </c>
      <c r="F1025" s="56">
        <v>75000</v>
      </c>
      <c r="G1025" s="56">
        <v>300000</v>
      </c>
      <c r="H1025" t="s">
        <v>872</v>
      </c>
      <c r="I1025" s="56">
        <v>0</v>
      </c>
      <c r="J1025" s="56">
        <v>10000</v>
      </c>
      <c r="K1025" s="56">
        <v>310000</v>
      </c>
      <c r="L1025" t="s">
        <v>880</v>
      </c>
      <c r="M1025" t="s">
        <v>901</v>
      </c>
      <c r="N1025" t="s">
        <v>921</v>
      </c>
      <c r="O1025" s="57">
        <v>45658</v>
      </c>
      <c r="P1025" t="s">
        <v>892</v>
      </c>
      <c r="Q1025" s="56">
        <v>300000</v>
      </c>
      <c r="R1025" t="s">
        <v>762</v>
      </c>
      <c r="S1025" t="s">
        <v>727</v>
      </c>
      <c r="T1025" t="s">
        <v>728</v>
      </c>
      <c r="U1025" t="s">
        <v>377</v>
      </c>
      <c r="V1025" t="s">
        <v>7</v>
      </c>
      <c r="W1025" t="s">
        <v>8</v>
      </c>
      <c r="X1025" t="s">
        <v>9</v>
      </c>
      <c r="Y1025" s="56">
        <f>IF(clean[[#This Row],[is_delivered]]="Yes",clean[[#This Row],[net_sales]],0 )</f>
        <v>0</v>
      </c>
    </row>
    <row r="1026" spans="1:25">
      <c r="A1026" t="s">
        <v>1689</v>
      </c>
      <c r="B1026" s="9">
        <v>45682</v>
      </c>
      <c r="C1026" t="s">
        <v>95</v>
      </c>
      <c r="D1026" t="s">
        <v>845</v>
      </c>
      <c r="E1026">
        <v>4</v>
      </c>
      <c r="F1026" s="56">
        <v>300000</v>
      </c>
      <c r="G1026" s="56">
        <v>1200000</v>
      </c>
      <c r="H1026" t="s">
        <v>872</v>
      </c>
      <c r="I1026" s="56">
        <v>0</v>
      </c>
      <c r="J1026" s="56">
        <v>20000</v>
      </c>
      <c r="K1026" s="56">
        <v>1220000</v>
      </c>
      <c r="L1026" t="s">
        <v>889</v>
      </c>
      <c r="M1026" t="s">
        <v>881</v>
      </c>
      <c r="N1026" t="s">
        <v>875</v>
      </c>
      <c r="O1026" s="57">
        <v>45658</v>
      </c>
      <c r="P1026" t="s">
        <v>877</v>
      </c>
      <c r="Q1026" s="56">
        <v>1200000</v>
      </c>
      <c r="R1026" t="s">
        <v>846</v>
      </c>
      <c r="S1026" t="s">
        <v>727</v>
      </c>
      <c r="T1026" t="s">
        <v>728</v>
      </c>
      <c r="U1026" t="s">
        <v>96</v>
      </c>
      <c r="V1026" t="s">
        <v>23</v>
      </c>
      <c r="W1026" t="s">
        <v>8</v>
      </c>
      <c r="X1026" t="s">
        <v>24</v>
      </c>
      <c r="Y1026" s="56">
        <f>IF(clean[[#This Row],[is_delivered]]="Yes",clean[[#This Row],[net_sales]],0 )</f>
        <v>1200000</v>
      </c>
    </row>
    <row r="1027" spans="1:25">
      <c r="A1027" t="s">
        <v>1805</v>
      </c>
      <c r="B1027" s="9">
        <v>45682</v>
      </c>
      <c r="C1027" t="s">
        <v>34</v>
      </c>
      <c r="D1027" t="s">
        <v>753</v>
      </c>
      <c r="E1027">
        <v>3</v>
      </c>
      <c r="F1027" s="56">
        <v>300000</v>
      </c>
      <c r="G1027" s="56">
        <v>900000</v>
      </c>
      <c r="H1027" t="s">
        <v>895</v>
      </c>
      <c r="I1027" s="56">
        <v>135000</v>
      </c>
      <c r="J1027" s="56">
        <v>10000</v>
      </c>
      <c r="K1027" s="56">
        <v>775000</v>
      </c>
      <c r="L1027" t="s">
        <v>889</v>
      </c>
      <c r="M1027" t="s">
        <v>881</v>
      </c>
      <c r="N1027" t="s">
        <v>911</v>
      </c>
      <c r="O1027" s="57">
        <v>45658</v>
      </c>
      <c r="P1027" t="s">
        <v>892</v>
      </c>
      <c r="Q1027" s="56">
        <v>765000</v>
      </c>
      <c r="R1027" t="s">
        <v>754</v>
      </c>
      <c r="S1027" t="s">
        <v>735</v>
      </c>
      <c r="T1027" t="s">
        <v>736</v>
      </c>
      <c r="U1027" t="s">
        <v>35</v>
      </c>
      <c r="V1027" t="s">
        <v>23</v>
      </c>
      <c r="W1027" t="s">
        <v>36</v>
      </c>
      <c r="X1027" t="s">
        <v>24</v>
      </c>
      <c r="Y1027" s="56">
        <f>IF(clean[[#This Row],[is_delivered]]="Yes",clean[[#This Row],[net_sales]],0 )</f>
        <v>0</v>
      </c>
    </row>
    <row r="1028" spans="1:25">
      <c r="A1028" t="s">
        <v>1841</v>
      </c>
      <c r="B1028" s="9">
        <v>45682</v>
      </c>
      <c r="C1028" t="s">
        <v>532</v>
      </c>
      <c r="D1028" t="s">
        <v>799</v>
      </c>
      <c r="E1028">
        <v>1</v>
      </c>
      <c r="F1028" s="56">
        <v>35000</v>
      </c>
      <c r="G1028" s="56">
        <v>35000</v>
      </c>
      <c r="H1028" t="s">
        <v>872</v>
      </c>
      <c r="I1028" s="56">
        <v>0</v>
      </c>
      <c r="J1028" s="56">
        <v>15000</v>
      </c>
      <c r="K1028" s="56">
        <v>50000</v>
      </c>
      <c r="L1028" t="s">
        <v>889</v>
      </c>
      <c r="M1028" t="s">
        <v>874</v>
      </c>
      <c r="N1028" t="s">
        <v>921</v>
      </c>
      <c r="O1028" s="57">
        <v>45658</v>
      </c>
      <c r="P1028" t="s">
        <v>892</v>
      </c>
      <c r="Q1028" s="56">
        <v>35000</v>
      </c>
      <c r="R1028" t="s">
        <v>800</v>
      </c>
      <c r="S1028" t="s">
        <v>731</v>
      </c>
      <c r="T1028" t="s">
        <v>732</v>
      </c>
      <c r="U1028" t="s">
        <v>533</v>
      </c>
      <c r="V1028" t="s">
        <v>7</v>
      </c>
      <c r="W1028" t="s">
        <v>12</v>
      </c>
      <c r="X1028" t="s">
        <v>24</v>
      </c>
      <c r="Y1028" s="56">
        <f>IF(clean[[#This Row],[is_delivered]]="Yes",clean[[#This Row],[net_sales]],0 )</f>
        <v>0</v>
      </c>
    </row>
    <row r="1029" spans="1:25">
      <c r="A1029" t="s">
        <v>2010</v>
      </c>
      <c r="B1029" s="9">
        <v>45682</v>
      </c>
      <c r="C1029" t="s">
        <v>486</v>
      </c>
      <c r="D1029" t="s">
        <v>823</v>
      </c>
      <c r="E1029">
        <v>3</v>
      </c>
      <c r="F1029" s="56">
        <v>500000</v>
      </c>
      <c r="G1029" s="56">
        <v>1500000</v>
      </c>
      <c r="H1029" t="s">
        <v>872</v>
      </c>
      <c r="I1029" s="56">
        <v>0</v>
      </c>
      <c r="J1029" s="56">
        <v>15000</v>
      </c>
      <c r="K1029" s="56">
        <v>1515000</v>
      </c>
      <c r="L1029" t="s">
        <v>880</v>
      </c>
      <c r="M1029" t="s">
        <v>874</v>
      </c>
      <c r="N1029" t="s">
        <v>875</v>
      </c>
      <c r="O1029" s="57">
        <v>45658</v>
      </c>
      <c r="P1029" t="s">
        <v>877</v>
      </c>
      <c r="Q1029" s="56">
        <v>1500000</v>
      </c>
      <c r="R1029" t="s">
        <v>824</v>
      </c>
      <c r="S1029" t="s">
        <v>731</v>
      </c>
      <c r="T1029" t="s">
        <v>732</v>
      </c>
      <c r="U1029" t="s">
        <v>487</v>
      </c>
      <c r="V1029" t="s">
        <v>23</v>
      </c>
      <c r="W1029" t="s">
        <v>36</v>
      </c>
      <c r="X1029" t="s">
        <v>24</v>
      </c>
      <c r="Y1029" s="56">
        <f>IF(clean[[#This Row],[is_delivered]]="Yes",clean[[#This Row],[net_sales]],0 )</f>
        <v>1500000</v>
      </c>
    </row>
    <row r="1030" spans="1:25">
      <c r="A1030" t="s">
        <v>956</v>
      </c>
      <c r="B1030" s="9">
        <v>45681</v>
      </c>
      <c r="C1030" t="s">
        <v>37</v>
      </c>
      <c r="D1030" t="s">
        <v>771</v>
      </c>
      <c r="E1030">
        <v>4</v>
      </c>
      <c r="F1030" s="56">
        <v>500000</v>
      </c>
      <c r="G1030" s="56">
        <v>2000000</v>
      </c>
      <c r="H1030" t="s">
        <v>872</v>
      </c>
      <c r="I1030" s="56">
        <v>0</v>
      </c>
      <c r="J1030" s="56">
        <v>10000</v>
      </c>
      <c r="K1030" s="56">
        <v>2010000</v>
      </c>
      <c r="L1030" t="s">
        <v>884</v>
      </c>
      <c r="M1030" t="s">
        <v>874</v>
      </c>
      <c r="N1030" t="s">
        <v>875</v>
      </c>
      <c r="O1030" s="57">
        <v>45658</v>
      </c>
      <c r="P1030" t="s">
        <v>877</v>
      </c>
      <c r="Q1030" s="56">
        <v>2000000</v>
      </c>
      <c r="R1030" t="s">
        <v>772</v>
      </c>
      <c r="S1030" t="s">
        <v>747</v>
      </c>
      <c r="T1030" t="s">
        <v>748</v>
      </c>
      <c r="U1030" t="s">
        <v>38</v>
      </c>
      <c r="V1030" t="s">
        <v>23</v>
      </c>
      <c r="W1030" t="s">
        <v>39</v>
      </c>
      <c r="X1030" t="s">
        <v>9</v>
      </c>
      <c r="Y1030" s="56">
        <f>IF(clean[[#This Row],[is_delivered]]="Yes",clean[[#This Row],[net_sales]],0 )</f>
        <v>2000000</v>
      </c>
    </row>
    <row r="1031" spans="1:25">
      <c r="A1031" t="s">
        <v>1606</v>
      </c>
      <c r="B1031" s="9">
        <v>45681</v>
      </c>
      <c r="C1031" t="s">
        <v>87</v>
      </c>
      <c r="D1031" t="s">
        <v>783</v>
      </c>
      <c r="E1031">
        <v>2</v>
      </c>
      <c r="F1031" s="56">
        <v>500000</v>
      </c>
      <c r="G1031" s="56">
        <v>1000000</v>
      </c>
      <c r="H1031" t="s">
        <v>886</v>
      </c>
      <c r="I1031" s="56">
        <v>100000</v>
      </c>
      <c r="J1031" s="56">
        <v>10000</v>
      </c>
      <c r="K1031" s="56">
        <v>910000</v>
      </c>
      <c r="L1031" t="s">
        <v>889</v>
      </c>
      <c r="M1031" t="s">
        <v>881</v>
      </c>
      <c r="N1031" t="s">
        <v>875</v>
      </c>
      <c r="O1031" s="57">
        <v>45658</v>
      </c>
      <c r="P1031" t="s">
        <v>877</v>
      </c>
      <c r="Q1031" s="56">
        <v>900000</v>
      </c>
      <c r="R1031" t="s">
        <v>784</v>
      </c>
      <c r="S1031" t="s">
        <v>747</v>
      </c>
      <c r="T1031" t="s">
        <v>748</v>
      </c>
      <c r="U1031" t="s">
        <v>88</v>
      </c>
      <c r="V1031" t="s">
        <v>23</v>
      </c>
      <c r="W1031" t="s">
        <v>39</v>
      </c>
      <c r="X1031" t="s">
        <v>24</v>
      </c>
      <c r="Y1031" s="56">
        <f>IF(clean[[#This Row],[is_delivered]]="Yes",clean[[#This Row],[net_sales]],0 )</f>
        <v>900000</v>
      </c>
    </row>
    <row r="1032" spans="1:25">
      <c r="A1032" t="s">
        <v>1668</v>
      </c>
      <c r="B1032" s="9">
        <v>45681</v>
      </c>
      <c r="C1032" t="s">
        <v>236</v>
      </c>
      <c r="D1032" t="s">
        <v>843</v>
      </c>
      <c r="E1032">
        <v>1</v>
      </c>
      <c r="F1032" s="56">
        <v>100000</v>
      </c>
      <c r="G1032" s="56">
        <v>100000</v>
      </c>
      <c r="H1032" t="s">
        <v>872</v>
      </c>
      <c r="I1032" s="56">
        <v>0</v>
      </c>
      <c r="J1032" s="56">
        <v>30000</v>
      </c>
      <c r="K1032" s="56">
        <v>130000</v>
      </c>
      <c r="L1032" t="s">
        <v>880</v>
      </c>
      <c r="M1032" t="s">
        <v>903</v>
      </c>
      <c r="N1032" t="s">
        <v>875</v>
      </c>
      <c r="O1032" s="57">
        <v>45658</v>
      </c>
      <c r="P1032" t="s">
        <v>877</v>
      </c>
      <c r="Q1032" s="56">
        <v>100000</v>
      </c>
      <c r="R1032" t="s">
        <v>844</v>
      </c>
      <c r="S1032" t="s">
        <v>747</v>
      </c>
      <c r="T1032" t="s">
        <v>748</v>
      </c>
      <c r="U1032" t="s">
        <v>237</v>
      </c>
      <c r="V1032" t="s">
        <v>7</v>
      </c>
      <c r="W1032" t="s">
        <v>29</v>
      </c>
      <c r="X1032" t="s">
        <v>15</v>
      </c>
      <c r="Y1032" s="56">
        <f>IF(clean[[#This Row],[is_delivered]]="Yes",clean[[#This Row],[net_sales]],0 )</f>
        <v>100000</v>
      </c>
    </row>
    <row r="1033" spans="1:25">
      <c r="A1033" t="s">
        <v>1683</v>
      </c>
      <c r="B1033" s="9">
        <v>45681</v>
      </c>
      <c r="C1033" t="s">
        <v>290</v>
      </c>
      <c r="D1033" t="s">
        <v>819</v>
      </c>
      <c r="E1033">
        <v>3</v>
      </c>
      <c r="F1033" s="56">
        <v>300000</v>
      </c>
      <c r="G1033" s="56">
        <v>900000</v>
      </c>
      <c r="H1033" t="s">
        <v>879</v>
      </c>
      <c r="I1033" s="56">
        <v>180000</v>
      </c>
      <c r="J1033" s="56">
        <v>10000</v>
      </c>
      <c r="K1033" s="56">
        <v>730000</v>
      </c>
      <c r="L1033" t="s">
        <v>884</v>
      </c>
      <c r="M1033" t="s">
        <v>881</v>
      </c>
      <c r="N1033" t="s">
        <v>875</v>
      </c>
      <c r="O1033" s="57">
        <v>45658</v>
      </c>
      <c r="P1033" t="s">
        <v>877</v>
      </c>
      <c r="Q1033" s="56">
        <v>720000</v>
      </c>
      <c r="R1033" t="s">
        <v>820</v>
      </c>
      <c r="S1033" t="s">
        <v>747</v>
      </c>
      <c r="T1033" t="s">
        <v>748</v>
      </c>
      <c r="U1033" t="s">
        <v>291</v>
      </c>
      <c r="V1033" t="s">
        <v>23</v>
      </c>
      <c r="W1033" t="s">
        <v>12</v>
      </c>
      <c r="X1033" t="s">
        <v>9</v>
      </c>
      <c r="Y1033" s="56">
        <f>IF(clean[[#This Row],[is_delivered]]="Yes",clean[[#This Row],[net_sales]],0 )</f>
        <v>720000</v>
      </c>
    </row>
    <row r="1034" spans="1:25">
      <c r="A1034" t="s">
        <v>1824</v>
      </c>
      <c r="B1034" s="9">
        <v>45681</v>
      </c>
      <c r="C1034" t="s">
        <v>69</v>
      </c>
      <c r="D1034" t="s">
        <v>825</v>
      </c>
      <c r="E1034">
        <v>2</v>
      </c>
      <c r="F1034" s="56">
        <v>100000</v>
      </c>
      <c r="G1034" s="56">
        <v>200000</v>
      </c>
      <c r="H1034" t="s">
        <v>886</v>
      </c>
      <c r="I1034" s="56">
        <v>20000</v>
      </c>
      <c r="J1034" s="56">
        <v>10000</v>
      </c>
      <c r="K1034" s="56">
        <v>190000</v>
      </c>
      <c r="L1034" t="s">
        <v>884</v>
      </c>
      <c r="M1034" t="s">
        <v>874</v>
      </c>
      <c r="N1034" t="s">
        <v>875</v>
      </c>
      <c r="O1034" s="57">
        <v>45658</v>
      </c>
      <c r="P1034" t="s">
        <v>877</v>
      </c>
      <c r="Q1034" s="56">
        <v>180000</v>
      </c>
      <c r="R1034" t="s">
        <v>826</v>
      </c>
      <c r="S1034" t="s">
        <v>735</v>
      </c>
      <c r="T1034" t="s">
        <v>736</v>
      </c>
      <c r="U1034" t="s">
        <v>70</v>
      </c>
      <c r="V1034" t="s">
        <v>7</v>
      </c>
      <c r="W1034" t="s">
        <v>29</v>
      </c>
      <c r="X1034" t="s">
        <v>9</v>
      </c>
      <c r="Y1034" s="56">
        <f>IF(clean[[#This Row],[is_delivered]]="Yes",clean[[#This Row],[net_sales]],0 )</f>
        <v>180000</v>
      </c>
    </row>
    <row r="1035" spans="1:25">
      <c r="A1035" t="s">
        <v>1831</v>
      </c>
      <c r="B1035" s="9">
        <v>45681</v>
      </c>
      <c r="C1035" t="s">
        <v>460</v>
      </c>
      <c r="D1035" t="s">
        <v>753</v>
      </c>
      <c r="E1035">
        <v>1</v>
      </c>
      <c r="F1035" s="56">
        <v>300000</v>
      </c>
      <c r="G1035" s="56">
        <v>300000</v>
      </c>
      <c r="H1035" t="s">
        <v>886</v>
      </c>
      <c r="I1035" s="56">
        <v>30000</v>
      </c>
      <c r="J1035" s="56">
        <v>10000</v>
      </c>
      <c r="K1035" s="56">
        <v>280000</v>
      </c>
      <c r="L1035" t="s">
        <v>880</v>
      </c>
      <c r="M1035" t="s">
        <v>903</v>
      </c>
      <c r="N1035" t="s">
        <v>875</v>
      </c>
      <c r="O1035" s="57">
        <v>45658</v>
      </c>
      <c r="P1035" t="s">
        <v>877</v>
      </c>
      <c r="Q1035" s="56">
        <v>270000</v>
      </c>
      <c r="R1035" t="s">
        <v>754</v>
      </c>
      <c r="S1035" t="s">
        <v>735</v>
      </c>
      <c r="T1035" t="s">
        <v>736</v>
      </c>
      <c r="U1035" t="s">
        <v>461</v>
      </c>
      <c r="V1035" t="s">
        <v>23</v>
      </c>
      <c r="W1035" t="s">
        <v>51</v>
      </c>
      <c r="X1035" t="s">
        <v>9</v>
      </c>
      <c r="Y1035" s="56">
        <f>IF(clean[[#This Row],[is_delivered]]="Yes",clean[[#This Row],[net_sales]],0 )</f>
        <v>270000</v>
      </c>
    </row>
    <row r="1036" spans="1:25">
      <c r="A1036" t="s">
        <v>1998</v>
      </c>
      <c r="B1036" s="9">
        <v>45681</v>
      </c>
      <c r="C1036" t="s">
        <v>178</v>
      </c>
      <c r="D1036" t="s">
        <v>745</v>
      </c>
      <c r="E1036">
        <v>2</v>
      </c>
      <c r="F1036" s="56">
        <v>500000</v>
      </c>
      <c r="G1036" s="56">
        <v>1000000</v>
      </c>
      <c r="H1036" t="s">
        <v>879</v>
      </c>
      <c r="I1036" s="56">
        <v>200000</v>
      </c>
      <c r="J1036" s="56">
        <v>10000</v>
      </c>
      <c r="K1036" s="56">
        <v>810000</v>
      </c>
      <c r="L1036" t="s">
        <v>873</v>
      </c>
      <c r="M1036" t="s">
        <v>903</v>
      </c>
      <c r="N1036" t="s">
        <v>875</v>
      </c>
      <c r="O1036" s="57">
        <v>45658</v>
      </c>
      <c r="P1036" t="s">
        <v>877</v>
      </c>
      <c r="Q1036" s="56">
        <v>800000</v>
      </c>
      <c r="R1036" t="s">
        <v>746</v>
      </c>
      <c r="S1036" t="s">
        <v>747</v>
      </c>
      <c r="T1036" t="s">
        <v>748</v>
      </c>
      <c r="U1036" t="s">
        <v>179</v>
      </c>
      <c r="V1036" t="s">
        <v>7</v>
      </c>
      <c r="W1036" t="s">
        <v>137</v>
      </c>
      <c r="X1036" t="s">
        <v>24</v>
      </c>
      <c r="Y1036" s="56">
        <f>IF(clean[[#This Row],[is_delivered]]="Yes",clean[[#This Row],[net_sales]],0 )</f>
        <v>800000</v>
      </c>
    </row>
    <row r="1037" spans="1:25">
      <c r="A1037" t="s">
        <v>1420</v>
      </c>
      <c r="B1037" s="9">
        <v>45680</v>
      </c>
      <c r="C1037" t="s">
        <v>360</v>
      </c>
      <c r="D1037" t="s">
        <v>745</v>
      </c>
      <c r="E1037">
        <v>4</v>
      </c>
      <c r="F1037" s="56">
        <v>500000</v>
      </c>
      <c r="G1037" s="56">
        <v>2000000</v>
      </c>
      <c r="H1037" t="s">
        <v>872</v>
      </c>
      <c r="I1037" s="56">
        <v>0</v>
      </c>
      <c r="J1037" s="56">
        <v>25000</v>
      </c>
      <c r="K1037" s="56">
        <v>2025000</v>
      </c>
      <c r="L1037" t="s">
        <v>889</v>
      </c>
      <c r="M1037" t="s">
        <v>903</v>
      </c>
      <c r="N1037" t="s">
        <v>890</v>
      </c>
      <c r="O1037" s="57">
        <v>45658</v>
      </c>
      <c r="P1037" t="s">
        <v>892</v>
      </c>
      <c r="Q1037" s="56">
        <v>2000000</v>
      </c>
      <c r="R1037" t="s">
        <v>746</v>
      </c>
      <c r="S1037" t="s">
        <v>747</v>
      </c>
      <c r="T1037" t="s">
        <v>748</v>
      </c>
      <c r="U1037" t="s">
        <v>361</v>
      </c>
      <c r="V1037" t="s">
        <v>23</v>
      </c>
      <c r="W1037" t="s">
        <v>137</v>
      </c>
      <c r="X1037" t="s">
        <v>9</v>
      </c>
      <c r="Y1037" s="56">
        <f>IF(clean[[#This Row],[is_delivered]]="Yes",clean[[#This Row],[net_sales]],0 )</f>
        <v>0</v>
      </c>
    </row>
    <row r="1038" spans="1:25">
      <c r="A1038" t="s">
        <v>1483</v>
      </c>
      <c r="B1038" s="9">
        <v>45680</v>
      </c>
      <c r="C1038" t="s">
        <v>63</v>
      </c>
      <c r="D1038" t="s">
        <v>787</v>
      </c>
      <c r="E1038">
        <v>2</v>
      </c>
      <c r="F1038" s="56">
        <v>200000</v>
      </c>
      <c r="G1038" s="56">
        <v>400000</v>
      </c>
      <c r="H1038" t="s">
        <v>895</v>
      </c>
      <c r="I1038" s="56">
        <v>60000</v>
      </c>
      <c r="J1038" s="56">
        <v>25000</v>
      </c>
      <c r="K1038" s="56">
        <v>365000</v>
      </c>
      <c r="L1038" t="s">
        <v>880</v>
      </c>
      <c r="M1038" t="s">
        <v>903</v>
      </c>
      <c r="N1038" t="s">
        <v>921</v>
      </c>
      <c r="O1038" s="57">
        <v>45658</v>
      </c>
      <c r="P1038" t="s">
        <v>892</v>
      </c>
      <c r="Q1038" s="56">
        <v>340000</v>
      </c>
      <c r="R1038" t="s">
        <v>788</v>
      </c>
      <c r="S1038" t="s">
        <v>731</v>
      </c>
      <c r="T1038" t="s">
        <v>732</v>
      </c>
      <c r="U1038" t="s">
        <v>64</v>
      </c>
      <c r="V1038" t="s">
        <v>7</v>
      </c>
      <c r="W1038" t="s">
        <v>8</v>
      </c>
      <c r="X1038" t="s">
        <v>15</v>
      </c>
      <c r="Y1038" s="56">
        <f>IF(clean[[#This Row],[is_delivered]]="Yes",clean[[#This Row],[net_sales]],0 )</f>
        <v>0</v>
      </c>
    </row>
    <row r="1039" spans="1:25">
      <c r="A1039" t="s">
        <v>1524</v>
      </c>
      <c r="B1039" s="9">
        <v>45680</v>
      </c>
      <c r="C1039" t="s">
        <v>520</v>
      </c>
      <c r="D1039" t="s">
        <v>843</v>
      </c>
      <c r="E1039">
        <v>1</v>
      </c>
      <c r="F1039" s="56">
        <v>100000</v>
      </c>
      <c r="G1039" s="56">
        <v>100000</v>
      </c>
      <c r="H1039" t="s">
        <v>886</v>
      </c>
      <c r="I1039" s="56">
        <v>10000</v>
      </c>
      <c r="J1039" s="56">
        <v>10000</v>
      </c>
      <c r="K1039" s="56">
        <v>100000</v>
      </c>
      <c r="L1039" t="s">
        <v>884</v>
      </c>
      <c r="M1039" t="s">
        <v>901</v>
      </c>
      <c r="N1039" t="s">
        <v>875</v>
      </c>
      <c r="O1039" s="57">
        <v>45658</v>
      </c>
      <c r="P1039" t="s">
        <v>877</v>
      </c>
      <c r="Q1039" s="56">
        <v>90000</v>
      </c>
      <c r="R1039" t="s">
        <v>844</v>
      </c>
      <c r="S1039" t="s">
        <v>747</v>
      </c>
      <c r="T1039" t="s">
        <v>748</v>
      </c>
      <c r="U1039" t="s">
        <v>521</v>
      </c>
      <c r="V1039" t="s">
        <v>23</v>
      </c>
      <c r="W1039" t="s">
        <v>29</v>
      </c>
      <c r="X1039" t="s">
        <v>9</v>
      </c>
      <c r="Y1039" s="56">
        <f>IF(clean[[#This Row],[is_delivered]]="Yes",clean[[#This Row],[net_sales]],0 )</f>
        <v>90000</v>
      </c>
    </row>
    <row r="1040" spans="1:25">
      <c r="A1040" t="s">
        <v>1778</v>
      </c>
      <c r="B1040" s="9">
        <v>45680</v>
      </c>
      <c r="C1040" t="s">
        <v>111</v>
      </c>
      <c r="D1040" t="s">
        <v>761</v>
      </c>
      <c r="E1040">
        <v>1</v>
      </c>
      <c r="F1040" s="56">
        <v>75000</v>
      </c>
      <c r="G1040" s="56">
        <v>75000</v>
      </c>
      <c r="H1040" t="s">
        <v>872</v>
      </c>
      <c r="I1040" s="56">
        <v>0</v>
      </c>
      <c r="J1040" s="56">
        <v>10000</v>
      </c>
      <c r="K1040" s="56">
        <v>85000</v>
      </c>
      <c r="L1040" t="s">
        <v>884</v>
      </c>
      <c r="M1040" t="s">
        <v>874</v>
      </c>
      <c r="N1040" t="s">
        <v>875</v>
      </c>
      <c r="O1040" s="57">
        <v>45658</v>
      </c>
      <c r="P1040" t="s">
        <v>877</v>
      </c>
      <c r="Q1040" s="56">
        <v>75000</v>
      </c>
      <c r="R1040" t="s">
        <v>762</v>
      </c>
      <c r="S1040" t="s">
        <v>727</v>
      </c>
      <c r="T1040" t="s">
        <v>728</v>
      </c>
      <c r="U1040" t="s">
        <v>112</v>
      </c>
      <c r="V1040" t="s">
        <v>23</v>
      </c>
      <c r="W1040" t="s">
        <v>51</v>
      </c>
      <c r="X1040" t="s">
        <v>15</v>
      </c>
      <c r="Y1040" s="56">
        <f>IF(clean[[#This Row],[is_delivered]]="Yes",clean[[#This Row],[net_sales]],0 )</f>
        <v>75000</v>
      </c>
    </row>
    <row r="1041" spans="1:25">
      <c r="A1041" t="s">
        <v>1829</v>
      </c>
      <c r="B1041" s="9">
        <v>45680</v>
      </c>
      <c r="C1041" t="s">
        <v>113</v>
      </c>
      <c r="D1041" t="s">
        <v>825</v>
      </c>
      <c r="E1041">
        <v>3</v>
      </c>
      <c r="F1041" s="56">
        <v>100000</v>
      </c>
      <c r="G1041" s="56">
        <v>300000</v>
      </c>
      <c r="H1041" t="s">
        <v>872</v>
      </c>
      <c r="I1041" s="56">
        <v>0</v>
      </c>
      <c r="J1041" s="56">
        <v>10000</v>
      </c>
      <c r="K1041" s="56">
        <v>310000</v>
      </c>
      <c r="L1041" t="s">
        <v>873</v>
      </c>
      <c r="M1041" t="s">
        <v>881</v>
      </c>
      <c r="N1041" t="s">
        <v>875</v>
      </c>
      <c r="O1041" s="57">
        <v>45658</v>
      </c>
      <c r="P1041" t="s">
        <v>877</v>
      </c>
      <c r="Q1041" s="56">
        <v>300000</v>
      </c>
      <c r="R1041" t="s">
        <v>826</v>
      </c>
      <c r="S1041" t="s">
        <v>735</v>
      </c>
      <c r="T1041" t="s">
        <v>736</v>
      </c>
      <c r="U1041" t="s">
        <v>114</v>
      </c>
      <c r="V1041" t="s">
        <v>23</v>
      </c>
      <c r="W1041" t="s">
        <v>39</v>
      </c>
      <c r="X1041" t="s">
        <v>24</v>
      </c>
      <c r="Y1041" s="56">
        <f>IF(clean[[#This Row],[is_delivered]]="Yes",clean[[#This Row],[net_sales]],0 )</f>
        <v>300000</v>
      </c>
    </row>
    <row r="1042" spans="1:25">
      <c r="A1042" t="s">
        <v>1903</v>
      </c>
      <c r="B1042" s="9">
        <v>45680</v>
      </c>
      <c r="C1042" t="s">
        <v>71</v>
      </c>
      <c r="D1042" t="s">
        <v>745</v>
      </c>
      <c r="E1042">
        <v>1</v>
      </c>
      <c r="F1042" s="56">
        <v>500000</v>
      </c>
      <c r="G1042" s="56">
        <v>500000</v>
      </c>
      <c r="H1042" t="s">
        <v>886</v>
      </c>
      <c r="I1042" s="56">
        <v>50000</v>
      </c>
      <c r="J1042" s="56">
        <v>20000</v>
      </c>
      <c r="K1042" s="56">
        <v>470000</v>
      </c>
      <c r="L1042" t="s">
        <v>873</v>
      </c>
      <c r="M1042" t="s">
        <v>881</v>
      </c>
      <c r="N1042" t="s">
        <v>875</v>
      </c>
      <c r="O1042" s="57">
        <v>45658</v>
      </c>
      <c r="P1042" t="s">
        <v>877</v>
      </c>
      <c r="Q1042" s="56">
        <v>450000</v>
      </c>
      <c r="R1042" t="s">
        <v>746</v>
      </c>
      <c r="S1042" t="s">
        <v>747</v>
      </c>
      <c r="T1042" t="s">
        <v>748</v>
      </c>
      <c r="U1042" t="s">
        <v>72</v>
      </c>
      <c r="V1042" t="s">
        <v>23</v>
      </c>
      <c r="W1042" t="s">
        <v>29</v>
      </c>
      <c r="X1042" t="s">
        <v>15</v>
      </c>
      <c r="Y1042" s="56">
        <f>IF(clean[[#This Row],[is_delivered]]="Yes",clean[[#This Row],[net_sales]],0 )</f>
        <v>450000</v>
      </c>
    </row>
    <row r="1043" spans="1:25">
      <c r="A1043" t="s">
        <v>968</v>
      </c>
      <c r="B1043" s="9">
        <v>45679</v>
      </c>
      <c r="C1043" t="s">
        <v>13</v>
      </c>
      <c r="D1043" t="s">
        <v>817</v>
      </c>
      <c r="E1043">
        <v>2</v>
      </c>
      <c r="F1043" s="56">
        <v>75000</v>
      </c>
      <c r="G1043" s="56">
        <v>150000</v>
      </c>
      <c r="H1043" t="s">
        <v>886</v>
      </c>
      <c r="I1043" s="56">
        <v>15000</v>
      </c>
      <c r="J1043" s="56">
        <v>25000</v>
      </c>
      <c r="K1043" s="56">
        <v>160000</v>
      </c>
      <c r="L1043" t="s">
        <v>889</v>
      </c>
      <c r="M1043" t="s">
        <v>903</v>
      </c>
      <c r="N1043" t="s">
        <v>890</v>
      </c>
      <c r="O1043" s="57">
        <v>45658</v>
      </c>
      <c r="P1043" t="s">
        <v>892</v>
      </c>
      <c r="Q1043" s="56">
        <v>135000</v>
      </c>
      <c r="R1043" t="s">
        <v>818</v>
      </c>
      <c r="S1043" t="s">
        <v>743</v>
      </c>
      <c r="T1043" t="s">
        <v>744</v>
      </c>
      <c r="U1043" t="s">
        <v>14</v>
      </c>
      <c r="V1043" t="s">
        <v>7</v>
      </c>
      <c r="W1043" t="s">
        <v>8</v>
      </c>
      <c r="X1043" t="s">
        <v>15</v>
      </c>
      <c r="Y1043" s="56">
        <f>IF(clean[[#This Row],[is_delivered]]="Yes",clean[[#This Row],[net_sales]],0 )</f>
        <v>0</v>
      </c>
    </row>
    <row r="1044" spans="1:25">
      <c r="A1044" t="s">
        <v>1145</v>
      </c>
      <c r="B1044" s="9">
        <v>45679</v>
      </c>
      <c r="C1044" t="s">
        <v>716</v>
      </c>
      <c r="D1044" t="s">
        <v>779</v>
      </c>
      <c r="E1044">
        <v>1</v>
      </c>
      <c r="F1044" s="56">
        <v>150000</v>
      </c>
      <c r="G1044" s="56">
        <v>150000</v>
      </c>
      <c r="H1044" t="s">
        <v>872</v>
      </c>
      <c r="I1044" s="56">
        <v>0</v>
      </c>
      <c r="J1044" s="56">
        <v>25000</v>
      </c>
      <c r="K1044" s="56">
        <v>175000</v>
      </c>
      <c r="L1044" t="s">
        <v>884</v>
      </c>
      <c r="M1044" t="s">
        <v>874</v>
      </c>
      <c r="N1044" t="s">
        <v>905</v>
      </c>
      <c r="O1044" s="57">
        <v>45658</v>
      </c>
      <c r="P1044" t="s">
        <v>892</v>
      </c>
      <c r="Q1044" s="56">
        <v>150000</v>
      </c>
      <c r="R1044" t="s">
        <v>780</v>
      </c>
      <c r="S1044" t="s">
        <v>739</v>
      </c>
      <c r="T1044" t="s">
        <v>740</v>
      </c>
      <c r="U1044" t="s">
        <v>717</v>
      </c>
      <c r="V1044" t="s">
        <v>23</v>
      </c>
      <c r="W1044" t="s">
        <v>8</v>
      </c>
      <c r="X1044" t="s">
        <v>9</v>
      </c>
      <c r="Y1044" s="56">
        <f>IF(clean[[#This Row],[is_delivered]]="Yes",clean[[#This Row],[net_sales]],0 )</f>
        <v>0</v>
      </c>
    </row>
    <row r="1045" spans="1:25">
      <c r="A1045" t="s">
        <v>1191</v>
      </c>
      <c r="B1045" s="9">
        <v>45679</v>
      </c>
      <c r="C1045" t="s">
        <v>220</v>
      </c>
      <c r="D1045" t="s">
        <v>789</v>
      </c>
      <c r="E1045">
        <v>1</v>
      </c>
      <c r="F1045" s="56">
        <v>200000</v>
      </c>
      <c r="G1045" s="56">
        <v>200000</v>
      </c>
      <c r="H1045" t="s">
        <v>872</v>
      </c>
      <c r="I1045" s="56">
        <v>0</v>
      </c>
      <c r="J1045" s="56">
        <v>10000</v>
      </c>
      <c r="K1045" s="56">
        <v>210000</v>
      </c>
      <c r="L1045" t="s">
        <v>880</v>
      </c>
      <c r="M1045" t="s">
        <v>901</v>
      </c>
      <c r="N1045" t="s">
        <v>875</v>
      </c>
      <c r="O1045" s="57">
        <v>45658</v>
      </c>
      <c r="P1045" t="s">
        <v>877</v>
      </c>
      <c r="Q1045" s="56">
        <v>200000</v>
      </c>
      <c r="R1045" t="s">
        <v>790</v>
      </c>
      <c r="S1045" t="s">
        <v>735</v>
      </c>
      <c r="T1045" t="s">
        <v>736</v>
      </c>
      <c r="U1045" t="s">
        <v>221</v>
      </c>
      <c r="V1045" t="s">
        <v>7</v>
      </c>
      <c r="W1045" t="s">
        <v>29</v>
      </c>
      <c r="X1045" t="s">
        <v>9</v>
      </c>
      <c r="Y1045" s="56">
        <f>IF(clean[[#This Row],[is_delivered]]="Yes",clean[[#This Row],[net_sales]],0 )</f>
        <v>200000</v>
      </c>
    </row>
    <row r="1046" spans="1:25">
      <c r="A1046" t="s">
        <v>1196</v>
      </c>
      <c r="B1046" s="9">
        <v>45679</v>
      </c>
      <c r="C1046" t="s">
        <v>492</v>
      </c>
      <c r="D1046" t="s">
        <v>817</v>
      </c>
      <c r="E1046">
        <v>2</v>
      </c>
      <c r="F1046" s="56">
        <v>75000</v>
      </c>
      <c r="G1046" s="56">
        <v>150000</v>
      </c>
      <c r="H1046" t="s">
        <v>886</v>
      </c>
      <c r="I1046" s="56">
        <v>15000</v>
      </c>
      <c r="J1046" s="56">
        <v>20000</v>
      </c>
      <c r="K1046" s="56">
        <v>155000</v>
      </c>
      <c r="L1046" t="s">
        <v>873</v>
      </c>
      <c r="M1046" t="s">
        <v>874</v>
      </c>
      <c r="N1046" t="s">
        <v>875</v>
      </c>
      <c r="O1046" s="57">
        <v>45658</v>
      </c>
      <c r="P1046" t="s">
        <v>877</v>
      </c>
      <c r="Q1046" s="56">
        <v>135000</v>
      </c>
      <c r="R1046" t="s">
        <v>818</v>
      </c>
      <c r="S1046" t="s">
        <v>743</v>
      </c>
      <c r="T1046" t="s">
        <v>744</v>
      </c>
      <c r="U1046" t="s">
        <v>493</v>
      </c>
      <c r="V1046" t="s">
        <v>23</v>
      </c>
      <c r="W1046" t="s">
        <v>56</v>
      </c>
      <c r="X1046" t="s">
        <v>9</v>
      </c>
      <c r="Y1046" s="56">
        <f>IF(clean[[#This Row],[is_delivered]]="Yes",clean[[#This Row],[net_sales]],0 )</f>
        <v>135000</v>
      </c>
    </row>
    <row r="1047" spans="1:25">
      <c r="A1047" t="s">
        <v>1178</v>
      </c>
      <c r="B1047" s="9">
        <v>45679</v>
      </c>
      <c r="C1047" t="s">
        <v>484</v>
      </c>
      <c r="D1047" t="s">
        <v>769</v>
      </c>
      <c r="E1047">
        <v>1</v>
      </c>
      <c r="F1047" s="56">
        <v>100000</v>
      </c>
      <c r="G1047" s="56">
        <v>100000</v>
      </c>
      <c r="H1047" t="s">
        <v>886</v>
      </c>
      <c r="I1047" s="56">
        <v>10000</v>
      </c>
      <c r="J1047" s="56">
        <v>15000</v>
      </c>
      <c r="K1047" s="56">
        <v>105000</v>
      </c>
      <c r="L1047" t="s">
        <v>873</v>
      </c>
      <c r="M1047" t="s">
        <v>901</v>
      </c>
      <c r="N1047" t="s">
        <v>890</v>
      </c>
      <c r="O1047" s="57">
        <v>45658</v>
      </c>
      <c r="P1047" t="s">
        <v>892</v>
      </c>
      <c r="Q1047" s="56">
        <v>90000</v>
      </c>
      <c r="R1047" t="s">
        <v>770</v>
      </c>
      <c r="S1047" t="s">
        <v>743</v>
      </c>
      <c r="T1047" t="s">
        <v>744</v>
      </c>
      <c r="U1047" t="s">
        <v>485</v>
      </c>
      <c r="V1047" t="s">
        <v>7</v>
      </c>
      <c r="W1047" t="s">
        <v>8</v>
      </c>
      <c r="X1047" t="s">
        <v>9</v>
      </c>
      <c r="Y1047" s="56">
        <f>IF(clean[[#This Row],[is_delivered]]="Yes",clean[[#This Row],[net_sales]],0 )</f>
        <v>0</v>
      </c>
    </row>
    <row r="1048" spans="1:25">
      <c r="A1048" t="s">
        <v>1373</v>
      </c>
      <c r="B1048" s="9">
        <v>45679</v>
      </c>
      <c r="C1048" t="s">
        <v>388</v>
      </c>
      <c r="D1048" t="s">
        <v>775</v>
      </c>
      <c r="E1048">
        <v>1</v>
      </c>
      <c r="F1048" s="56">
        <v>75000</v>
      </c>
      <c r="G1048" s="56">
        <v>75000</v>
      </c>
      <c r="H1048" t="s">
        <v>872</v>
      </c>
      <c r="I1048" s="56">
        <v>0</v>
      </c>
      <c r="J1048" s="56">
        <v>10000</v>
      </c>
      <c r="K1048" s="56">
        <v>85000</v>
      </c>
      <c r="L1048" t="s">
        <v>873</v>
      </c>
      <c r="M1048" t="s">
        <v>903</v>
      </c>
      <c r="N1048" t="s">
        <v>875</v>
      </c>
      <c r="O1048" s="57">
        <v>45658</v>
      </c>
      <c r="P1048" t="s">
        <v>877</v>
      </c>
      <c r="Q1048" s="56">
        <v>75000</v>
      </c>
      <c r="R1048" t="s">
        <v>776</v>
      </c>
      <c r="S1048" t="s">
        <v>731</v>
      </c>
      <c r="T1048" t="s">
        <v>732</v>
      </c>
      <c r="U1048" t="s">
        <v>389</v>
      </c>
      <c r="V1048" t="s">
        <v>7</v>
      </c>
      <c r="W1048" t="s">
        <v>51</v>
      </c>
      <c r="X1048" t="s">
        <v>9</v>
      </c>
      <c r="Y1048" s="56">
        <f>IF(clean[[#This Row],[is_delivered]]="Yes",clean[[#This Row],[net_sales]],0 )</f>
        <v>75000</v>
      </c>
    </row>
    <row r="1049" spans="1:25">
      <c r="A1049" t="s">
        <v>1418</v>
      </c>
      <c r="B1049" s="9">
        <v>45679</v>
      </c>
      <c r="C1049" t="s">
        <v>244</v>
      </c>
      <c r="D1049" t="s">
        <v>809</v>
      </c>
      <c r="E1049">
        <v>2</v>
      </c>
      <c r="F1049" s="56">
        <v>100000</v>
      </c>
      <c r="G1049" s="56">
        <v>200000</v>
      </c>
      <c r="H1049" t="s">
        <v>886</v>
      </c>
      <c r="I1049" s="56">
        <v>20000</v>
      </c>
      <c r="J1049" s="56">
        <v>10000</v>
      </c>
      <c r="K1049" s="56">
        <v>190000</v>
      </c>
      <c r="L1049" t="s">
        <v>880</v>
      </c>
      <c r="M1049" t="s">
        <v>903</v>
      </c>
      <c r="N1049" t="s">
        <v>875</v>
      </c>
      <c r="O1049" s="57">
        <v>45658</v>
      </c>
      <c r="P1049" t="s">
        <v>877</v>
      </c>
      <c r="Q1049" s="56">
        <v>180000</v>
      </c>
      <c r="R1049" t="s">
        <v>810</v>
      </c>
      <c r="S1049" t="s">
        <v>727</v>
      </c>
      <c r="T1049" t="s">
        <v>728</v>
      </c>
      <c r="U1049" t="s">
        <v>245</v>
      </c>
      <c r="V1049" t="s">
        <v>7</v>
      </c>
      <c r="W1049" t="s">
        <v>46</v>
      </c>
      <c r="X1049" t="s">
        <v>9</v>
      </c>
      <c r="Y1049" s="56">
        <f>IF(clean[[#This Row],[is_delivered]]="Yes",clean[[#This Row],[net_sales]],0 )</f>
        <v>180000</v>
      </c>
    </row>
    <row r="1050" spans="1:25">
      <c r="A1050" t="s">
        <v>1911</v>
      </c>
      <c r="B1050" s="9">
        <v>45679</v>
      </c>
      <c r="C1050" t="s">
        <v>660</v>
      </c>
      <c r="D1050" t="s">
        <v>793</v>
      </c>
      <c r="E1050">
        <v>2</v>
      </c>
      <c r="F1050" s="56">
        <v>500000</v>
      </c>
      <c r="G1050" s="56">
        <v>1000000</v>
      </c>
      <c r="H1050" t="s">
        <v>886</v>
      </c>
      <c r="I1050" s="56">
        <v>100000</v>
      </c>
      <c r="J1050" s="56">
        <v>20000</v>
      </c>
      <c r="K1050" s="56">
        <v>920000</v>
      </c>
      <c r="L1050" t="s">
        <v>889</v>
      </c>
      <c r="M1050" t="s">
        <v>881</v>
      </c>
      <c r="N1050" t="s">
        <v>875</v>
      </c>
      <c r="O1050" s="57">
        <v>45658</v>
      </c>
      <c r="P1050" t="s">
        <v>877</v>
      </c>
      <c r="Q1050" s="56">
        <v>900000</v>
      </c>
      <c r="R1050" t="s">
        <v>794</v>
      </c>
      <c r="S1050" t="s">
        <v>743</v>
      </c>
      <c r="T1050" t="s">
        <v>744</v>
      </c>
      <c r="U1050" t="s">
        <v>661</v>
      </c>
      <c r="V1050" t="s">
        <v>23</v>
      </c>
      <c r="W1050" t="s">
        <v>56</v>
      </c>
      <c r="X1050" t="s">
        <v>15</v>
      </c>
      <c r="Y1050" s="56">
        <f>IF(clean[[#This Row],[is_delivered]]="Yes",clean[[#This Row],[net_sales]],0 )</f>
        <v>900000</v>
      </c>
    </row>
    <row r="1051" spans="1:25">
      <c r="A1051" t="s">
        <v>999</v>
      </c>
      <c r="B1051" s="9">
        <v>45678</v>
      </c>
      <c r="C1051" t="s">
        <v>300</v>
      </c>
      <c r="D1051" t="s">
        <v>779</v>
      </c>
      <c r="E1051">
        <v>1</v>
      </c>
      <c r="F1051" s="56">
        <v>150000</v>
      </c>
      <c r="G1051" s="56">
        <v>150000</v>
      </c>
      <c r="H1051" t="s">
        <v>886</v>
      </c>
      <c r="I1051" s="56">
        <v>15000</v>
      </c>
      <c r="J1051" s="56">
        <v>20000</v>
      </c>
      <c r="K1051" s="56">
        <v>155000</v>
      </c>
      <c r="L1051" t="s">
        <v>884</v>
      </c>
      <c r="M1051" t="s">
        <v>874</v>
      </c>
      <c r="N1051" t="s">
        <v>875</v>
      </c>
      <c r="O1051" s="57">
        <v>45658</v>
      </c>
      <c r="P1051" t="s">
        <v>877</v>
      </c>
      <c r="Q1051" s="56">
        <v>135000</v>
      </c>
      <c r="R1051" t="s">
        <v>780</v>
      </c>
      <c r="S1051" t="s">
        <v>739</v>
      </c>
      <c r="T1051" t="s">
        <v>740</v>
      </c>
      <c r="U1051" t="s">
        <v>301</v>
      </c>
      <c r="V1051" t="s">
        <v>7</v>
      </c>
      <c r="W1051" t="s">
        <v>39</v>
      </c>
      <c r="X1051" t="s">
        <v>9</v>
      </c>
      <c r="Y1051" s="56">
        <f>IF(clean[[#This Row],[is_delivered]]="Yes",clean[[#This Row],[net_sales]],0 )</f>
        <v>135000</v>
      </c>
    </row>
    <row r="1052" spans="1:25">
      <c r="A1052" t="s">
        <v>1071</v>
      </c>
      <c r="B1052" s="9">
        <v>45678</v>
      </c>
      <c r="C1052" t="s">
        <v>410</v>
      </c>
      <c r="D1052" t="s">
        <v>835</v>
      </c>
      <c r="E1052">
        <v>1</v>
      </c>
      <c r="F1052" s="56">
        <v>200000</v>
      </c>
      <c r="G1052" s="56">
        <v>200000</v>
      </c>
      <c r="H1052" t="s">
        <v>872</v>
      </c>
      <c r="I1052" s="56">
        <v>0</v>
      </c>
      <c r="J1052" s="56">
        <v>20000</v>
      </c>
      <c r="K1052" s="56">
        <v>220000</v>
      </c>
      <c r="L1052" t="s">
        <v>889</v>
      </c>
      <c r="M1052" t="s">
        <v>881</v>
      </c>
      <c r="N1052" t="s">
        <v>890</v>
      </c>
      <c r="O1052" s="57">
        <v>45658</v>
      </c>
      <c r="P1052" t="s">
        <v>892</v>
      </c>
      <c r="Q1052" s="56">
        <v>200000</v>
      </c>
      <c r="R1052" t="s">
        <v>836</v>
      </c>
      <c r="S1052" t="s">
        <v>731</v>
      </c>
      <c r="T1052" t="s">
        <v>732</v>
      </c>
      <c r="U1052" t="s">
        <v>411</v>
      </c>
      <c r="V1052" t="s">
        <v>7</v>
      </c>
      <c r="W1052" t="s">
        <v>46</v>
      </c>
      <c r="X1052" t="s">
        <v>9</v>
      </c>
      <c r="Y1052" s="56">
        <f>IF(clean[[#This Row],[is_delivered]]="Yes",clean[[#This Row],[net_sales]],0 )</f>
        <v>0</v>
      </c>
    </row>
    <row r="1053" spans="1:25">
      <c r="A1053" t="s">
        <v>1283</v>
      </c>
      <c r="B1053" s="9">
        <v>45678</v>
      </c>
      <c r="C1053" t="s">
        <v>284</v>
      </c>
      <c r="D1053" t="s">
        <v>781</v>
      </c>
      <c r="E1053">
        <v>1</v>
      </c>
      <c r="F1053" s="56">
        <v>50000</v>
      </c>
      <c r="G1053" s="56">
        <v>50000</v>
      </c>
      <c r="H1053" t="s">
        <v>872</v>
      </c>
      <c r="I1053" s="56">
        <v>0</v>
      </c>
      <c r="J1053" s="56">
        <v>20000</v>
      </c>
      <c r="K1053" s="56">
        <v>70000</v>
      </c>
      <c r="L1053" t="s">
        <v>880</v>
      </c>
      <c r="M1053" t="s">
        <v>903</v>
      </c>
      <c r="N1053" t="s">
        <v>875</v>
      </c>
      <c r="O1053" s="57">
        <v>45658</v>
      </c>
      <c r="P1053" t="s">
        <v>877</v>
      </c>
      <c r="Q1053" s="56">
        <v>50000</v>
      </c>
      <c r="R1053" t="s">
        <v>782</v>
      </c>
      <c r="S1053" t="s">
        <v>743</v>
      </c>
      <c r="T1053" t="s">
        <v>744</v>
      </c>
      <c r="U1053" t="s">
        <v>285</v>
      </c>
      <c r="V1053" t="s">
        <v>7</v>
      </c>
      <c r="W1053" t="s">
        <v>137</v>
      </c>
      <c r="X1053" t="s">
        <v>24</v>
      </c>
      <c r="Y1053" s="56">
        <f>IF(clean[[#This Row],[is_delivered]]="Yes",clean[[#This Row],[net_sales]],0 )</f>
        <v>50000</v>
      </c>
    </row>
    <row r="1054" spans="1:25">
      <c r="A1054" t="s">
        <v>1552</v>
      </c>
      <c r="B1054" s="9">
        <v>45678</v>
      </c>
      <c r="C1054" t="s">
        <v>202</v>
      </c>
      <c r="D1054" t="s">
        <v>767</v>
      </c>
      <c r="E1054">
        <v>3</v>
      </c>
      <c r="F1054" s="56">
        <v>150000</v>
      </c>
      <c r="G1054" s="56">
        <v>450000</v>
      </c>
      <c r="H1054" t="s">
        <v>886</v>
      </c>
      <c r="I1054" s="56">
        <v>45000</v>
      </c>
      <c r="J1054" s="56">
        <v>30000</v>
      </c>
      <c r="K1054" s="56">
        <v>435000</v>
      </c>
      <c r="L1054" t="s">
        <v>884</v>
      </c>
      <c r="M1054" t="s">
        <v>903</v>
      </c>
      <c r="N1054" t="s">
        <v>875</v>
      </c>
      <c r="O1054" s="57">
        <v>45658</v>
      </c>
      <c r="P1054" t="s">
        <v>877</v>
      </c>
      <c r="Q1054" s="56">
        <v>405000</v>
      </c>
      <c r="R1054" t="s">
        <v>768</v>
      </c>
      <c r="S1054" t="s">
        <v>739</v>
      </c>
      <c r="T1054" t="s">
        <v>740</v>
      </c>
      <c r="U1054" t="s">
        <v>203</v>
      </c>
      <c r="V1054" t="s">
        <v>7</v>
      </c>
      <c r="W1054" t="s">
        <v>8</v>
      </c>
      <c r="X1054" t="s">
        <v>15</v>
      </c>
      <c r="Y1054" s="56">
        <f>IF(clean[[#This Row],[is_delivered]]="Yes",clean[[#This Row],[net_sales]],0 )</f>
        <v>405000</v>
      </c>
    </row>
    <row r="1055" spans="1:25">
      <c r="A1055" t="s">
        <v>1675</v>
      </c>
      <c r="B1055" s="9">
        <v>45678</v>
      </c>
      <c r="C1055" t="s">
        <v>360</v>
      </c>
      <c r="D1055" t="s">
        <v>765</v>
      </c>
      <c r="E1055">
        <v>1</v>
      </c>
      <c r="F1055" s="56">
        <v>500000</v>
      </c>
      <c r="G1055" s="56">
        <v>500000</v>
      </c>
      <c r="H1055" t="s">
        <v>872</v>
      </c>
      <c r="I1055" s="56">
        <v>0</v>
      </c>
      <c r="J1055" s="56">
        <v>15000</v>
      </c>
      <c r="K1055" s="56">
        <v>515000</v>
      </c>
      <c r="L1055" t="s">
        <v>884</v>
      </c>
      <c r="M1055" t="s">
        <v>874</v>
      </c>
      <c r="N1055" t="s">
        <v>875</v>
      </c>
      <c r="O1055" s="57">
        <v>45658</v>
      </c>
      <c r="P1055" t="s">
        <v>877</v>
      </c>
      <c r="Q1055" s="56">
        <v>500000</v>
      </c>
      <c r="R1055" t="s">
        <v>766</v>
      </c>
      <c r="S1055" t="s">
        <v>735</v>
      </c>
      <c r="T1055" t="s">
        <v>736</v>
      </c>
      <c r="U1055" t="s">
        <v>361</v>
      </c>
      <c r="V1055" t="s">
        <v>23</v>
      </c>
      <c r="W1055" t="s">
        <v>137</v>
      </c>
      <c r="X1055" t="s">
        <v>9</v>
      </c>
      <c r="Y1055" s="56">
        <f>IF(clean[[#This Row],[is_delivered]]="Yes",clean[[#This Row],[net_sales]],0 )</f>
        <v>500000</v>
      </c>
    </row>
    <row r="1056" spans="1:25">
      <c r="A1056" t="s">
        <v>1947</v>
      </c>
      <c r="B1056" s="9">
        <v>45678</v>
      </c>
      <c r="C1056" t="s">
        <v>486</v>
      </c>
      <c r="D1056" t="s">
        <v>755</v>
      </c>
      <c r="E1056">
        <v>4</v>
      </c>
      <c r="F1056" s="56">
        <v>50000</v>
      </c>
      <c r="G1056" s="56">
        <v>200000</v>
      </c>
      <c r="H1056" t="s">
        <v>886</v>
      </c>
      <c r="I1056" s="56">
        <v>20000</v>
      </c>
      <c r="J1056" s="56">
        <v>20000</v>
      </c>
      <c r="K1056" s="56">
        <v>200000</v>
      </c>
      <c r="L1056" t="s">
        <v>880</v>
      </c>
      <c r="M1056" t="s">
        <v>901</v>
      </c>
      <c r="N1056" t="s">
        <v>905</v>
      </c>
      <c r="O1056" s="57">
        <v>45658</v>
      </c>
      <c r="P1056" t="s">
        <v>892</v>
      </c>
      <c r="Q1056" s="56">
        <v>180000</v>
      </c>
      <c r="R1056" t="s">
        <v>756</v>
      </c>
      <c r="S1056" t="s">
        <v>739</v>
      </c>
      <c r="T1056" t="s">
        <v>740</v>
      </c>
      <c r="U1056" t="s">
        <v>487</v>
      </c>
      <c r="V1056" t="s">
        <v>23</v>
      </c>
      <c r="W1056" t="s">
        <v>36</v>
      </c>
      <c r="X1056" t="s">
        <v>24</v>
      </c>
      <c r="Y1056" s="56">
        <f>IF(clean[[#This Row],[is_delivered]]="Yes",clean[[#This Row],[net_sales]],0 )</f>
        <v>0</v>
      </c>
    </row>
    <row r="1057" spans="1:25">
      <c r="A1057" t="s">
        <v>1949</v>
      </c>
      <c r="B1057" s="9">
        <v>45678</v>
      </c>
      <c r="C1057" t="s">
        <v>182</v>
      </c>
      <c r="D1057" t="s">
        <v>783</v>
      </c>
      <c r="E1057">
        <v>4</v>
      </c>
      <c r="F1057" s="56">
        <v>500000</v>
      </c>
      <c r="G1057" s="56">
        <v>2000000</v>
      </c>
      <c r="H1057" t="s">
        <v>879</v>
      </c>
      <c r="I1057" s="56">
        <v>400000</v>
      </c>
      <c r="J1057" s="56">
        <v>15000</v>
      </c>
      <c r="K1057" s="56">
        <v>1615000</v>
      </c>
      <c r="L1057" t="s">
        <v>884</v>
      </c>
      <c r="M1057" t="s">
        <v>881</v>
      </c>
      <c r="N1057" t="s">
        <v>905</v>
      </c>
      <c r="O1057" s="57">
        <v>45658</v>
      </c>
      <c r="P1057" t="s">
        <v>892</v>
      </c>
      <c r="Q1057" s="56">
        <v>1600000</v>
      </c>
      <c r="R1057" t="s">
        <v>784</v>
      </c>
      <c r="S1057" t="s">
        <v>747</v>
      </c>
      <c r="T1057" t="s">
        <v>748</v>
      </c>
      <c r="U1057" t="s">
        <v>183</v>
      </c>
      <c r="V1057" t="s">
        <v>7</v>
      </c>
      <c r="W1057" t="s">
        <v>20</v>
      </c>
      <c r="X1057" t="s">
        <v>9</v>
      </c>
      <c r="Y1057" s="56">
        <f>IF(clean[[#This Row],[is_delivered]]="Yes",clean[[#This Row],[net_sales]],0 )</f>
        <v>0</v>
      </c>
    </row>
    <row r="1058" spans="1:25">
      <c r="A1058" t="s">
        <v>1079</v>
      </c>
      <c r="B1058" s="9">
        <v>45677</v>
      </c>
      <c r="C1058" t="s">
        <v>326</v>
      </c>
      <c r="D1058" t="s">
        <v>737</v>
      </c>
      <c r="E1058">
        <v>3</v>
      </c>
      <c r="F1058" s="56">
        <v>300000</v>
      </c>
      <c r="G1058" s="56">
        <v>900000</v>
      </c>
      <c r="H1058" t="s">
        <v>883</v>
      </c>
      <c r="I1058" s="56">
        <v>90000</v>
      </c>
      <c r="J1058" s="56">
        <v>25000</v>
      </c>
      <c r="K1058" s="56">
        <v>835000</v>
      </c>
      <c r="L1058" t="s">
        <v>889</v>
      </c>
      <c r="M1058" t="s">
        <v>874</v>
      </c>
      <c r="N1058" t="s">
        <v>890</v>
      </c>
      <c r="O1058" s="57">
        <v>45658</v>
      </c>
      <c r="P1058" t="s">
        <v>892</v>
      </c>
      <c r="Q1058" s="56">
        <v>810000</v>
      </c>
      <c r="R1058" t="s">
        <v>738</v>
      </c>
      <c r="S1058" t="s">
        <v>739</v>
      </c>
      <c r="T1058" t="s">
        <v>740</v>
      </c>
      <c r="U1058" t="s">
        <v>327</v>
      </c>
      <c r="V1058" t="s">
        <v>7</v>
      </c>
      <c r="W1058" t="s">
        <v>8</v>
      </c>
      <c r="X1058" t="s">
        <v>9</v>
      </c>
      <c r="Y1058" s="56">
        <f>IF(clean[[#This Row],[is_delivered]]="Yes",clean[[#This Row],[net_sales]],0 )</f>
        <v>0</v>
      </c>
    </row>
    <row r="1059" spans="1:25">
      <c r="A1059" t="s">
        <v>1023</v>
      </c>
      <c r="B1059" s="9">
        <v>45677</v>
      </c>
      <c r="C1059" t="s">
        <v>530</v>
      </c>
      <c r="D1059" t="s">
        <v>755</v>
      </c>
      <c r="E1059">
        <v>1</v>
      </c>
      <c r="F1059" s="56">
        <v>50000</v>
      </c>
      <c r="G1059" s="56">
        <v>50000</v>
      </c>
      <c r="H1059" t="s">
        <v>879</v>
      </c>
      <c r="I1059" s="56">
        <v>10000</v>
      </c>
      <c r="J1059" s="56">
        <v>10000</v>
      </c>
      <c r="K1059" s="56">
        <v>50000</v>
      </c>
      <c r="L1059" t="s">
        <v>884</v>
      </c>
      <c r="M1059" t="s">
        <v>901</v>
      </c>
      <c r="N1059" t="s">
        <v>875</v>
      </c>
      <c r="O1059" s="57">
        <v>45658</v>
      </c>
      <c r="P1059" t="s">
        <v>877</v>
      </c>
      <c r="Q1059" s="56">
        <v>40000</v>
      </c>
      <c r="R1059" t="s">
        <v>756</v>
      </c>
      <c r="S1059" t="s">
        <v>739</v>
      </c>
      <c r="T1059" t="s">
        <v>740</v>
      </c>
      <c r="U1059" t="s">
        <v>531</v>
      </c>
      <c r="V1059" t="s">
        <v>23</v>
      </c>
      <c r="W1059" t="s">
        <v>8</v>
      </c>
      <c r="X1059" t="s">
        <v>9</v>
      </c>
      <c r="Y1059" s="56">
        <f>IF(clean[[#This Row],[is_delivered]]="Yes",clean[[#This Row],[net_sales]],0 )</f>
        <v>40000</v>
      </c>
    </row>
    <row r="1060" spans="1:25">
      <c r="A1060" t="s">
        <v>1716</v>
      </c>
      <c r="B1060" s="9">
        <v>45677</v>
      </c>
      <c r="C1060" t="s">
        <v>376</v>
      </c>
      <c r="D1060" t="s">
        <v>763</v>
      </c>
      <c r="E1060">
        <v>4</v>
      </c>
      <c r="F1060" s="56">
        <v>75000</v>
      </c>
      <c r="G1060" s="56">
        <v>300000</v>
      </c>
      <c r="H1060" t="s">
        <v>886</v>
      </c>
      <c r="I1060" s="56">
        <v>30000</v>
      </c>
      <c r="J1060" s="56">
        <v>20000</v>
      </c>
      <c r="K1060" s="56">
        <v>290000</v>
      </c>
      <c r="L1060" t="s">
        <v>880</v>
      </c>
      <c r="M1060" t="s">
        <v>903</v>
      </c>
      <c r="N1060" t="s">
        <v>875</v>
      </c>
      <c r="O1060" s="57">
        <v>45658</v>
      </c>
      <c r="P1060" t="s">
        <v>877</v>
      </c>
      <c r="Q1060" s="56">
        <v>270000</v>
      </c>
      <c r="R1060" t="s">
        <v>764</v>
      </c>
      <c r="S1060" t="s">
        <v>731</v>
      </c>
      <c r="T1060" t="s">
        <v>732</v>
      </c>
      <c r="U1060" t="s">
        <v>377</v>
      </c>
      <c r="V1060" t="s">
        <v>7</v>
      </c>
      <c r="W1060" t="s">
        <v>8</v>
      </c>
      <c r="X1060" t="s">
        <v>9</v>
      </c>
      <c r="Y1060" s="56">
        <f>IF(clean[[#This Row],[is_delivered]]="Yes",clean[[#This Row],[net_sales]],0 )</f>
        <v>270000</v>
      </c>
    </row>
    <row r="1061" spans="1:25">
      <c r="A1061" t="s">
        <v>1770</v>
      </c>
      <c r="B1061" s="9">
        <v>45677</v>
      </c>
      <c r="C1061" t="s">
        <v>113</v>
      </c>
      <c r="D1061" t="s">
        <v>753</v>
      </c>
      <c r="E1061">
        <v>1</v>
      </c>
      <c r="F1061" s="56">
        <v>300000</v>
      </c>
      <c r="G1061" s="56">
        <v>300000</v>
      </c>
      <c r="H1061" t="s">
        <v>879</v>
      </c>
      <c r="I1061" s="56">
        <v>60000</v>
      </c>
      <c r="J1061" s="56">
        <v>20000</v>
      </c>
      <c r="K1061" s="56">
        <v>260000</v>
      </c>
      <c r="L1061" t="s">
        <v>889</v>
      </c>
      <c r="M1061" t="s">
        <v>903</v>
      </c>
      <c r="N1061" t="s">
        <v>875</v>
      </c>
      <c r="O1061" s="57">
        <v>45658</v>
      </c>
      <c r="P1061" t="s">
        <v>877</v>
      </c>
      <c r="Q1061" s="56">
        <v>240000</v>
      </c>
      <c r="R1061" t="s">
        <v>754</v>
      </c>
      <c r="S1061" t="s">
        <v>735</v>
      </c>
      <c r="T1061" t="s">
        <v>736</v>
      </c>
      <c r="U1061" t="s">
        <v>114</v>
      </c>
      <c r="V1061" t="s">
        <v>23</v>
      </c>
      <c r="W1061" t="s">
        <v>39</v>
      </c>
      <c r="X1061" t="s">
        <v>24</v>
      </c>
      <c r="Y1061" s="56">
        <f>IF(clean[[#This Row],[is_delivered]]="Yes",clean[[#This Row],[net_sales]],0 )</f>
        <v>240000</v>
      </c>
    </row>
    <row r="1062" spans="1:25">
      <c r="A1062" t="s">
        <v>1785</v>
      </c>
      <c r="B1062" s="9">
        <v>45677</v>
      </c>
      <c r="C1062" t="s">
        <v>600</v>
      </c>
      <c r="D1062" t="s">
        <v>841</v>
      </c>
      <c r="E1062">
        <v>4</v>
      </c>
      <c r="F1062" s="56">
        <v>75000</v>
      </c>
      <c r="G1062" s="56">
        <v>300000</v>
      </c>
      <c r="H1062" t="s">
        <v>879</v>
      </c>
      <c r="I1062" s="56">
        <v>60000</v>
      </c>
      <c r="J1062" s="56">
        <v>25000</v>
      </c>
      <c r="K1062" s="56">
        <v>265000</v>
      </c>
      <c r="L1062" t="s">
        <v>873</v>
      </c>
      <c r="M1062" t="s">
        <v>874</v>
      </c>
      <c r="N1062" t="s">
        <v>875</v>
      </c>
      <c r="O1062" s="57">
        <v>45658</v>
      </c>
      <c r="P1062" t="s">
        <v>877</v>
      </c>
      <c r="Q1062" s="56">
        <v>240000</v>
      </c>
      <c r="R1062" t="s">
        <v>842</v>
      </c>
      <c r="S1062" t="s">
        <v>743</v>
      </c>
      <c r="T1062" t="s">
        <v>744</v>
      </c>
      <c r="U1062" t="s">
        <v>601</v>
      </c>
      <c r="V1062" t="s">
        <v>23</v>
      </c>
      <c r="W1062" t="s">
        <v>20</v>
      </c>
      <c r="X1062" t="s">
        <v>9</v>
      </c>
      <c r="Y1062" s="56">
        <f>IF(clean[[#This Row],[is_delivered]]="Yes",clean[[#This Row],[net_sales]],0 )</f>
        <v>240000</v>
      </c>
    </row>
    <row r="1063" spans="1:25">
      <c r="A1063" t="s">
        <v>1115</v>
      </c>
      <c r="B1063" s="9">
        <v>45676</v>
      </c>
      <c r="C1063" t="s">
        <v>682</v>
      </c>
      <c r="D1063" t="s">
        <v>751</v>
      </c>
      <c r="E1063">
        <v>2</v>
      </c>
      <c r="F1063" s="56">
        <v>150000</v>
      </c>
      <c r="G1063" s="56">
        <v>300000</v>
      </c>
      <c r="H1063" t="s">
        <v>872</v>
      </c>
      <c r="I1063" s="56">
        <v>0</v>
      </c>
      <c r="J1063" s="56">
        <v>15000</v>
      </c>
      <c r="K1063" s="56">
        <v>315000</v>
      </c>
      <c r="L1063" t="s">
        <v>873</v>
      </c>
      <c r="M1063" t="s">
        <v>874</v>
      </c>
      <c r="N1063" t="s">
        <v>890</v>
      </c>
      <c r="O1063" s="57">
        <v>45658</v>
      </c>
      <c r="P1063" t="s">
        <v>892</v>
      </c>
      <c r="Q1063" s="56">
        <v>300000</v>
      </c>
      <c r="R1063" t="s">
        <v>752</v>
      </c>
      <c r="S1063" t="s">
        <v>731</v>
      </c>
      <c r="T1063" t="s">
        <v>732</v>
      </c>
      <c r="U1063" t="s">
        <v>683</v>
      </c>
      <c r="V1063" t="s">
        <v>7</v>
      </c>
      <c r="W1063" t="s">
        <v>137</v>
      </c>
      <c r="X1063" t="s">
        <v>9</v>
      </c>
      <c r="Y1063" s="56">
        <f>IF(clean[[#This Row],[is_delivered]]="Yes",clean[[#This Row],[net_sales]],0 )</f>
        <v>0</v>
      </c>
    </row>
    <row r="1064" spans="1:25">
      <c r="A1064" t="s">
        <v>1360</v>
      </c>
      <c r="B1064" s="9">
        <v>45676</v>
      </c>
      <c r="C1064" t="s">
        <v>230</v>
      </c>
      <c r="D1064" t="s">
        <v>777</v>
      </c>
      <c r="E1064">
        <v>2</v>
      </c>
      <c r="F1064" s="56">
        <v>200000</v>
      </c>
      <c r="G1064" s="56">
        <v>400000</v>
      </c>
      <c r="H1064" t="s">
        <v>895</v>
      </c>
      <c r="I1064" s="56">
        <v>60000</v>
      </c>
      <c r="J1064" s="56">
        <v>25000</v>
      </c>
      <c r="K1064" s="56">
        <v>365000</v>
      </c>
      <c r="L1064" t="s">
        <v>889</v>
      </c>
      <c r="M1064" t="s">
        <v>874</v>
      </c>
      <c r="N1064" t="s">
        <v>890</v>
      </c>
      <c r="O1064" s="57">
        <v>45658</v>
      </c>
      <c r="P1064" t="s">
        <v>892</v>
      </c>
      <c r="Q1064" s="56">
        <v>340000</v>
      </c>
      <c r="R1064" t="s">
        <v>778</v>
      </c>
      <c r="S1064" t="s">
        <v>735</v>
      </c>
      <c r="T1064" t="s">
        <v>736</v>
      </c>
      <c r="U1064" t="s">
        <v>231</v>
      </c>
      <c r="V1064" t="s">
        <v>7</v>
      </c>
      <c r="W1064" t="s">
        <v>36</v>
      </c>
      <c r="X1064" t="s">
        <v>24</v>
      </c>
      <c r="Y1064" s="56">
        <f>IF(clean[[#This Row],[is_delivered]]="Yes",clean[[#This Row],[net_sales]],0 )</f>
        <v>0</v>
      </c>
    </row>
    <row r="1065" spans="1:25">
      <c r="A1065" t="s">
        <v>1389</v>
      </c>
      <c r="B1065" s="9">
        <v>45676</v>
      </c>
      <c r="C1065" t="s">
        <v>222</v>
      </c>
      <c r="D1065" t="s">
        <v>789</v>
      </c>
      <c r="E1065">
        <v>2</v>
      </c>
      <c r="F1065" s="56">
        <v>200000</v>
      </c>
      <c r="G1065" s="56">
        <v>400000</v>
      </c>
      <c r="H1065" t="s">
        <v>872</v>
      </c>
      <c r="I1065" s="56">
        <v>0</v>
      </c>
      <c r="J1065" s="56">
        <v>25000</v>
      </c>
      <c r="K1065" s="56">
        <v>425000</v>
      </c>
      <c r="L1065" t="s">
        <v>873</v>
      </c>
      <c r="M1065" t="s">
        <v>901</v>
      </c>
      <c r="N1065" t="s">
        <v>890</v>
      </c>
      <c r="O1065" s="57">
        <v>45658</v>
      </c>
      <c r="P1065" t="s">
        <v>892</v>
      </c>
      <c r="Q1065" s="56">
        <v>400000</v>
      </c>
      <c r="R1065" t="s">
        <v>790</v>
      </c>
      <c r="S1065" t="s">
        <v>735</v>
      </c>
      <c r="T1065" t="s">
        <v>736</v>
      </c>
      <c r="U1065" t="s">
        <v>223</v>
      </c>
      <c r="V1065" t="s">
        <v>7</v>
      </c>
      <c r="W1065" t="s">
        <v>137</v>
      </c>
      <c r="X1065" t="s">
        <v>9</v>
      </c>
      <c r="Y1065" s="56">
        <f>IF(clean[[#This Row],[is_delivered]]="Yes",clean[[#This Row],[net_sales]],0 )</f>
        <v>0</v>
      </c>
    </row>
    <row r="1066" spans="1:25">
      <c r="A1066" t="s">
        <v>1728</v>
      </c>
      <c r="B1066" s="9">
        <v>45676</v>
      </c>
      <c r="C1066" t="s">
        <v>222</v>
      </c>
      <c r="D1066" t="s">
        <v>751</v>
      </c>
      <c r="E1066">
        <v>2</v>
      </c>
      <c r="F1066" s="56">
        <v>150000</v>
      </c>
      <c r="G1066" s="56">
        <v>300000</v>
      </c>
      <c r="H1066" t="s">
        <v>879</v>
      </c>
      <c r="I1066" s="56">
        <v>60000</v>
      </c>
      <c r="J1066" s="56">
        <v>30000</v>
      </c>
      <c r="K1066" s="56">
        <v>270000</v>
      </c>
      <c r="L1066" t="s">
        <v>889</v>
      </c>
      <c r="M1066" t="s">
        <v>881</v>
      </c>
      <c r="N1066" t="s">
        <v>905</v>
      </c>
      <c r="O1066" s="57">
        <v>45658</v>
      </c>
      <c r="P1066" t="s">
        <v>892</v>
      </c>
      <c r="Q1066" s="56">
        <v>240000</v>
      </c>
      <c r="R1066" t="s">
        <v>752</v>
      </c>
      <c r="S1066" t="s">
        <v>731</v>
      </c>
      <c r="T1066" t="s">
        <v>732</v>
      </c>
      <c r="U1066" t="s">
        <v>223</v>
      </c>
      <c r="V1066" t="s">
        <v>7</v>
      </c>
      <c r="W1066" t="s">
        <v>137</v>
      </c>
      <c r="X1066" t="s">
        <v>9</v>
      </c>
      <c r="Y1066" s="56">
        <f>IF(clean[[#This Row],[is_delivered]]="Yes",clean[[#This Row],[net_sales]],0 )</f>
        <v>0</v>
      </c>
    </row>
    <row r="1067" spans="1:25">
      <c r="A1067" t="s">
        <v>1961</v>
      </c>
      <c r="B1067" s="9">
        <v>45676</v>
      </c>
      <c r="C1067" t="s">
        <v>150</v>
      </c>
      <c r="D1067" t="s">
        <v>813</v>
      </c>
      <c r="E1067">
        <v>1</v>
      </c>
      <c r="F1067" s="56">
        <v>35000</v>
      </c>
      <c r="G1067" s="56">
        <v>35000</v>
      </c>
      <c r="H1067" t="s">
        <v>895</v>
      </c>
      <c r="I1067" s="56">
        <v>5250</v>
      </c>
      <c r="J1067" s="56">
        <v>30000</v>
      </c>
      <c r="K1067" s="56">
        <v>59750</v>
      </c>
      <c r="L1067" t="s">
        <v>889</v>
      </c>
      <c r="M1067" t="s">
        <v>901</v>
      </c>
      <c r="N1067" t="s">
        <v>875</v>
      </c>
      <c r="O1067" s="57">
        <v>45658</v>
      </c>
      <c r="P1067" t="s">
        <v>877</v>
      </c>
      <c r="Q1067" s="56">
        <v>29750</v>
      </c>
      <c r="R1067" t="s">
        <v>814</v>
      </c>
      <c r="S1067" t="s">
        <v>735</v>
      </c>
      <c r="T1067" t="s">
        <v>736</v>
      </c>
      <c r="U1067" t="s">
        <v>151</v>
      </c>
      <c r="V1067" t="s">
        <v>23</v>
      </c>
      <c r="W1067" t="s">
        <v>29</v>
      </c>
      <c r="X1067" t="s">
        <v>15</v>
      </c>
      <c r="Y1067" s="56">
        <f>IF(clean[[#This Row],[is_delivered]]="Yes",clean[[#This Row],[net_sales]],0 )</f>
        <v>29750</v>
      </c>
    </row>
    <row r="1068" spans="1:25">
      <c r="A1068" t="s">
        <v>1990</v>
      </c>
      <c r="B1068" s="9">
        <v>45676</v>
      </c>
      <c r="C1068" t="s">
        <v>434</v>
      </c>
      <c r="D1068" t="s">
        <v>797</v>
      </c>
      <c r="E1068">
        <v>1</v>
      </c>
      <c r="F1068" s="56">
        <v>150000</v>
      </c>
      <c r="G1068" s="56">
        <v>150000</v>
      </c>
      <c r="H1068" t="s">
        <v>886</v>
      </c>
      <c r="I1068" s="56">
        <v>15000</v>
      </c>
      <c r="J1068" s="56">
        <v>15000</v>
      </c>
      <c r="K1068" s="56">
        <v>150000</v>
      </c>
      <c r="L1068" t="s">
        <v>884</v>
      </c>
      <c r="M1068" t="s">
        <v>903</v>
      </c>
      <c r="N1068" t="s">
        <v>875</v>
      </c>
      <c r="O1068" s="57">
        <v>45658</v>
      </c>
      <c r="P1068" t="s">
        <v>877</v>
      </c>
      <c r="Q1068" s="56">
        <v>135000</v>
      </c>
      <c r="R1068" t="s">
        <v>798</v>
      </c>
      <c r="S1068" t="s">
        <v>727</v>
      </c>
      <c r="T1068" t="s">
        <v>728</v>
      </c>
      <c r="U1068" t="s">
        <v>435</v>
      </c>
      <c r="V1068" t="s">
        <v>23</v>
      </c>
      <c r="W1068" t="s">
        <v>137</v>
      </c>
      <c r="X1068" t="s">
        <v>9</v>
      </c>
      <c r="Y1068" s="56">
        <f>IF(clean[[#This Row],[is_delivered]]="Yes",clean[[#This Row],[net_sales]],0 )</f>
        <v>135000</v>
      </c>
    </row>
    <row r="1069" spans="1:25">
      <c r="A1069" t="s">
        <v>2044</v>
      </c>
      <c r="B1069" s="9">
        <v>45676</v>
      </c>
      <c r="C1069" t="s">
        <v>330</v>
      </c>
      <c r="D1069" t="s">
        <v>769</v>
      </c>
      <c r="E1069">
        <v>2</v>
      </c>
      <c r="F1069" s="56">
        <v>100000</v>
      </c>
      <c r="G1069" s="56">
        <v>200000</v>
      </c>
      <c r="H1069" t="s">
        <v>883</v>
      </c>
      <c r="I1069" s="56">
        <v>20000</v>
      </c>
      <c r="J1069" s="56">
        <v>20000</v>
      </c>
      <c r="K1069" s="56">
        <v>200000</v>
      </c>
      <c r="L1069" t="s">
        <v>880</v>
      </c>
      <c r="M1069" t="s">
        <v>901</v>
      </c>
      <c r="N1069" t="s">
        <v>875</v>
      </c>
      <c r="O1069" s="57">
        <v>45658</v>
      </c>
      <c r="P1069" t="s">
        <v>877</v>
      </c>
      <c r="Q1069" s="56">
        <v>180000</v>
      </c>
      <c r="R1069" t="s">
        <v>770</v>
      </c>
      <c r="S1069" t="s">
        <v>743</v>
      </c>
      <c r="T1069" t="s">
        <v>744</v>
      </c>
      <c r="U1069" t="s">
        <v>331</v>
      </c>
      <c r="V1069" t="s">
        <v>7</v>
      </c>
      <c r="W1069" t="s">
        <v>29</v>
      </c>
      <c r="X1069" t="s">
        <v>9</v>
      </c>
      <c r="Y1069" s="56">
        <f>IF(clean[[#This Row],[is_delivered]]="Yes",clean[[#This Row],[net_sales]],0 )</f>
        <v>180000</v>
      </c>
    </row>
    <row r="1070" spans="1:25">
      <c r="A1070" t="s">
        <v>2071</v>
      </c>
      <c r="B1070" s="9">
        <v>45676</v>
      </c>
      <c r="C1070" t="s">
        <v>458</v>
      </c>
      <c r="D1070" t="s">
        <v>827</v>
      </c>
      <c r="E1070">
        <v>1</v>
      </c>
      <c r="F1070" s="56">
        <v>100000</v>
      </c>
      <c r="G1070" s="56">
        <v>100000</v>
      </c>
      <c r="H1070" t="s">
        <v>883</v>
      </c>
      <c r="I1070" s="56">
        <v>10000</v>
      </c>
      <c r="J1070" s="56">
        <v>25000</v>
      </c>
      <c r="K1070" s="56">
        <v>115000</v>
      </c>
      <c r="L1070" t="s">
        <v>889</v>
      </c>
      <c r="M1070" t="s">
        <v>903</v>
      </c>
      <c r="N1070" t="s">
        <v>875</v>
      </c>
      <c r="O1070" s="57">
        <v>45658</v>
      </c>
      <c r="P1070" t="s">
        <v>877</v>
      </c>
      <c r="Q1070" s="56">
        <v>90000</v>
      </c>
      <c r="R1070" t="s">
        <v>828</v>
      </c>
      <c r="S1070" t="s">
        <v>739</v>
      </c>
      <c r="T1070" t="s">
        <v>740</v>
      </c>
      <c r="U1070" t="s">
        <v>459</v>
      </c>
      <c r="V1070" t="s">
        <v>23</v>
      </c>
      <c r="W1070" t="s">
        <v>20</v>
      </c>
      <c r="X1070" t="s">
        <v>15</v>
      </c>
      <c r="Y1070" s="56">
        <f>IF(clean[[#This Row],[is_delivered]]="Yes",clean[[#This Row],[net_sales]],0 )</f>
        <v>90000</v>
      </c>
    </row>
    <row r="1071" spans="1:25">
      <c r="A1071" t="s">
        <v>1167</v>
      </c>
      <c r="B1071" s="9">
        <v>45675</v>
      </c>
      <c r="C1071" t="s">
        <v>13</v>
      </c>
      <c r="D1071" t="s">
        <v>791</v>
      </c>
      <c r="E1071">
        <v>3</v>
      </c>
      <c r="F1071" s="56">
        <v>50000</v>
      </c>
      <c r="G1071" s="56">
        <v>150000</v>
      </c>
      <c r="H1071" t="s">
        <v>886</v>
      </c>
      <c r="I1071" s="56">
        <v>15000</v>
      </c>
      <c r="J1071" s="56">
        <v>10000</v>
      </c>
      <c r="K1071" s="56">
        <v>145000</v>
      </c>
      <c r="L1071" t="s">
        <v>884</v>
      </c>
      <c r="M1071" t="s">
        <v>874</v>
      </c>
      <c r="N1071" t="s">
        <v>875</v>
      </c>
      <c r="O1071" s="57">
        <v>45658</v>
      </c>
      <c r="P1071" t="s">
        <v>877</v>
      </c>
      <c r="Q1071" s="56">
        <v>135000</v>
      </c>
      <c r="R1071" t="s">
        <v>792</v>
      </c>
      <c r="S1071" t="s">
        <v>739</v>
      </c>
      <c r="T1071" t="s">
        <v>740</v>
      </c>
      <c r="U1071" t="s">
        <v>14</v>
      </c>
      <c r="V1071" t="s">
        <v>7</v>
      </c>
      <c r="W1071" t="s">
        <v>8</v>
      </c>
      <c r="X1071" t="s">
        <v>15</v>
      </c>
      <c r="Y1071" s="56">
        <f>IF(clean[[#This Row],[is_delivered]]="Yes",clean[[#This Row],[net_sales]],0 )</f>
        <v>135000</v>
      </c>
    </row>
    <row r="1072" spans="1:25">
      <c r="A1072" t="s">
        <v>929</v>
      </c>
      <c r="B1072" s="9">
        <v>45675</v>
      </c>
      <c r="C1072" t="s">
        <v>210</v>
      </c>
      <c r="D1072" t="s">
        <v>805</v>
      </c>
      <c r="E1072">
        <v>1</v>
      </c>
      <c r="F1072" s="56">
        <v>200000</v>
      </c>
      <c r="G1072" s="56">
        <v>200000</v>
      </c>
      <c r="H1072" t="s">
        <v>872</v>
      </c>
      <c r="I1072" s="56">
        <v>0</v>
      </c>
      <c r="J1072" s="56">
        <v>30000</v>
      </c>
      <c r="K1072" s="56">
        <v>230000</v>
      </c>
      <c r="L1072" t="s">
        <v>884</v>
      </c>
      <c r="M1072" t="s">
        <v>903</v>
      </c>
      <c r="N1072" t="s">
        <v>921</v>
      </c>
      <c r="O1072" s="57">
        <v>45658</v>
      </c>
      <c r="P1072" t="s">
        <v>892</v>
      </c>
      <c r="Q1072" s="56">
        <v>200000</v>
      </c>
      <c r="R1072" t="s">
        <v>806</v>
      </c>
      <c r="S1072" t="s">
        <v>743</v>
      </c>
      <c r="T1072" t="s">
        <v>744</v>
      </c>
      <c r="U1072" t="s">
        <v>211</v>
      </c>
      <c r="V1072" t="s">
        <v>23</v>
      </c>
      <c r="W1072" t="s">
        <v>56</v>
      </c>
      <c r="X1072" t="s">
        <v>15</v>
      </c>
      <c r="Y1072" s="56">
        <f>IF(clean[[#This Row],[is_delivered]]="Yes",clean[[#This Row],[net_sales]],0 )</f>
        <v>0</v>
      </c>
    </row>
    <row r="1073" spans="1:25">
      <c r="A1073" t="s">
        <v>1350</v>
      </c>
      <c r="B1073" s="9">
        <v>45675</v>
      </c>
      <c r="C1073" t="s">
        <v>244</v>
      </c>
      <c r="D1073" t="s">
        <v>853</v>
      </c>
      <c r="E1073">
        <v>1</v>
      </c>
      <c r="F1073" s="56">
        <v>75000</v>
      </c>
      <c r="G1073" s="56">
        <v>75000</v>
      </c>
      <c r="H1073" t="s">
        <v>872</v>
      </c>
      <c r="I1073" s="56">
        <v>0</v>
      </c>
      <c r="J1073" s="56">
        <v>25000</v>
      </c>
      <c r="K1073" s="56">
        <v>100000</v>
      </c>
      <c r="L1073" t="s">
        <v>889</v>
      </c>
      <c r="M1073" t="s">
        <v>901</v>
      </c>
      <c r="N1073" t="s">
        <v>875</v>
      </c>
      <c r="O1073" s="57">
        <v>45658</v>
      </c>
      <c r="P1073" t="s">
        <v>877</v>
      </c>
      <c r="Q1073" s="56">
        <v>75000</v>
      </c>
      <c r="R1073" t="s">
        <v>854</v>
      </c>
      <c r="S1073" t="s">
        <v>743</v>
      </c>
      <c r="T1073" t="s">
        <v>744</v>
      </c>
      <c r="U1073" t="s">
        <v>245</v>
      </c>
      <c r="V1073" t="s">
        <v>7</v>
      </c>
      <c r="W1073" t="s">
        <v>46</v>
      </c>
      <c r="X1073" t="s">
        <v>9</v>
      </c>
      <c r="Y1073" s="56">
        <f>IF(clean[[#This Row],[is_delivered]]="Yes",clean[[#This Row],[net_sales]],0 )</f>
        <v>75000</v>
      </c>
    </row>
    <row r="1074" spans="1:25">
      <c r="A1074" t="s">
        <v>1406</v>
      </c>
      <c r="B1074" s="9">
        <v>45675</v>
      </c>
      <c r="C1074" t="s">
        <v>198</v>
      </c>
      <c r="D1074" t="s">
        <v>841</v>
      </c>
      <c r="E1074">
        <v>4</v>
      </c>
      <c r="F1074" s="56">
        <v>75000</v>
      </c>
      <c r="G1074" s="56">
        <v>300000</v>
      </c>
      <c r="H1074" t="s">
        <v>879</v>
      </c>
      <c r="I1074" s="56">
        <v>60000</v>
      </c>
      <c r="J1074" s="56">
        <v>15000</v>
      </c>
      <c r="K1074" s="56">
        <v>255000</v>
      </c>
      <c r="L1074" t="s">
        <v>889</v>
      </c>
      <c r="M1074" t="s">
        <v>903</v>
      </c>
      <c r="N1074" t="s">
        <v>911</v>
      </c>
      <c r="O1074" s="57">
        <v>45658</v>
      </c>
      <c r="P1074" t="s">
        <v>892</v>
      </c>
      <c r="Q1074" s="56">
        <v>240000</v>
      </c>
      <c r="R1074" t="s">
        <v>842</v>
      </c>
      <c r="S1074" t="s">
        <v>743</v>
      </c>
      <c r="T1074" t="s">
        <v>744</v>
      </c>
      <c r="U1074" t="s">
        <v>199</v>
      </c>
      <c r="V1074" t="s">
        <v>23</v>
      </c>
      <c r="W1074" t="s">
        <v>39</v>
      </c>
      <c r="X1074" t="s">
        <v>15</v>
      </c>
      <c r="Y1074" s="56">
        <f>IF(clean[[#This Row],[is_delivered]]="Yes",clean[[#This Row],[net_sales]],0 )</f>
        <v>0</v>
      </c>
    </row>
    <row r="1075" spans="1:25">
      <c r="A1075" t="s">
        <v>1468</v>
      </c>
      <c r="B1075" s="9">
        <v>45675</v>
      </c>
      <c r="C1075" t="s">
        <v>672</v>
      </c>
      <c r="D1075" t="s">
        <v>725</v>
      </c>
      <c r="E1075">
        <v>4</v>
      </c>
      <c r="F1075" s="56">
        <v>300000</v>
      </c>
      <c r="G1075" s="56">
        <v>1200000</v>
      </c>
      <c r="H1075" t="s">
        <v>872</v>
      </c>
      <c r="I1075" s="56">
        <v>0</v>
      </c>
      <c r="J1075" s="56">
        <v>20000</v>
      </c>
      <c r="K1075" s="56">
        <v>1220000</v>
      </c>
      <c r="L1075" t="s">
        <v>889</v>
      </c>
      <c r="M1075" t="s">
        <v>874</v>
      </c>
      <c r="N1075" t="s">
        <v>875</v>
      </c>
      <c r="O1075" s="57">
        <v>45658</v>
      </c>
      <c r="P1075" t="s">
        <v>877</v>
      </c>
      <c r="Q1075" s="56">
        <v>1200000</v>
      </c>
      <c r="R1075" t="s">
        <v>726</v>
      </c>
      <c r="S1075" t="s">
        <v>727</v>
      </c>
      <c r="T1075" t="s">
        <v>728</v>
      </c>
      <c r="U1075" t="s">
        <v>673</v>
      </c>
      <c r="V1075" t="s">
        <v>7</v>
      </c>
      <c r="W1075" t="s">
        <v>51</v>
      </c>
      <c r="X1075" t="s">
        <v>9</v>
      </c>
      <c r="Y1075" s="56">
        <f>IF(clean[[#This Row],[is_delivered]]="Yes",clean[[#This Row],[net_sales]],0 )</f>
        <v>1200000</v>
      </c>
    </row>
    <row r="1076" spans="1:25">
      <c r="A1076" t="s">
        <v>1661</v>
      </c>
      <c r="B1076" s="9">
        <v>45675</v>
      </c>
      <c r="C1076" t="s">
        <v>164</v>
      </c>
      <c r="D1076" t="s">
        <v>801</v>
      </c>
      <c r="E1076">
        <v>2</v>
      </c>
      <c r="F1076" s="56">
        <v>100000</v>
      </c>
      <c r="G1076" s="56">
        <v>200000</v>
      </c>
      <c r="H1076" t="s">
        <v>895</v>
      </c>
      <c r="I1076" s="56">
        <v>30000</v>
      </c>
      <c r="J1076" s="56">
        <v>30000</v>
      </c>
      <c r="K1076" s="56">
        <v>200000</v>
      </c>
      <c r="L1076" t="s">
        <v>880</v>
      </c>
      <c r="M1076" t="s">
        <v>903</v>
      </c>
      <c r="N1076" t="s">
        <v>890</v>
      </c>
      <c r="O1076" s="57">
        <v>45658</v>
      </c>
      <c r="P1076" t="s">
        <v>892</v>
      </c>
      <c r="Q1076" s="56">
        <v>170000</v>
      </c>
      <c r="R1076" t="s">
        <v>802</v>
      </c>
      <c r="S1076" t="s">
        <v>735</v>
      </c>
      <c r="T1076" t="s">
        <v>736</v>
      </c>
      <c r="U1076" t="s">
        <v>165</v>
      </c>
      <c r="V1076" t="s">
        <v>7</v>
      </c>
      <c r="W1076" t="s">
        <v>51</v>
      </c>
      <c r="X1076" t="s">
        <v>24</v>
      </c>
      <c r="Y1076" s="56">
        <f>IF(clean[[#This Row],[is_delivered]]="Yes",clean[[#This Row],[net_sales]],0 )</f>
        <v>0</v>
      </c>
    </row>
    <row r="1077" spans="1:25">
      <c r="A1077" t="s">
        <v>1681</v>
      </c>
      <c r="B1077" s="9">
        <v>45675</v>
      </c>
      <c r="C1077" t="s">
        <v>105</v>
      </c>
      <c r="D1077" t="s">
        <v>759</v>
      </c>
      <c r="E1077">
        <v>1</v>
      </c>
      <c r="F1077" s="56">
        <v>300000</v>
      </c>
      <c r="G1077" s="56">
        <v>300000</v>
      </c>
      <c r="H1077" t="s">
        <v>872</v>
      </c>
      <c r="I1077" s="56">
        <v>0</v>
      </c>
      <c r="J1077" s="56">
        <v>15000</v>
      </c>
      <c r="K1077" s="56">
        <v>315000</v>
      </c>
      <c r="L1077" t="s">
        <v>873</v>
      </c>
      <c r="M1077" t="s">
        <v>881</v>
      </c>
      <c r="N1077" t="s">
        <v>921</v>
      </c>
      <c r="O1077" s="57">
        <v>45658</v>
      </c>
      <c r="P1077" t="s">
        <v>892</v>
      </c>
      <c r="Q1077" s="56">
        <v>300000</v>
      </c>
      <c r="R1077" t="s">
        <v>760</v>
      </c>
      <c r="S1077" t="s">
        <v>747</v>
      </c>
      <c r="T1077" t="s">
        <v>748</v>
      </c>
      <c r="U1077" t="s">
        <v>106</v>
      </c>
      <c r="V1077" t="s">
        <v>23</v>
      </c>
      <c r="W1077" t="s">
        <v>8</v>
      </c>
      <c r="X1077" t="s">
        <v>15</v>
      </c>
      <c r="Y1077" s="56">
        <f>IF(clean[[#This Row],[is_delivered]]="Yes",clean[[#This Row],[net_sales]],0 )</f>
        <v>0</v>
      </c>
    </row>
    <row r="1078" spans="1:25">
      <c r="A1078" t="s">
        <v>2001</v>
      </c>
      <c r="B1078" s="9">
        <v>45675</v>
      </c>
      <c r="C1078" t="s">
        <v>172</v>
      </c>
      <c r="D1078" t="s">
        <v>825</v>
      </c>
      <c r="E1078">
        <v>1</v>
      </c>
      <c r="F1078" s="56">
        <v>100000</v>
      </c>
      <c r="G1078" s="56">
        <v>100000</v>
      </c>
      <c r="H1078" t="s">
        <v>886</v>
      </c>
      <c r="I1078" s="56">
        <v>10000</v>
      </c>
      <c r="J1078" s="56">
        <v>25000</v>
      </c>
      <c r="K1078" s="56">
        <v>115000</v>
      </c>
      <c r="L1078" t="s">
        <v>880</v>
      </c>
      <c r="M1078" t="s">
        <v>881</v>
      </c>
      <c r="N1078" t="s">
        <v>875</v>
      </c>
      <c r="O1078" s="57">
        <v>45658</v>
      </c>
      <c r="P1078" t="s">
        <v>877</v>
      </c>
      <c r="Q1078" s="56">
        <v>90000</v>
      </c>
      <c r="R1078" t="s">
        <v>826</v>
      </c>
      <c r="S1078" t="s">
        <v>735</v>
      </c>
      <c r="T1078" t="s">
        <v>736</v>
      </c>
      <c r="U1078" t="s">
        <v>173</v>
      </c>
      <c r="V1078" t="s">
        <v>7</v>
      </c>
      <c r="W1078" t="s">
        <v>56</v>
      </c>
      <c r="X1078" t="s">
        <v>9</v>
      </c>
      <c r="Y1078" s="56">
        <f>IF(clean[[#This Row],[is_delivered]]="Yes",clean[[#This Row],[net_sales]],0 )</f>
        <v>90000</v>
      </c>
    </row>
    <row r="1079" spans="1:25">
      <c r="A1079" t="s">
        <v>947</v>
      </c>
      <c r="B1079" s="9">
        <v>45674</v>
      </c>
      <c r="C1079" t="s">
        <v>464</v>
      </c>
      <c r="D1079" t="s">
        <v>803</v>
      </c>
      <c r="E1079">
        <v>2</v>
      </c>
      <c r="F1079" s="56">
        <v>50000</v>
      </c>
      <c r="G1079" s="56">
        <v>100000</v>
      </c>
      <c r="H1079" t="s">
        <v>872</v>
      </c>
      <c r="I1079" s="56">
        <v>0</v>
      </c>
      <c r="J1079" s="56">
        <v>15000</v>
      </c>
      <c r="K1079" s="56">
        <v>115000</v>
      </c>
      <c r="L1079" t="s">
        <v>880</v>
      </c>
      <c r="M1079" t="s">
        <v>874</v>
      </c>
      <c r="N1079" t="s">
        <v>875</v>
      </c>
      <c r="O1079" s="57">
        <v>45658</v>
      </c>
      <c r="P1079" t="s">
        <v>877</v>
      </c>
      <c r="Q1079" s="56">
        <v>100000</v>
      </c>
      <c r="R1079" t="s">
        <v>804</v>
      </c>
      <c r="S1079" t="s">
        <v>739</v>
      </c>
      <c r="T1079" t="s">
        <v>740</v>
      </c>
      <c r="U1079" t="s">
        <v>465</v>
      </c>
      <c r="V1079" t="s">
        <v>23</v>
      </c>
      <c r="W1079" t="s">
        <v>12</v>
      </c>
      <c r="X1079" t="s">
        <v>9</v>
      </c>
      <c r="Y1079" s="56">
        <f>IF(clean[[#This Row],[is_delivered]]="Yes",clean[[#This Row],[net_sales]],0 )</f>
        <v>100000</v>
      </c>
    </row>
    <row r="1080" spans="1:25">
      <c r="A1080" t="s">
        <v>1223</v>
      </c>
      <c r="B1080" s="9">
        <v>45674</v>
      </c>
      <c r="C1080" t="s">
        <v>662</v>
      </c>
      <c r="D1080" t="s">
        <v>745</v>
      </c>
      <c r="E1080">
        <v>1</v>
      </c>
      <c r="F1080" s="56">
        <v>500000</v>
      </c>
      <c r="G1080" s="56">
        <v>500000</v>
      </c>
      <c r="H1080" t="s">
        <v>872</v>
      </c>
      <c r="I1080" s="56">
        <v>0</v>
      </c>
      <c r="J1080" s="56">
        <v>25000</v>
      </c>
      <c r="K1080" s="56">
        <v>525000</v>
      </c>
      <c r="L1080" t="s">
        <v>884</v>
      </c>
      <c r="M1080" t="s">
        <v>901</v>
      </c>
      <c r="N1080" t="s">
        <v>875</v>
      </c>
      <c r="O1080" s="57">
        <v>45658</v>
      </c>
      <c r="P1080" t="s">
        <v>877</v>
      </c>
      <c r="Q1080" s="56">
        <v>500000</v>
      </c>
      <c r="R1080" t="s">
        <v>746</v>
      </c>
      <c r="S1080" t="s">
        <v>747</v>
      </c>
      <c r="T1080" t="s">
        <v>748</v>
      </c>
      <c r="U1080" t="s">
        <v>663</v>
      </c>
      <c r="V1080" t="s">
        <v>23</v>
      </c>
      <c r="W1080" t="s">
        <v>39</v>
      </c>
      <c r="X1080" t="s">
        <v>15</v>
      </c>
      <c r="Y1080" s="56">
        <f>IF(clean[[#This Row],[is_delivered]]="Yes",clean[[#This Row],[net_sales]],0 )</f>
        <v>500000</v>
      </c>
    </row>
    <row r="1081" spans="1:25">
      <c r="A1081" t="s">
        <v>1255</v>
      </c>
      <c r="B1081" s="9">
        <v>45674</v>
      </c>
      <c r="C1081" t="s">
        <v>160</v>
      </c>
      <c r="D1081" t="s">
        <v>761</v>
      </c>
      <c r="E1081">
        <v>2</v>
      </c>
      <c r="F1081" s="56">
        <v>75000</v>
      </c>
      <c r="G1081" s="56">
        <v>150000</v>
      </c>
      <c r="H1081" t="s">
        <v>886</v>
      </c>
      <c r="I1081" s="56">
        <v>15000</v>
      </c>
      <c r="J1081" s="56">
        <v>30000</v>
      </c>
      <c r="K1081" s="56">
        <v>165000</v>
      </c>
      <c r="L1081" t="s">
        <v>873</v>
      </c>
      <c r="M1081" t="s">
        <v>903</v>
      </c>
      <c r="N1081" t="s">
        <v>890</v>
      </c>
      <c r="O1081" s="57">
        <v>45658</v>
      </c>
      <c r="P1081" t="s">
        <v>892</v>
      </c>
      <c r="Q1081" s="56">
        <v>135000</v>
      </c>
      <c r="R1081" t="s">
        <v>762</v>
      </c>
      <c r="S1081" t="s">
        <v>727</v>
      </c>
      <c r="T1081" t="s">
        <v>728</v>
      </c>
      <c r="U1081" t="s">
        <v>161</v>
      </c>
      <c r="V1081" t="s">
        <v>23</v>
      </c>
      <c r="W1081" t="s">
        <v>137</v>
      </c>
      <c r="X1081" t="s">
        <v>9</v>
      </c>
      <c r="Y1081" s="56">
        <f>IF(clean[[#This Row],[is_delivered]]="Yes",clean[[#This Row],[net_sales]],0 )</f>
        <v>0</v>
      </c>
    </row>
    <row r="1082" spans="1:25">
      <c r="A1082" t="s">
        <v>1335</v>
      </c>
      <c r="B1082" s="9">
        <v>45674</v>
      </c>
      <c r="C1082" t="s">
        <v>198</v>
      </c>
      <c r="D1082" t="s">
        <v>761</v>
      </c>
      <c r="E1082">
        <v>1</v>
      </c>
      <c r="F1082" s="56">
        <v>75000</v>
      </c>
      <c r="G1082" s="56">
        <v>75000</v>
      </c>
      <c r="H1082" t="s">
        <v>883</v>
      </c>
      <c r="I1082" s="56">
        <v>7500</v>
      </c>
      <c r="J1082" s="56">
        <v>30000</v>
      </c>
      <c r="K1082" s="56">
        <v>97500</v>
      </c>
      <c r="L1082" t="s">
        <v>884</v>
      </c>
      <c r="M1082" t="s">
        <v>901</v>
      </c>
      <c r="N1082" t="s">
        <v>905</v>
      </c>
      <c r="O1082" s="57">
        <v>45658</v>
      </c>
      <c r="P1082" t="s">
        <v>892</v>
      </c>
      <c r="Q1082" s="56">
        <v>67500</v>
      </c>
      <c r="R1082" t="s">
        <v>762</v>
      </c>
      <c r="S1082" t="s">
        <v>727</v>
      </c>
      <c r="T1082" t="s">
        <v>728</v>
      </c>
      <c r="U1082" t="s">
        <v>199</v>
      </c>
      <c r="V1082" t="s">
        <v>23</v>
      </c>
      <c r="W1082" t="s">
        <v>39</v>
      </c>
      <c r="X1082" t="s">
        <v>15</v>
      </c>
      <c r="Y1082" s="56">
        <f>IF(clean[[#This Row],[is_delivered]]="Yes",clean[[#This Row],[net_sales]],0 )</f>
        <v>0</v>
      </c>
    </row>
    <row r="1083" spans="1:25">
      <c r="A1083" t="s">
        <v>1465</v>
      </c>
      <c r="B1083" s="9">
        <v>45674</v>
      </c>
      <c r="C1083" t="s">
        <v>690</v>
      </c>
      <c r="D1083" t="s">
        <v>851</v>
      </c>
      <c r="E1083">
        <v>4</v>
      </c>
      <c r="F1083" s="56">
        <v>35000</v>
      </c>
      <c r="G1083" s="56">
        <v>140000</v>
      </c>
      <c r="H1083" t="s">
        <v>895</v>
      </c>
      <c r="I1083" s="56">
        <v>21000</v>
      </c>
      <c r="J1083" s="56">
        <v>10000</v>
      </c>
      <c r="K1083" s="56">
        <v>129000</v>
      </c>
      <c r="L1083" t="s">
        <v>884</v>
      </c>
      <c r="M1083" t="s">
        <v>903</v>
      </c>
      <c r="N1083" t="s">
        <v>890</v>
      </c>
      <c r="O1083" s="57">
        <v>45658</v>
      </c>
      <c r="P1083" t="s">
        <v>892</v>
      </c>
      <c r="Q1083" s="56">
        <v>119000</v>
      </c>
      <c r="R1083" t="s">
        <v>852</v>
      </c>
      <c r="S1083" t="s">
        <v>739</v>
      </c>
      <c r="T1083" t="s">
        <v>740</v>
      </c>
      <c r="U1083" t="s">
        <v>691</v>
      </c>
      <c r="V1083" t="s">
        <v>23</v>
      </c>
      <c r="W1083" t="s">
        <v>46</v>
      </c>
      <c r="X1083" t="s">
        <v>9</v>
      </c>
      <c r="Y1083" s="56">
        <f>IF(clean[[#This Row],[is_delivered]]="Yes",clean[[#This Row],[net_sales]],0 )</f>
        <v>0</v>
      </c>
    </row>
    <row r="1084" spans="1:25">
      <c r="A1084" t="s">
        <v>1494</v>
      </c>
      <c r="B1084" s="9">
        <v>45674</v>
      </c>
      <c r="C1084" t="s">
        <v>164</v>
      </c>
      <c r="D1084" t="s">
        <v>763</v>
      </c>
      <c r="E1084">
        <v>1</v>
      </c>
      <c r="F1084" s="56">
        <v>75000</v>
      </c>
      <c r="G1084" s="56">
        <v>75000</v>
      </c>
      <c r="H1084" t="s">
        <v>895</v>
      </c>
      <c r="I1084" s="56">
        <v>11250</v>
      </c>
      <c r="J1084" s="56">
        <v>20000</v>
      </c>
      <c r="K1084" s="56">
        <v>83750</v>
      </c>
      <c r="L1084" t="s">
        <v>889</v>
      </c>
      <c r="M1084" t="s">
        <v>881</v>
      </c>
      <c r="N1084" t="s">
        <v>875</v>
      </c>
      <c r="O1084" s="57">
        <v>45658</v>
      </c>
      <c r="P1084" t="s">
        <v>877</v>
      </c>
      <c r="Q1084" s="56">
        <v>63750</v>
      </c>
      <c r="R1084" t="s">
        <v>764</v>
      </c>
      <c r="S1084" t="s">
        <v>731</v>
      </c>
      <c r="T1084" t="s">
        <v>732</v>
      </c>
      <c r="U1084" t="s">
        <v>165</v>
      </c>
      <c r="V1084" t="s">
        <v>7</v>
      </c>
      <c r="W1084" t="s">
        <v>51</v>
      </c>
      <c r="X1084" t="s">
        <v>24</v>
      </c>
      <c r="Y1084" s="56">
        <f>IF(clean[[#This Row],[is_delivered]]="Yes",clean[[#This Row],[net_sales]],0 )</f>
        <v>63750</v>
      </c>
    </row>
    <row r="1085" spans="1:25">
      <c r="A1085" t="s">
        <v>1558</v>
      </c>
      <c r="B1085" s="9">
        <v>45674</v>
      </c>
      <c r="C1085" t="s">
        <v>668</v>
      </c>
      <c r="D1085" t="s">
        <v>813</v>
      </c>
      <c r="E1085">
        <v>1</v>
      </c>
      <c r="F1085" s="56">
        <v>35000</v>
      </c>
      <c r="G1085" s="56">
        <v>35000</v>
      </c>
      <c r="H1085" t="s">
        <v>883</v>
      </c>
      <c r="I1085" s="56">
        <v>3500</v>
      </c>
      <c r="J1085" s="56">
        <v>30000</v>
      </c>
      <c r="K1085" s="56">
        <v>61500</v>
      </c>
      <c r="L1085" t="s">
        <v>884</v>
      </c>
      <c r="M1085" t="s">
        <v>901</v>
      </c>
      <c r="N1085" t="s">
        <v>875</v>
      </c>
      <c r="O1085" s="57">
        <v>45658</v>
      </c>
      <c r="P1085" t="s">
        <v>877</v>
      </c>
      <c r="Q1085" s="56">
        <v>31500</v>
      </c>
      <c r="R1085" t="s">
        <v>814</v>
      </c>
      <c r="S1085" t="s">
        <v>735</v>
      </c>
      <c r="T1085" t="s">
        <v>736</v>
      </c>
      <c r="U1085" t="s">
        <v>669</v>
      </c>
      <c r="V1085" t="s">
        <v>7</v>
      </c>
      <c r="W1085" t="s">
        <v>39</v>
      </c>
      <c r="X1085" t="s">
        <v>15</v>
      </c>
      <c r="Y1085" s="56">
        <f>IF(clean[[#This Row],[is_delivered]]="Yes",clean[[#This Row],[net_sales]],0 )</f>
        <v>31500</v>
      </c>
    </row>
    <row r="1086" spans="1:25">
      <c r="A1086" t="s">
        <v>1956</v>
      </c>
      <c r="B1086" s="9">
        <v>45674</v>
      </c>
      <c r="C1086" t="s">
        <v>548</v>
      </c>
      <c r="D1086" t="s">
        <v>835</v>
      </c>
      <c r="E1086">
        <v>2</v>
      </c>
      <c r="F1086" s="56">
        <v>200000</v>
      </c>
      <c r="G1086" s="56">
        <v>400000</v>
      </c>
      <c r="H1086" t="s">
        <v>879</v>
      </c>
      <c r="I1086" s="56">
        <v>80000</v>
      </c>
      <c r="J1086" s="56">
        <v>15000</v>
      </c>
      <c r="K1086" s="56">
        <v>335000</v>
      </c>
      <c r="L1086" t="s">
        <v>884</v>
      </c>
      <c r="M1086" t="s">
        <v>881</v>
      </c>
      <c r="N1086" t="s">
        <v>911</v>
      </c>
      <c r="O1086" s="57">
        <v>45658</v>
      </c>
      <c r="P1086" t="s">
        <v>892</v>
      </c>
      <c r="Q1086" s="56">
        <v>320000</v>
      </c>
      <c r="R1086" t="s">
        <v>836</v>
      </c>
      <c r="S1086" t="s">
        <v>731</v>
      </c>
      <c r="T1086" t="s">
        <v>732</v>
      </c>
      <c r="U1086" t="s">
        <v>549</v>
      </c>
      <c r="V1086" t="s">
        <v>23</v>
      </c>
      <c r="W1086" t="s">
        <v>12</v>
      </c>
      <c r="X1086" t="s">
        <v>9</v>
      </c>
      <c r="Y1086" s="56">
        <f>IF(clean[[#This Row],[is_delivered]]="Yes",clean[[#This Row],[net_sales]],0 )</f>
        <v>0</v>
      </c>
    </row>
    <row r="1087" spans="1:25">
      <c r="A1087" t="s">
        <v>2019</v>
      </c>
      <c r="B1087" s="9">
        <v>45674</v>
      </c>
      <c r="C1087" t="s">
        <v>138</v>
      </c>
      <c r="D1087" t="s">
        <v>779</v>
      </c>
      <c r="E1087">
        <v>2</v>
      </c>
      <c r="F1087" s="56">
        <v>150000</v>
      </c>
      <c r="G1087" s="56">
        <v>300000</v>
      </c>
      <c r="H1087" t="s">
        <v>895</v>
      </c>
      <c r="I1087" s="56">
        <v>45000</v>
      </c>
      <c r="J1087" s="56">
        <v>15000</v>
      </c>
      <c r="K1087" s="56">
        <v>270000</v>
      </c>
      <c r="L1087" t="s">
        <v>880</v>
      </c>
      <c r="M1087" t="s">
        <v>881</v>
      </c>
      <c r="N1087" t="s">
        <v>911</v>
      </c>
      <c r="O1087" s="57">
        <v>45658</v>
      </c>
      <c r="P1087" t="s">
        <v>892</v>
      </c>
      <c r="Q1087" s="56">
        <v>255000</v>
      </c>
      <c r="R1087" t="s">
        <v>780</v>
      </c>
      <c r="S1087" t="s">
        <v>739</v>
      </c>
      <c r="T1087" t="s">
        <v>740</v>
      </c>
      <c r="U1087" t="s">
        <v>139</v>
      </c>
      <c r="V1087" t="s">
        <v>7</v>
      </c>
      <c r="W1087" t="s">
        <v>29</v>
      </c>
      <c r="X1087" t="s">
        <v>9</v>
      </c>
      <c r="Y1087" s="56">
        <f>IF(clean[[#This Row],[is_delivered]]="Yes",clean[[#This Row],[net_sales]],0 )</f>
        <v>0</v>
      </c>
    </row>
    <row r="1088" spans="1:25">
      <c r="A1088" t="s">
        <v>1018</v>
      </c>
      <c r="B1088" s="9">
        <v>45673</v>
      </c>
      <c r="C1088" t="s">
        <v>93</v>
      </c>
      <c r="D1088" t="s">
        <v>839</v>
      </c>
      <c r="E1088">
        <v>1</v>
      </c>
      <c r="F1088" s="56">
        <v>200000</v>
      </c>
      <c r="G1088" s="56">
        <v>200000</v>
      </c>
      <c r="H1088" t="s">
        <v>872</v>
      </c>
      <c r="I1088" s="56">
        <v>0</v>
      </c>
      <c r="J1088" s="56">
        <v>15000</v>
      </c>
      <c r="K1088" s="56">
        <v>215000</v>
      </c>
      <c r="L1088" t="s">
        <v>889</v>
      </c>
      <c r="M1088" t="s">
        <v>881</v>
      </c>
      <c r="N1088" t="s">
        <v>875</v>
      </c>
      <c r="O1088" s="57">
        <v>45658</v>
      </c>
      <c r="P1088" t="s">
        <v>877</v>
      </c>
      <c r="Q1088" s="56">
        <v>200000</v>
      </c>
      <c r="R1088" t="s">
        <v>840</v>
      </c>
      <c r="S1088" t="s">
        <v>739</v>
      </c>
      <c r="T1088" t="s">
        <v>740</v>
      </c>
      <c r="U1088" t="s">
        <v>94</v>
      </c>
      <c r="V1088" t="s">
        <v>23</v>
      </c>
      <c r="W1088" t="s">
        <v>36</v>
      </c>
      <c r="X1088" t="s">
        <v>24</v>
      </c>
      <c r="Y1088" s="56">
        <f>IF(clean[[#This Row],[is_delivered]]="Yes",clean[[#This Row],[net_sales]],0 )</f>
        <v>200000</v>
      </c>
    </row>
    <row r="1089" spans="1:25">
      <c r="A1089" t="s">
        <v>930</v>
      </c>
      <c r="B1089" s="9">
        <v>45673</v>
      </c>
      <c r="C1089" t="s">
        <v>490</v>
      </c>
      <c r="D1089" t="s">
        <v>829</v>
      </c>
      <c r="E1089">
        <v>1</v>
      </c>
      <c r="F1089" s="56">
        <v>500000</v>
      </c>
      <c r="G1089" s="56">
        <v>500000</v>
      </c>
      <c r="H1089" t="s">
        <v>886</v>
      </c>
      <c r="I1089" s="56">
        <v>50000</v>
      </c>
      <c r="J1089" s="56">
        <v>10000</v>
      </c>
      <c r="K1089" s="56">
        <v>460000</v>
      </c>
      <c r="L1089" t="s">
        <v>884</v>
      </c>
      <c r="M1089" t="s">
        <v>881</v>
      </c>
      <c r="N1089" t="s">
        <v>890</v>
      </c>
      <c r="O1089" s="57">
        <v>45658</v>
      </c>
      <c r="P1089" t="s">
        <v>892</v>
      </c>
      <c r="Q1089" s="56">
        <v>450000</v>
      </c>
      <c r="R1089" t="s">
        <v>830</v>
      </c>
      <c r="S1089" t="s">
        <v>743</v>
      </c>
      <c r="T1089" t="s">
        <v>744</v>
      </c>
      <c r="U1089" t="s">
        <v>491</v>
      </c>
      <c r="V1089" t="s">
        <v>23</v>
      </c>
      <c r="W1089" t="s">
        <v>39</v>
      </c>
      <c r="X1089" t="s">
        <v>9</v>
      </c>
      <c r="Y1089" s="56">
        <f>IF(clean[[#This Row],[is_delivered]]="Yes",clean[[#This Row],[net_sales]],0 )</f>
        <v>0</v>
      </c>
    </row>
    <row r="1090" spans="1:25">
      <c r="A1090" t="s">
        <v>1207</v>
      </c>
      <c r="B1090" s="9">
        <v>45673</v>
      </c>
      <c r="C1090" t="s">
        <v>135</v>
      </c>
      <c r="D1090" t="s">
        <v>845</v>
      </c>
      <c r="E1090">
        <v>4</v>
      </c>
      <c r="F1090" s="56">
        <v>300000</v>
      </c>
      <c r="G1090" s="56">
        <v>1200000</v>
      </c>
      <c r="H1090" t="s">
        <v>895</v>
      </c>
      <c r="I1090" s="56">
        <v>180000</v>
      </c>
      <c r="J1090" s="56">
        <v>10000</v>
      </c>
      <c r="K1090" s="56">
        <v>1030000</v>
      </c>
      <c r="L1090" t="s">
        <v>889</v>
      </c>
      <c r="M1090" t="s">
        <v>903</v>
      </c>
      <c r="N1090" t="s">
        <v>890</v>
      </c>
      <c r="O1090" s="57">
        <v>45658</v>
      </c>
      <c r="P1090" t="s">
        <v>892</v>
      </c>
      <c r="Q1090" s="56">
        <v>1020000</v>
      </c>
      <c r="R1090" t="s">
        <v>846</v>
      </c>
      <c r="S1090" t="s">
        <v>727</v>
      </c>
      <c r="T1090" t="s">
        <v>728</v>
      </c>
      <c r="U1090" t="s">
        <v>136</v>
      </c>
      <c r="V1090" t="s">
        <v>23</v>
      </c>
      <c r="W1090" t="s">
        <v>137</v>
      </c>
      <c r="X1090" t="s">
        <v>24</v>
      </c>
      <c r="Y1090" s="56">
        <f>IF(clean[[#This Row],[is_delivered]]="Yes",clean[[#This Row],[net_sales]],0 )</f>
        <v>0</v>
      </c>
    </row>
    <row r="1091" spans="1:25">
      <c r="A1091" t="s">
        <v>1185</v>
      </c>
      <c r="B1091" s="9">
        <v>45673</v>
      </c>
      <c r="C1091" t="s">
        <v>154</v>
      </c>
      <c r="D1091" t="s">
        <v>805</v>
      </c>
      <c r="E1091">
        <v>2</v>
      </c>
      <c r="F1091" s="56">
        <v>200000</v>
      </c>
      <c r="G1091" s="56">
        <v>400000</v>
      </c>
      <c r="H1091" t="s">
        <v>886</v>
      </c>
      <c r="I1091" s="56">
        <v>40000</v>
      </c>
      <c r="J1091" s="56">
        <v>25000</v>
      </c>
      <c r="K1091" s="56">
        <v>385000</v>
      </c>
      <c r="L1091" t="s">
        <v>873</v>
      </c>
      <c r="M1091" t="s">
        <v>903</v>
      </c>
      <c r="N1091" t="s">
        <v>921</v>
      </c>
      <c r="O1091" s="57">
        <v>45658</v>
      </c>
      <c r="P1091" t="s">
        <v>892</v>
      </c>
      <c r="Q1091" s="56">
        <v>360000</v>
      </c>
      <c r="R1091" t="s">
        <v>806</v>
      </c>
      <c r="S1091" t="s">
        <v>743</v>
      </c>
      <c r="T1091" t="s">
        <v>744</v>
      </c>
      <c r="U1091" t="s">
        <v>155</v>
      </c>
      <c r="V1091" t="s">
        <v>7</v>
      </c>
      <c r="W1091" t="s">
        <v>20</v>
      </c>
      <c r="X1091" t="s">
        <v>24</v>
      </c>
      <c r="Y1091" s="56">
        <f>IF(clean[[#This Row],[is_delivered]]="Yes",clean[[#This Row],[net_sales]],0 )</f>
        <v>0</v>
      </c>
    </row>
    <row r="1092" spans="1:25">
      <c r="A1092" t="s">
        <v>1218</v>
      </c>
      <c r="B1092" s="9">
        <v>45673</v>
      </c>
      <c r="C1092" t="s">
        <v>184</v>
      </c>
      <c r="D1092" t="s">
        <v>837</v>
      </c>
      <c r="E1092">
        <v>1</v>
      </c>
      <c r="F1092" s="56">
        <v>300000</v>
      </c>
      <c r="G1092" s="56">
        <v>300000</v>
      </c>
      <c r="H1092" t="s">
        <v>886</v>
      </c>
      <c r="I1092" s="56">
        <v>30000</v>
      </c>
      <c r="J1092" s="56">
        <v>30000</v>
      </c>
      <c r="K1092" s="56">
        <v>300000</v>
      </c>
      <c r="L1092" t="s">
        <v>889</v>
      </c>
      <c r="M1092" t="s">
        <v>901</v>
      </c>
      <c r="N1092" t="s">
        <v>875</v>
      </c>
      <c r="O1092" s="57">
        <v>45658</v>
      </c>
      <c r="P1092" t="s">
        <v>877</v>
      </c>
      <c r="Q1092" s="56">
        <v>270000</v>
      </c>
      <c r="R1092" t="s">
        <v>838</v>
      </c>
      <c r="S1092" t="s">
        <v>735</v>
      </c>
      <c r="T1092" t="s">
        <v>736</v>
      </c>
      <c r="U1092" t="s">
        <v>185</v>
      </c>
      <c r="V1092" t="s">
        <v>23</v>
      </c>
      <c r="W1092" t="s">
        <v>12</v>
      </c>
      <c r="X1092" t="s">
        <v>15</v>
      </c>
      <c r="Y1092" s="56">
        <f>IF(clean[[#This Row],[is_delivered]]="Yes",clean[[#This Row],[net_sales]],0 )</f>
        <v>270000</v>
      </c>
    </row>
    <row r="1093" spans="1:25">
      <c r="A1093" t="s">
        <v>1174</v>
      </c>
      <c r="B1093" s="9">
        <v>45673</v>
      </c>
      <c r="C1093" t="s">
        <v>434</v>
      </c>
      <c r="D1093" t="s">
        <v>821</v>
      </c>
      <c r="E1093">
        <v>2</v>
      </c>
      <c r="F1093" s="56">
        <v>50000</v>
      </c>
      <c r="G1093" s="56">
        <v>100000</v>
      </c>
      <c r="H1093" t="s">
        <v>895</v>
      </c>
      <c r="I1093" s="56">
        <v>15000</v>
      </c>
      <c r="J1093" s="56">
        <v>20000</v>
      </c>
      <c r="K1093" s="56">
        <v>105000</v>
      </c>
      <c r="L1093" t="s">
        <v>880</v>
      </c>
      <c r="M1093" t="s">
        <v>881</v>
      </c>
      <c r="N1093" t="s">
        <v>875</v>
      </c>
      <c r="O1093" s="57">
        <v>45658</v>
      </c>
      <c r="P1093" t="s">
        <v>877</v>
      </c>
      <c r="Q1093" s="56">
        <v>85000</v>
      </c>
      <c r="R1093" t="s">
        <v>822</v>
      </c>
      <c r="S1093" t="s">
        <v>727</v>
      </c>
      <c r="T1093" t="s">
        <v>728</v>
      </c>
      <c r="U1093" t="s">
        <v>435</v>
      </c>
      <c r="V1093" t="s">
        <v>23</v>
      </c>
      <c r="W1093" t="s">
        <v>137</v>
      </c>
      <c r="X1093" t="s">
        <v>9</v>
      </c>
      <c r="Y1093" s="56">
        <f>IF(clean[[#This Row],[is_delivered]]="Yes",clean[[#This Row],[net_sales]],0 )</f>
        <v>85000</v>
      </c>
    </row>
    <row r="1094" spans="1:25">
      <c r="A1094" t="s">
        <v>1545</v>
      </c>
      <c r="B1094" s="9">
        <v>45673</v>
      </c>
      <c r="C1094" t="s">
        <v>348</v>
      </c>
      <c r="D1094" t="s">
        <v>777</v>
      </c>
      <c r="E1094">
        <v>4</v>
      </c>
      <c r="F1094" s="56">
        <v>200000</v>
      </c>
      <c r="G1094" s="56">
        <v>800000</v>
      </c>
      <c r="H1094" t="s">
        <v>872</v>
      </c>
      <c r="I1094" s="56">
        <v>0</v>
      </c>
      <c r="J1094" s="56">
        <v>15000</v>
      </c>
      <c r="K1094" s="56">
        <v>815000</v>
      </c>
      <c r="L1094" t="s">
        <v>880</v>
      </c>
      <c r="M1094" t="s">
        <v>881</v>
      </c>
      <c r="N1094" t="s">
        <v>875</v>
      </c>
      <c r="O1094" s="57">
        <v>45658</v>
      </c>
      <c r="P1094" t="s">
        <v>877</v>
      </c>
      <c r="Q1094" s="56">
        <v>800000</v>
      </c>
      <c r="R1094" t="s">
        <v>778</v>
      </c>
      <c r="S1094" t="s">
        <v>735</v>
      </c>
      <c r="T1094" t="s">
        <v>736</v>
      </c>
      <c r="U1094" t="s">
        <v>349</v>
      </c>
      <c r="V1094" t="s">
        <v>23</v>
      </c>
      <c r="W1094" t="s">
        <v>56</v>
      </c>
      <c r="X1094" t="s">
        <v>9</v>
      </c>
      <c r="Y1094" s="56">
        <f>IF(clean[[#This Row],[is_delivered]]="Yes",clean[[#This Row],[net_sales]],0 )</f>
        <v>800000</v>
      </c>
    </row>
    <row r="1095" spans="1:25">
      <c r="A1095" t="s">
        <v>1954</v>
      </c>
      <c r="B1095" s="9">
        <v>45673</v>
      </c>
      <c r="C1095" t="s">
        <v>308</v>
      </c>
      <c r="D1095" t="s">
        <v>775</v>
      </c>
      <c r="E1095">
        <v>1</v>
      </c>
      <c r="F1095" s="56">
        <v>75000</v>
      </c>
      <c r="G1095" s="56">
        <v>75000</v>
      </c>
      <c r="H1095" t="s">
        <v>895</v>
      </c>
      <c r="I1095" s="56">
        <v>11250</v>
      </c>
      <c r="J1095" s="56">
        <v>30000</v>
      </c>
      <c r="K1095" s="56">
        <v>93750</v>
      </c>
      <c r="L1095" t="s">
        <v>889</v>
      </c>
      <c r="M1095" t="s">
        <v>901</v>
      </c>
      <c r="N1095" t="s">
        <v>875</v>
      </c>
      <c r="O1095" s="57">
        <v>45658</v>
      </c>
      <c r="P1095" t="s">
        <v>877</v>
      </c>
      <c r="Q1095" s="56">
        <v>63750</v>
      </c>
      <c r="R1095" t="s">
        <v>776</v>
      </c>
      <c r="S1095" t="s">
        <v>731</v>
      </c>
      <c r="T1095" t="s">
        <v>732</v>
      </c>
      <c r="U1095" t="s">
        <v>309</v>
      </c>
      <c r="V1095" t="s">
        <v>23</v>
      </c>
      <c r="W1095" t="s">
        <v>51</v>
      </c>
      <c r="X1095" t="s">
        <v>24</v>
      </c>
      <c r="Y1095" s="56">
        <f>IF(clean[[#This Row],[is_delivered]]="Yes",clean[[#This Row],[net_sales]],0 )</f>
        <v>63750</v>
      </c>
    </row>
    <row r="1096" spans="1:25">
      <c r="A1096" t="s">
        <v>2081</v>
      </c>
      <c r="B1096" s="9">
        <v>45673</v>
      </c>
      <c r="C1096" t="s">
        <v>350</v>
      </c>
      <c r="D1096" t="s">
        <v>821</v>
      </c>
      <c r="E1096">
        <v>1</v>
      </c>
      <c r="F1096" s="56">
        <v>50000</v>
      </c>
      <c r="G1096" s="56">
        <v>50000</v>
      </c>
      <c r="H1096" t="s">
        <v>872</v>
      </c>
      <c r="I1096" s="56">
        <v>0</v>
      </c>
      <c r="J1096" s="56">
        <v>25000</v>
      </c>
      <c r="K1096" s="56">
        <v>75000</v>
      </c>
      <c r="L1096" t="s">
        <v>884</v>
      </c>
      <c r="M1096" t="s">
        <v>901</v>
      </c>
      <c r="N1096" t="s">
        <v>875</v>
      </c>
      <c r="O1096" s="57">
        <v>45658</v>
      </c>
      <c r="P1096" t="s">
        <v>877</v>
      </c>
      <c r="Q1096" s="56">
        <v>50000</v>
      </c>
      <c r="R1096" t="s">
        <v>822</v>
      </c>
      <c r="S1096" t="s">
        <v>727</v>
      </c>
      <c r="T1096" t="s">
        <v>728</v>
      </c>
      <c r="U1096" t="s">
        <v>351</v>
      </c>
      <c r="V1096" t="s">
        <v>23</v>
      </c>
      <c r="W1096" t="s">
        <v>36</v>
      </c>
      <c r="X1096" t="s">
        <v>9</v>
      </c>
      <c r="Y1096" s="56">
        <f>IF(clean[[#This Row],[is_delivered]]="Yes",clean[[#This Row],[net_sales]],0 )</f>
        <v>50000</v>
      </c>
    </row>
    <row r="1097" spans="1:25">
      <c r="A1097" t="s">
        <v>997</v>
      </c>
      <c r="B1097" s="9">
        <v>45672</v>
      </c>
      <c r="C1097" t="s">
        <v>103</v>
      </c>
      <c r="D1097" t="s">
        <v>831</v>
      </c>
      <c r="E1097">
        <v>4</v>
      </c>
      <c r="F1097" s="56">
        <v>300000</v>
      </c>
      <c r="G1097" s="56">
        <v>1200000</v>
      </c>
      <c r="H1097" t="s">
        <v>886</v>
      </c>
      <c r="I1097" s="56">
        <v>120000</v>
      </c>
      <c r="J1097" s="56">
        <v>30000</v>
      </c>
      <c r="K1097" s="56">
        <v>1110000</v>
      </c>
      <c r="L1097" t="s">
        <v>873</v>
      </c>
      <c r="M1097" t="s">
        <v>881</v>
      </c>
      <c r="N1097" t="s">
        <v>905</v>
      </c>
      <c r="O1097" s="57">
        <v>45658</v>
      </c>
      <c r="P1097" t="s">
        <v>892</v>
      </c>
      <c r="Q1097" s="56">
        <v>1080000</v>
      </c>
      <c r="R1097" t="s">
        <v>832</v>
      </c>
      <c r="S1097" t="s">
        <v>747</v>
      </c>
      <c r="T1097" t="s">
        <v>748</v>
      </c>
      <c r="U1097" t="s">
        <v>104</v>
      </c>
      <c r="V1097" t="s">
        <v>23</v>
      </c>
      <c r="W1097" t="s">
        <v>29</v>
      </c>
      <c r="X1097" t="s">
        <v>9</v>
      </c>
      <c r="Y1097" s="56">
        <f>IF(clean[[#This Row],[is_delivered]]="Yes",clean[[#This Row],[net_sales]],0 )</f>
        <v>0</v>
      </c>
    </row>
    <row r="1098" spans="1:25">
      <c r="A1098" t="s">
        <v>1671</v>
      </c>
      <c r="B1098" s="9">
        <v>45672</v>
      </c>
      <c r="C1098" t="s">
        <v>220</v>
      </c>
      <c r="D1098" t="s">
        <v>809</v>
      </c>
      <c r="E1098">
        <v>4</v>
      </c>
      <c r="F1098" s="56">
        <v>100000</v>
      </c>
      <c r="G1098" s="56">
        <v>400000</v>
      </c>
      <c r="H1098" t="s">
        <v>872</v>
      </c>
      <c r="I1098" s="56">
        <v>0</v>
      </c>
      <c r="J1098" s="56">
        <v>25000</v>
      </c>
      <c r="K1098" s="56">
        <v>425000</v>
      </c>
      <c r="L1098" t="s">
        <v>889</v>
      </c>
      <c r="M1098" t="s">
        <v>874</v>
      </c>
      <c r="N1098" t="s">
        <v>911</v>
      </c>
      <c r="O1098" s="57">
        <v>45658</v>
      </c>
      <c r="P1098" t="s">
        <v>892</v>
      </c>
      <c r="Q1098" s="56">
        <v>400000</v>
      </c>
      <c r="R1098" t="s">
        <v>810</v>
      </c>
      <c r="S1098" t="s">
        <v>727</v>
      </c>
      <c r="T1098" t="s">
        <v>728</v>
      </c>
      <c r="U1098" t="s">
        <v>221</v>
      </c>
      <c r="V1098" t="s">
        <v>7</v>
      </c>
      <c r="W1098" t="s">
        <v>29</v>
      </c>
      <c r="X1098" t="s">
        <v>9</v>
      </c>
      <c r="Y1098" s="56">
        <f>IF(clean[[#This Row],[is_delivered]]="Yes",clean[[#This Row],[net_sales]],0 )</f>
        <v>0</v>
      </c>
    </row>
    <row r="1099" spans="1:25">
      <c r="A1099" t="s">
        <v>1773</v>
      </c>
      <c r="B1099" s="9">
        <v>45672</v>
      </c>
      <c r="C1099" t="s">
        <v>123</v>
      </c>
      <c r="D1099" t="s">
        <v>823</v>
      </c>
      <c r="E1099">
        <v>1</v>
      </c>
      <c r="F1099" s="56">
        <v>500000</v>
      </c>
      <c r="G1099" s="56">
        <v>500000</v>
      </c>
      <c r="H1099" t="s">
        <v>872</v>
      </c>
      <c r="I1099" s="56">
        <v>0</v>
      </c>
      <c r="J1099" s="56">
        <v>20000</v>
      </c>
      <c r="K1099" s="56">
        <v>520000</v>
      </c>
      <c r="L1099" t="s">
        <v>889</v>
      </c>
      <c r="M1099" t="s">
        <v>881</v>
      </c>
      <c r="N1099" t="s">
        <v>911</v>
      </c>
      <c r="O1099" s="57">
        <v>45658</v>
      </c>
      <c r="P1099" t="s">
        <v>892</v>
      </c>
      <c r="Q1099" s="56">
        <v>500000</v>
      </c>
      <c r="R1099" t="s">
        <v>824</v>
      </c>
      <c r="S1099" t="s">
        <v>731</v>
      </c>
      <c r="T1099" t="s">
        <v>732</v>
      </c>
      <c r="U1099" t="s">
        <v>124</v>
      </c>
      <c r="V1099" t="s">
        <v>23</v>
      </c>
      <c r="W1099" t="s">
        <v>46</v>
      </c>
      <c r="X1099" t="s">
        <v>9</v>
      </c>
      <c r="Y1099" s="56">
        <f>IF(clean[[#This Row],[is_delivered]]="Yes",clean[[#This Row],[net_sales]],0 )</f>
        <v>0</v>
      </c>
    </row>
    <row r="1100" spans="1:25">
      <c r="A1100" t="s">
        <v>1932</v>
      </c>
      <c r="B1100" s="9">
        <v>45672</v>
      </c>
      <c r="C1100" t="s">
        <v>532</v>
      </c>
      <c r="D1100" t="s">
        <v>749</v>
      </c>
      <c r="E1100">
        <v>1</v>
      </c>
      <c r="F1100" s="56">
        <v>150000</v>
      </c>
      <c r="G1100" s="56">
        <v>150000</v>
      </c>
      <c r="H1100" t="s">
        <v>872</v>
      </c>
      <c r="I1100" s="56">
        <v>0</v>
      </c>
      <c r="J1100" s="56">
        <v>20000</v>
      </c>
      <c r="K1100" s="56">
        <v>170000</v>
      </c>
      <c r="L1100" t="s">
        <v>873</v>
      </c>
      <c r="M1100" t="s">
        <v>903</v>
      </c>
      <c r="N1100" t="s">
        <v>875</v>
      </c>
      <c r="O1100" s="57">
        <v>45658</v>
      </c>
      <c r="P1100" t="s">
        <v>877</v>
      </c>
      <c r="Q1100" s="56">
        <v>150000</v>
      </c>
      <c r="R1100" t="s">
        <v>750</v>
      </c>
      <c r="S1100" t="s">
        <v>727</v>
      </c>
      <c r="T1100" t="s">
        <v>728</v>
      </c>
      <c r="U1100" t="s">
        <v>533</v>
      </c>
      <c r="V1100" t="s">
        <v>7</v>
      </c>
      <c r="W1100" t="s">
        <v>12</v>
      </c>
      <c r="X1100" t="s">
        <v>24</v>
      </c>
      <c r="Y1100" s="56">
        <f>IF(clean[[#This Row],[is_delivered]]="Yes",clean[[#This Row],[net_sales]],0 )</f>
        <v>150000</v>
      </c>
    </row>
    <row r="1101" spans="1:25">
      <c r="A1101" t="s">
        <v>2026</v>
      </c>
      <c r="B1101" s="9">
        <v>45672</v>
      </c>
      <c r="C1101" t="s">
        <v>486</v>
      </c>
      <c r="D1101" t="s">
        <v>737</v>
      </c>
      <c r="E1101">
        <v>1</v>
      </c>
      <c r="F1101" s="56">
        <v>300000</v>
      </c>
      <c r="G1101" s="56">
        <v>300000</v>
      </c>
      <c r="H1101" t="s">
        <v>883</v>
      </c>
      <c r="I1101" s="56">
        <v>30000</v>
      </c>
      <c r="J1101" s="56">
        <v>30000</v>
      </c>
      <c r="K1101" s="56">
        <v>300000</v>
      </c>
      <c r="L1101" t="s">
        <v>873</v>
      </c>
      <c r="M1101" t="s">
        <v>874</v>
      </c>
      <c r="N1101" t="s">
        <v>875</v>
      </c>
      <c r="O1101" s="57">
        <v>45658</v>
      </c>
      <c r="P1101" t="s">
        <v>877</v>
      </c>
      <c r="Q1101" s="56">
        <v>270000</v>
      </c>
      <c r="R1101" t="s">
        <v>738</v>
      </c>
      <c r="S1101" t="s">
        <v>739</v>
      </c>
      <c r="T1101" t="s">
        <v>740</v>
      </c>
      <c r="U1101" t="s">
        <v>487</v>
      </c>
      <c r="V1101" t="s">
        <v>23</v>
      </c>
      <c r="W1101" t="s">
        <v>36</v>
      </c>
      <c r="X1101" t="s">
        <v>24</v>
      </c>
      <c r="Y1101" s="56">
        <f>IF(clean[[#This Row],[is_delivered]]="Yes",clean[[#This Row],[net_sales]],0 )</f>
        <v>270000</v>
      </c>
    </row>
    <row r="1102" spans="1:25">
      <c r="A1102" t="s">
        <v>1055</v>
      </c>
      <c r="B1102" s="9">
        <v>45671</v>
      </c>
      <c r="C1102" t="s">
        <v>260</v>
      </c>
      <c r="D1102" t="s">
        <v>803</v>
      </c>
      <c r="E1102">
        <v>2</v>
      </c>
      <c r="F1102" s="56">
        <v>50000</v>
      </c>
      <c r="G1102" s="56">
        <v>100000</v>
      </c>
      <c r="H1102" t="s">
        <v>883</v>
      </c>
      <c r="I1102" s="56">
        <v>10000</v>
      </c>
      <c r="J1102" s="56">
        <v>20000</v>
      </c>
      <c r="K1102" s="56">
        <v>110000</v>
      </c>
      <c r="L1102" t="s">
        <v>884</v>
      </c>
      <c r="M1102" t="s">
        <v>881</v>
      </c>
      <c r="N1102" t="s">
        <v>875</v>
      </c>
      <c r="O1102" s="57">
        <v>45658</v>
      </c>
      <c r="P1102" t="s">
        <v>877</v>
      </c>
      <c r="Q1102" s="56">
        <v>90000</v>
      </c>
      <c r="R1102" t="s">
        <v>804</v>
      </c>
      <c r="S1102" t="s">
        <v>739</v>
      </c>
      <c r="T1102" t="s">
        <v>740</v>
      </c>
      <c r="U1102" t="s">
        <v>261</v>
      </c>
      <c r="V1102" t="s">
        <v>7</v>
      </c>
      <c r="W1102" t="s">
        <v>51</v>
      </c>
      <c r="X1102" t="s">
        <v>9</v>
      </c>
      <c r="Y1102" s="56">
        <f>IF(clean[[#This Row],[is_delivered]]="Yes",clean[[#This Row],[net_sales]],0 )</f>
        <v>90000</v>
      </c>
    </row>
    <row r="1103" spans="1:25">
      <c r="A1103" t="s">
        <v>1282</v>
      </c>
      <c r="B1103" s="9">
        <v>45671</v>
      </c>
      <c r="C1103" t="s">
        <v>424</v>
      </c>
      <c r="D1103" t="s">
        <v>799</v>
      </c>
      <c r="E1103">
        <v>1</v>
      </c>
      <c r="F1103" s="56">
        <v>35000</v>
      </c>
      <c r="G1103" s="56">
        <v>35000</v>
      </c>
      <c r="H1103" t="s">
        <v>872</v>
      </c>
      <c r="I1103" s="56">
        <v>0</v>
      </c>
      <c r="J1103" s="56">
        <v>20000</v>
      </c>
      <c r="K1103" s="56">
        <v>55000</v>
      </c>
      <c r="L1103" t="s">
        <v>884</v>
      </c>
      <c r="M1103" t="s">
        <v>903</v>
      </c>
      <c r="N1103" t="s">
        <v>905</v>
      </c>
      <c r="O1103" s="57">
        <v>45658</v>
      </c>
      <c r="P1103" t="s">
        <v>892</v>
      </c>
      <c r="Q1103" s="56">
        <v>35000</v>
      </c>
      <c r="R1103" t="s">
        <v>800</v>
      </c>
      <c r="S1103" t="s">
        <v>731</v>
      </c>
      <c r="T1103" t="s">
        <v>732</v>
      </c>
      <c r="U1103" t="s">
        <v>425</v>
      </c>
      <c r="V1103" t="s">
        <v>7</v>
      </c>
      <c r="W1103" t="s">
        <v>8</v>
      </c>
      <c r="X1103" t="s">
        <v>24</v>
      </c>
      <c r="Y1103" s="56">
        <f>IF(clean[[#This Row],[is_delivered]]="Yes",clean[[#This Row],[net_sales]],0 )</f>
        <v>0</v>
      </c>
    </row>
    <row r="1104" spans="1:25">
      <c r="A1104" t="s">
        <v>1620</v>
      </c>
      <c r="B1104" s="9">
        <v>45671</v>
      </c>
      <c r="C1104" t="s">
        <v>246</v>
      </c>
      <c r="D1104" t="s">
        <v>819</v>
      </c>
      <c r="E1104">
        <v>3</v>
      </c>
      <c r="F1104" s="56">
        <v>300000</v>
      </c>
      <c r="G1104" s="56">
        <v>900000</v>
      </c>
      <c r="H1104" t="s">
        <v>872</v>
      </c>
      <c r="I1104" s="56">
        <v>0</v>
      </c>
      <c r="J1104" s="56">
        <v>10000</v>
      </c>
      <c r="K1104" s="56">
        <v>910000</v>
      </c>
      <c r="L1104" t="s">
        <v>880</v>
      </c>
      <c r="M1104" t="s">
        <v>881</v>
      </c>
      <c r="N1104" t="s">
        <v>875</v>
      </c>
      <c r="O1104" s="57">
        <v>45658</v>
      </c>
      <c r="P1104" t="s">
        <v>877</v>
      </c>
      <c r="Q1104" s="56">
        <v>900000</v>
      </c>
      <c r="R1104" t="s">
        <v>820</v>
      </c>
      <c r="S1104" t="s">
        <v>747</v>
      </c>
      <c r="T1104" t="s">
        <v>748</v>
      </c>
      <c r="U1104" t="s">
        <v>247</v>
      </c>
      <c r="V1104" t="s">
        <v>23</v>
      </c>
      <c r="W1104" t="s">
        <v>46</v>
      </c>
      <c r="X1104" t="s">
        <v>9</v>
      </c>
      <c r="Y1104" s="56">
        <f>IF(clean[[#This Row],[is_delivered]]="Yes",clean[[#This Row],[net_sales]],0 )</f>
        <v>900000</v>
      </c>
    </row>
    <row r="1105" spans="1:25">
      <c r="A1105" t="s">
        <v>1735</v>
      </c>
      <c r="B1105" s="9">
        <v>45671</v>
      </c>
      <c r="C1105" t="s">
        <v>129</v>
      </c>
      <c r="D1105" t="s">
        <v>807</v>
      </c>
      <c r="E1105">
        <v>1</v>
      </c>
      <c r="F1105" s="56">
        <v>150000</v>
      </c>
      <c r="G1105" s="56">
        <v>150000</v>
      </c>
      <c r="H1105" t="s">
        <v>872</v>
      </c>
      <c r="I1105" s="56">
        <v>0</v>
      </c>
      <c r="J1105" s="56">
        <v>30000</v>
      </c>
      <c r="K1105" s="56">
        <v>180000</v>
      </c>
      <c r="L1105" t="s">
        <v>873</v>
      </c>
      <c r="M1105" t="s">
        <v>874</v>
      </c>
      <c r="N1105" t="s">
        <v>875</v>
      </c>
      <c r="O1105" s="57">
        <v>45658</v>
      </c>
      <c r="P1105" t="s">
        <v>877</v>
      </c>
      <c r="Q1105" s="56">
        <v>150000</v>
      </c>
      <c r="R1105" t="s">
        <v>808</v>
      </c>
      <c r="S1105" t="s">
        <v>747</v>
      </c>
      <c r="T1105" t="s">
        <v>748</v>
      </c>
      <c r="U1105" t="s">
        <v>130</v>
      </c>
      <c r="V1105" t="s">
        <v>23</v>
      </c>
      <c r="W1105" t="s">
        <v>8</v>
      </c>
      <c r="X1105" t="s">
        <v>24</v>
      </c>
      <c r="Y1105" s="56">
        <f>IF(clean[[#This Row],[is_delivered]]="Yes",clean[[#This Row],[net_sales]],0 )</f>
        <v>150000</v>
      </c>
    </row>
    <row r="1106" spans="1:25">
      <c r="A1106" t="s">
        <v>1763</v>
      </c>
      <c r="B1106" s="9">
        <v>45671</v>
      </c>
      <c r="C1106" t="s">
        <v>346</v>
      </c>
      <c r="D1106" t="s">
        <v>807</v>
      </c>
      <c r="E1106">
        <v>2</v>
      </c>
      <c r="F1106" s="56">
        <v>150000</v>
      </c>
      <c r="G1106" s="56">
        <v>300000</v>
      </c>
      <c r="H1106" t="s">
        <v>886</v>
      </c>
      <c r="I1106" s="56">
        <v>30000</v>
      </c>
      <c r="J1106" s="56">
        <v>25000</v>
      </c>
      <c r="K1106" s="56">
        <v>295000</v>
      </c>
      <c r="L1106" t="s">
        <v>884</v>
      </c>
      <c r="M1106" t="s">
        <v>874</v>
      </c>
      <c r="N1106" t="s">
        <v>911</v>
      </c>
      <c r="O1106" s="57">
        <v>45658</v>
      </c>
      <c r="P1106" t="s">
        <v>892</v>
      </c>
      <c r="Q1106" s="56">
        <v>270000</v>
      </c>
      <c r="R1106" t="s">
        <v>808</v>
      </c>
      <c r="S1106" t="s">
        <v>747</v>
      </c>
      <c r="T1106" t="s">
        <v>748</v>
      </c>
      <c r="U1106" t="s">
        <v>347</v>
      </c>
      <c r="V1106" t="s">
        <v>23</v>
      </c>
      <c r="W1106" t="s">
        <v>46</v>
      </c>
      <c r="X1106" t="s">
        <v>9</v>
      </c>
      <c r="Y1106" s="56">
        <f>IF(clean[[#This Row],[is_delivered]]="Yes",clean[[#This Row],[net_sales]],0 )</f>
        <v>0</v>
      </c>
    </row>
    <row r="1107" spans="1:25">
      <c r="A1107" t="s">
        <v>1781</v>
      </c>
      <c r="B1107" s="9">
        <v>45671</v>
      </c>
      <c r="C1107" t="s">
        <v>93</v>
      </c>
      <c r="D1107" t="s">
        <v>759</v>
      </c>
      <c r="E1107">
        <v>2</v>
      </c>
      <c r="F1107" s="56">
        <v>300000</v>
      </c>
      <c r="G1107" s="56">
        <v>600000</v>
      </c>
      <c r="H1107" t="s">
        <v>886</v>
      </c>
      <c r="I1107" s="56">
        <v>60000</v>
      </c>
      <c r="J1107" s="56">
        <v>20000</v>
      </c>
      <c r="K1107" s="56">
        <v>560000</v>
      </c>
      <c r="L1107" t="s">
        <v>884</v>
      </c>
      <c r="M1107" t="s">
        <v>881</v>
      </c>
      <c r="N1107" t="s">
        <v>905</v>
      </c>
      <c r="O1107" s="57">
        <v>45658</v>
      </c>
      <c r="P1107" t="s">
        <v>892</v>
      </c>
      <c r="Q1107" s="56">
        <v>540000</v>
      </c>
      <c r="R1107" t="s">
        <v>760</v>
      </c>
      <c r="S1107" t="s">
        <v>747</v>
      </c>
      <c r="T1107" t="s">
        <v>748</v>
      </c>
      <c r="U1107" t="s">
        <v>94</v>
      </c>
      <c r="V1107" t="s">
        <v>23</v>
      </c>
      <c r="W1107" t="s">
        <v>36</v>
      </c>
      <c r="X1107" t="s">
        <v>24</v>
      </c>
      <c r="Y1107" s="56">
        <f>IF(clean[[#This Row],[is_delivered]]="Yes",clean[[#This Row],[net_sales]],0 )</f>
        <v>0</v>
      </c>
    </row>
    <row r="1108" spans="1:25">
      <c r="A1108" t="s">
        <v>1806</v>
      </c>
      <c r="B1108" s="9">
        <v>45671</v>
      </c>
      <c r="C1108" t="s">
        <v>532</v>
      </c>
      <c r="D1108" t="s">
        <v>769</v>
      </c>
      <c r="E1108">
        <v>1</v>
      </c>
      <c r="F1108" s="56">
        <v>100000</v>
      </c>
      <c r="G1108" s="56">
        <v>100000</v>
      </c>
      <c r="H1108" t="s">
        <v>879</v>
      </c>
      <c r="I1108" s="56">
        <v>20000</v>
      </c>
      <c r="J1108" s="56">
        <v>10000</v>
      </c>
      <c r="K1108" s="56">
        <v>90000</v>
      </c>
      <c r="L1108" t="s">
        <v>880</v>
      </c>
      <c r="M1108" t="s">
        <v>901</v>
      </c>
      <c r="N1108" t="s">
        <v>875</v>
      </c>
      <c r="O1108" s="57">
        <v>45658</v>
      </c>
      <c r="P1108" t="s">
        <v>877</v>
      </c>
      <c r="Q1108" s="56">
        <v>80000</v>
      </c>
      <c r="R1108" t="s">
        <v>770</v>
      </c>
      <c r="S1108" t="s">
        <v>743</v>
      </c>
      <c r="T1108" t="s">
        <v>744</v>
      </c>
      <c r="U1108" t="s">
        <v>533</v>
      </c>
      <c r="V1108" t="s">
        <v>7</v>
      </c>
      <c r="W1108" t="s">
        <v>12</v>
      </c>
      <c r="X1108" t="s">
        <v>24</v>
      </c>
      <c r="Y1108" s="56">
        <f>IF(clean[[#This Row],[is_delivered]]="Yes",clean[[#This Row],[net_sales]],0 )</f>
        <v>80000</v>
      </c>
    </row>
    <row r="1109" spans="1:25">
      <c r="A1109" t="s">
        <v>1152</v>
      </c>
      <c r="B1109" s="9">
        <v>45670</v>
      </c>
      <c r="C1109" t="s">
        <v>386</v>
      </c>
      <c r="D1109" t="s">
        <v>829</v>
      </c>
      <c r="E1109">
        <v>4</v>
      </c>
      <c r="F1109" s="56">
        <v>500000</v>
      </c>
      <c r="G1109" s="56">
        <v>2000000</v>
      </c>
      <c r="H1109" t="s">
        <v>872</v>
      </c>
      <c r="I1109" s="56">
        <v>0</v>
      </c>
      <c r="J1109" s="56">
        <v>20000</v>
      </c>
      <c r="K1109" s="56">
        <v>2020000</v>
      </c>
      <c r="L1109" t="s">
        <v>884</v>
      </c>
      <c r="M1109" t="s">
        <v>874</v>
      </c>
      <c r="N1109" t="s">
        <v>875</v>
      </c>
      <c r="O1109" s="57">
        <v>45658</v>
      </c>
      <c r="P1109" t="s">
        <v>877</v>
      </c>
      <c r="Q1109" s="56">
        <v>2000000</v>
      </c>
      <c r="R1109" t="s">
        <v>830</v>
      </c>
      <c r="S1109" t="s">
        <v>743</v>
      </c>
      <c r="T1109" t="s">
        <v>744</v>
      </c>
      <c r="U1109" t="s">
        <v>387</v>
      </c>
      <c r="V1109" t="s">
        <v>7</v>
      </c>
      <c r="W1109" t="s">
        <v>36</v>
      </c>
      <c r="X1109" t="s">
        <v>9</v>
      </c>
      <c r="Y1109" s="56">
        <f>IF(clean[[#This Row],[is_delivered]]="Yes",clean[[#This Row],[net_sales]],0 )</f>
        <v>2000000</v>
      </c>
    </row>
    <row r="1110" spans="1:25">
      <c r="A1110" t="s">
        <v>1307</v>
      </c>
      <c r="B1110" s="9">
        <v>45670</v>
      </c>
      <c r="C1110" t="s">
        <v>107</v>
      </c>
      <c r="D1110" t="s">
        <v>819</v>
      </c>
      <c r="E1110">
        <v>1</v>
      </c>
      <c r="F1110" s="56">
        <v>300000</v>
      </c>
      <c r="G1110" s="56">
        <v>300000</v>
      </c>
      <c r="H1110" t="s">
        <v>872</v>
      </c>
      <c r="I1110" s="56">
        <v>0</v>
      </c>
      <c r="J1110" s="56">
        <v>10000</v>
      </c>
      <c r="K1110" s="56">
        <v>310000</v>
      </c>
      <c r="L1110" t="s">
        <v>884</v>
      </c>
      <c r="M1110" t="s">
        <v>901</v>
      </c>
      <c r="N1110" t="s">
        <v>875</v>
      </c>
      <c r="O1110" s="57">
        <v>45658</v>
      </c>
      <c r="P1110" t="s">
        <v>877</v>
      </c>
      <c r="Q1110" s="56">
        <v>300000</v>
      </c>
      <c r="R1110" t="s">
        <v>820</v>
      </c>
      <c r="S1110" t="s">
        <v>747</v>
      </c>
      <c r="T1110" t="s">
        <v>748</v>
      </c>
      <c r="U1110" t="s">
        <v>108</v>
      </c>
      <c r="V1110" t="s">
        <v>23</v>
      </c>
      <c r="W1110" t="s">
        <v>12</v>
      </c>
      <c r="X1110" t="s">
        <v>24</v>
      </c>
      <c r="Y1110" s="56">
        <f>IF(clean[[#This Row],[is_delivered]]="Yes",clean[[#This Row],[net_sales]],0 )</f>
        <v>300000</v>
      </c>
    </row>
    <row r="1111" spans="1:25">
      <c r="A1111" t="s">
        <v>1423</v>
      </c>
      <c r="B1111" s="9">
        <v>45670</v>
      </c>
      <c r="C1111" t="s">
        <v>412</v>
      </c>
      <c r="D1111" t="s">
        <v>785</v>
      </c>
      <c r="E1111">
        <v>2</v>
      </c>
      <c r="F1111" s="56">
        <v>100000</v>
      </c>
      <c r="G1111" s="56">
        <v>200000</v>
      </c>
      <c r="H1111" t="s">
        <v>886</v>
      </c>
      <c r="I1111" s="56">
        <v>20000</v>
      </c>
      <c r="J1111" s="56">
        <v>30000</v>
      </c>
      <c r="K1111" s="56">
        <v>210000</v>
      </c>
      <c r="L1111" t="s">
        <v>873</v>
      </c>
      <c r="M1111" t="s">
        <v>903</v>
      </c>
      <c r="N1111" t="s">
        <v>875</v>
      </c>
      <c r="O1111" s="57">
        <v>45658</v>
      </c>
      <c r="P1111" t="s">
        <v>877</v>
      </c>
      <c r="Q1111" s="56">
        <v>180000</v>
      </c>
      <c r="R1111" t="s">
        <v>786</v>
      </c>
      <c r="S1111" t="s">
        <v>727</v>
      </c>
      <c r="T1111" t="s">
        <v>728</v>
      </c>
      <c r="U1111" t="s">
        <v>413</v>
      </c>
      <c r="V1111" t="s">
        <v>7</v>
      </c>
      <c r="W1111" t="s">
        <v>8</v>
      </c>
      <c r="X1111" t="s">
        <v>9</v>
      </c>
      <c r="Y1111" s="56">
        <f>IF(clean[[#This Row],[is_delivered]]="Yes",clean[[#This Row],[net_sales]],0 )</f>
        <v>180000</v>
      </c>
    </row>
    <row r="1112" spans="1:25">
      <c r="A1112" t="s">
        <v>1639</v>
      </c>
      <c r="B1112" s="9">
        <v>45670</v>
      </c>
      <c r="C1112" t="s">
        <v>470</v>
      </c>
      <c r="D1112" t="s">
        <v>837</v>
      </c>
      <c r="E1112">
        <v>1</v>
      </c>
      <c r="F1112" s="56">
        <v>300000</v>
      </c>
      <c r="G1112" s="56">
        <v>300000</v>
      </c>
      <c r="H1112" t="s">
        <v>872</v>
      </c>
      <c r="I1112" s="56">
        <v>0</v>
      </c>
      <c r="J1112" s="56">
        <v>20000</v>
      </c>
      <c r="K1112" s="56">
        <v>320000</v>
      </c>
      <c r="L1112" t="s">
        <v>884</v>
      </c>
      <c r="M1112" t="s">
        <v>881</v>
      </c>
      <c r="N1112" t="s">
        <v>875</v>
      </c>
      <c r="O1112" s="57">
        <v>45658</v>
      </c>
      <c r="P1112" t="s">
        <v>877</v>
      </c>
      <c r="Q1112" s="56">
        <v>300000</v>
      </c>
      <c r="R1112" t="s">
        <v>838</v>
      </c>
      <c r="S1112" t="s">
        <v>735</v>
      </c>
      <c r="T1112" t="s">
        <v>736</v>
      </c>
      <c r="U1112" t="s">
        <v>471</v>
      </c>
      <c r="V1112" t="s">
        <v>7</v>
      </c>
      <c r="W1112" t="s">
        <v>36</v>
      </c>
      <c r="X1112" t="s">
        <v>24</v>
      </c>
      <c r="Y1112" s="56">
        <f>IF(clean[[#This Row],[is_delivered]]="Yes",clean[[#This Row],[net_sales]],0 )</f>
        <v>300000</v>
      </c>
    </row>
    <row r="1113" spans="1:25">
      <c r="A1113" t="s">
        <v>1811</v>
      </c>
      <c r="B1113" s="9">
        <v>45670</v>
      </c>
      <c r="C1113" t="s">
        <v>406</v>
      </c>
      <c r="D1113" t="s">
        <v>855</v>
      </c>
      <c r="E1113">
        <v>1</v>
      </c>
      <c r="F1113" s="56">
        <v>150000</v>
      </c>
      <c r="G1113" s="56">
        <v>150000</v>
      </c>
      <c r="H1113" t="s">
        <v>872</v>
      </c>
      <c r="I1113" s="56">
        <v>0</v>
      </c>
      <c r="J1113" s="56">
        <v>15000</v>
      </c>
      <c r="K1113" s="56">
        <v>165000</v>
      </c>
      <c r="L1113" t="s">
        <v>873</v>
      </c>
      <c r="M1113" t="s">
        <v>881</v>
      </c>
      <c r="N1113" t="s">
        <v>875</v>
      </c>
      <c r="O1113" s="57">
        <v>45658</v>
      </c>
      <c r="P1113" t="s">
        <v>877</v>
      </c>
      <c r="Q1113" s="56">
        <v>150000</v>
      </c>
      <c r="R1113" t="s">
        <v>856</v>
      </c>
      <c r="S1113" t="s">
        <v>747</v>
      </c>
      <c r="T1113" t="s">
        <v>748</v>
      </c>
      <c r="U1113" t="s">
        <v>407</v>
      </c>
      <c r="V1113" t="s">
        <v>7</v>
      </c>
      <c r="W1113" t="s">
        <v>39</v>
      </c>
      <c r="X1113" t="s">
        <v>15</v>
      </c>
      <c r="Y1113" s="56">
        <f>IF(clean[[#This Row],[is_delivered]]="Yes",clean[[#This Row],[net_sales]],0 )</f>
        <v>150000</v>
      </c>
    </row>
    <row r="1114" spans="1:25">
      <c r="A1114" t="s">
        <v>975</v>
      </c>
      <c r="B1114" s="9">
        <v>45669</v>
      </c>
      <c r="C1114" t="s">
        <v>280</v>
      </c>
      <c r="D1114" t="s">
        <v>825</v>
      </c>
      <c r="E1114">
        <v>1</v>
      </c>
      <c r="F1114" s="56">
        <v>100000</v>
      </c>
      <c r="G1114" s="56">
        <v>100000</v>
      </c>
      <c r="H1114" t="s">
        <v>895</v>
      </c>
      <c r="I1114" s="56">
        <v>15000</v>
      </c>
      <c r="J1114" s="56">
        <v>25000</v>
      </c>
      <c r="K1114" s="56">
        <v>110000</v>
      </c>
      <c r="L1114" t="s">
        <v>873</v>
      </c>
      <c r="M1114" t="s">
        <v>881</v>
      </c>
      <c r="N1114" t="s">
        <v>875</v>
      </c>
      <c r="O1114" s="57">
        <v>45658</v>
      </c>
      <c r="P1114" t="s">
        <v>877</v>
      </c>
      <c r="Q1114" s="56">
        <v>85000</v>
      </c>
      <c r="R1114" t="s">
        <v>826</v>
      </c>
      <c r="S1114" t="s">
        <v>735</v>
      </c>
      <c r="T1114" t="s">
        <v>736</v>
      </c>
      <c r="U1114" t="s">
        <v>281</v>
      </c>
      <c r="V1114" t="s">
        <v>7</v>
      </c>
      <c r="W1114" t="s">
        <v>137</v>
      </c>
      <c r="X1114" t="s">
        <v>9</v>
      </c>
      <c r="Y1114" s="56">
        <f>IF(clean[[#This Row],[is_delivered]]="Yes",clean[[#This Row],[net_sales]],0 )</f>
        <v>85000</v>
      </c>
    </row>
    <row r="1115" spans="1:25">
      <c r="A1115" t="s">
        <v>1357</v>
      </c>
      <c r="B1115" s="9">
        <v>45669</v>
      </c>
      <c r="C1115" t="s">
        <v>300</v>
      </c>
      <c r="D1115" t="s">
        <v>821</v>
      </c>
      <c r="E1115">
        <v>1</v>
      </c>
      <c r="F1115" s="56">
        <v>50000</v>
      </c>
      <c r="G1115" s="56">
        <v>50000</v>
      </c>
      <c r="H1115" t="s">
        <v>883</v>
      </c>
      <c r="I1115" s="56">
        <v>5000</v>
      </c>
      <c r="J1115" s="56">
        <v>30000</v>
      </c>
      <c r="K1115" s="56">
        <v>75000</v>
      </c>
      <c r="L1115" t="s">
        <v>884</v>
      </c>
      <c r="M1115" t="s">
        <v>874</v>
      </c>
      <c r="N1115" t="s">
        <v>875</v>
      </c>
      <c r="O1115" s="57">
        <v>45658</v>
      </c>
      <c r="P1115" t="s">
        <v>877</v>
      </c>
      <c r="Q1115" s="56">
        <v>45000</v>
      </c>
      <c r="R1115" t="s">
        <v>822</v>
      </c>
      <c r="S1115" t="s">
        <v>727</v>
      </c>
      <c r="T1115" t="s">
        <v>728</v>
      </c>
      <c r="U1115" t="s">
        <v>301</v>
      </c>
      <c r="V1115" t="s">
        <v>7</v>
      </c>
      <c r="W1115" t="s">
        <v>39</v>
      </c>
      <c r="X1115" t="s">
        <v>9</v>
      </c>
      <c r="Y1115" s="56">
        <f>IF(clean[[#This Row],[is_delivered]]="Yes",clean[[#This Row],[net_sales]],0 )</f>
        <v>45000</v>
      </c>
    </row>
    <row r="1116" spans="1:25">
      <c r="A1116" t="s">
        <v>1506</v>
      </c>
      <c r="B1116" s="9">
        <v>45669</v>
      </c>
      <c r="C1116" t="s">
        <v>378</v>
      </c>
      <c r="D1116" t="s">
        <v>853</v>
      </c>
      <c r="E1116">
        <v>3</v>
      </c>
      <c r="F1116" s="56">
        <v>75000</v>
      </c>
      <c r="G1116" s="56">
        <v>225000</v>
      </c>
      <c r="H1116" t="s">
        <v>886</v>
      </c>
      <c r="I1116" s="56">
        <v>22500</v>
      </c>
      <c r="J1116" s="56">
        <v>20000</v>
      </c>
      <c r="K1116" s="56">
        <v>222500</v>
      </c>
      <c r="L1116" t="s">
        <v>884</v>
      </c>
      <c r="M1116" t="s">
        <v>881</v>
      </c>
      <c r="N1116" t="s">
        <v>875</v>
      </c>
      <c r="O1116" s="57">
        <v>45658</v>
      </c>
      <c r="P1116" t="s">
        <v>877</v>
      </c>
      <c r="Q1116" s="56">
        <v>202500</v>
      </c>
      <c r="R1116" t="s">
        <v>854</v>
      </c>
      <c r="S1116" t="s">
        <v>743</v>
      </c>
      <c r="T1116" t="s">
        <v>744</v>
      </c>
      <c r="U1116" t="s">
        <v>379</v>
      </c>
      <c r="V1116" t="s">
        <v>23</v>
      </c>
      <c r="W1116" t="s">
        <v>137</v>
      </c>
      <c r="X1116" t="s">
        <v>9</v>
      </c>
      <c r="Y1116" s="56">
        <f>IF(clean[[#This Row],[is_delivered]]="Yes",clean[[#This Row],[net_sales]],0 )</f>
        <v>202500</v>
      </c>
    </row>
    <row r="1117" spans="1:25">
      <c r="A1117" t="s">
        <v>1642</v>
      </c>
      <c r="B1117" s="9">
        <v>45669</v>
      </c>
      <c r="C1117" t="s">
        <v>684</v>
      </c>
      <c r="D1117" t="s">
        <v>817</v>
      </c>
      <c r="E1117">
        <v>1</v>
      </c>
      <c r="F1117" s="56">
        <v>75000</v>
      </c>
      <c r="G1117" s="56">
        <v>75000</v>
      </c>
      <c r="H1117" t="s">
        <v>872</v>
      </c>
      <c r="I1117" s="56">
        <v>0</v>
      </c>
      <c r="J1117" s="56">
        <v>25000</v>
      </c>
      <c r="K1117" s="56">
        <v>100000</v>
      </c>
      <c r="L1117" t="s">
        <v>884</v>
      </c>
      <c r="M1117" t="s">
        <v>874</v>
      </c>
      <c r="N1117" t="s">
        <v>875</v>
      </c>
      <c r="O1117" s="57">
        <v>45658</v>
      </c>
      <c r="P1117" t="s">
        <v>877</v>
      </c>
      <c r="Q1117" s="56">
        <v>75000</v>
      </c>
      <c r="R1117" t="s">
        <v>818</v>
      </c>
      <c r="S1117" t="s">
        <v>743</v>
      </c>
      <c r="T1117" t="s">
        <v>744</v>
      </c>
      <c r="U1117" t="s">
        <v>685</v>
      </c>
      <c r="V1117" t="s">
        <v>23</v>
      </c>
      <c r="W1117" t="s">
        <v>46</v>
      </c>
      <c r="X1117" t="s">
        <v>9</v>
      </c>
      <c r="Y1117" s="56">
        <f>IF(clean[[#This Row],[is_delivered]]="Yes",clean[[#This Row],[net_sales]],0 )</f>
        <v>75000</v>
      </c>
    </row>
    <row r="1118" spans="1:25">
      <c r="A1118" t="s">
        <v>1881</v>
      </c>
      <c r="B1118" s="9">
        <v>45669</v>
      </c>
      <c r="C1118" t="s">
        <v>34</v>
      </c>
      <c r="D1118" t="s">
        <v>783</v>
      </c>
      <c r="E1118">
        <v>1</v>
      </c>
      <c r="F1118" s="56">
        <v>500000</v>
      </c>
      <c r="G1118" s="56">
        <v>500000</v>
      </c>
      <c r="H1118" t="s">
        <v>879</v>
      </c>
      <c r="I1118" s="56">
        <v>100000</v>
      </c>
      <c r="J1118" s="56">
        <v>10000</v>
      </c>
      <c r="K1118" s="56">
        <v>410000</v>
      </c>
      <c r="L1118" t="s">
        <v>889</v>
      </c>
      <c r="M1118" t="s">
        <v>881</v>
      </c>
      <c r="N1118" t="s">
        <v>905</v>
      </c>
      <c r="O1118" s="57">
        <v>45658</v>
      </c>
      <c r="P1118" t="s">
        <v>892</v>
      </c>
      <c r="Q1118" s="56">
        <v>400000</v>
      </c>
      <c r="R1118" t="s">
        <v>784</v>
      </c>
      <c r="S1118" t="s">
        <v>747</v>
      </c>
      <c r="T1118" t="s">
        <v>748</v>
      </c>
      <c r="U1118" t="s">
        <v>35</v>
      </c>
      <c r="V1118" t="s">
        <v>23</v>
      </c>
      <c r="W1118" t="s">
        <v>36</v>
      </c>
      <c r="X1118" t="s">
        <v>24</v>
      </c>
      <c r="Y1118" s="56">
        <f>IF(clean[[#This Row],[is_delivered]]="Yes",clean[[#This Row],[net_sales]],0 )</f>
        <v>0</v>
      </c>
    </row>
    <row r="1119" spans="1:25">
      <c r="A1119" t="s">
        <v>1889</v>
      </c>
      <c r="B1119" s="9">
        <v>45669</v>
      </c>
      <c r="C1119" t="s">
        <v>356</v>
      </c>
      <c r="D1119" t="s">
        <v>733</v>
      </c>
      <c r="E1119">
        <v>1</v>
      </c>
      <c r="F1119" s="56">
        <v>150000</v>
      </c>
      <c r="G1119" s="56">
        <v>150000</v>
      </c>
      <c r="H1119" t="s">
        <v>883</v>
      </c>
      <c r="I1119" s="56">
        <v>15000</v>
      </c>
      <c r="J1119" s="56">
        <v>10000</v>
      </c>
      <c r="K1119" s="56">
        <v>145000</v>
      </c>
      <c r="L1119" t="s">
        <v>873</v>
      </c>
      <c r="M1119" t="s">
        <v>874</v>
      </c>
      <c r="N1119" t="s">
        <v>875</v>
      </c>
      <c r="O1119" s="57">
        <v>45658</v>
      </c>
      <c r="P1119" t="s">
        <v>877</v>
      </c>
      <c r="Q1119" s="56">
        <v>135000</v>
      </c>
      <c r="R1119" t="s">
        <v>734</v>
      </c>
      <c r="S1119" t="s">
        <v>735</v>
      </c>
      <c r="T1119" t="s">
        <v>736</v>
      </c>
      <c r="U1119" t="s">
        <v>357</v>
      </c>
      <c r="V1119" t="s">
        <v>7</v>
      </c>
      <c r="W1119" t="s">
        <v>56</v>
      </c>
      <c r="X1119" t="s">
        <v>9</v>
      </c>
      <c r="Y1119" s="56">
        <f>IF(clean[[#This Row],[is_delivered]]="Yes",clean[[#This Row],[net_sales]],0 )</f>
        <v>135000</v>
      </c>
    </row>
    <row r="1120" spans="1:25">
      <c r="A1120" t="s">
        <v>1976</v>
      </c>
      <c r="B1120" s="9">
        <v>45669</v>
      </c>
      <c r="C1120" t="s">
        <v>626</v>
      </c>
      <c r="D1120" t="s">
        <v>775</v>
      </c>
      <c r="E1120">
        <v>1</v>
      </c>
      <c r="F1120" s="56">
        <v>75000</v>
      </c>
      <c r="G1120" s="56">
        <v>75000</v>
      </c>
      <c r="H1120" t="s">
        <v>895</v>
      </c>
      <c r="I1120" s="56">
        <v>11250</v>
      </c>
      <c r="J1120" s="56">
        <v>30000</v>
      </c>
      <c r="K1120" s="56">
        <v>93750</v>
      </c>
      <c r="L1120" t="s">
        <v>884</v>
      </c>
      <c r="M1120" t="s">
        <v>874</v>
      </c>
      <c r="N1120" t="s">
        <v>875</v>
      </c>
      <c r="O1120" s="57">
        <v>45658</v>
      </c>
      <c r="P1120" t="s">
        <v>877</v>
      </c>
      <c r="Q1120" s="56">
        <v>63750</v>
      </c>
      <c r="R1120" t="s">
        <v>776</v>
      </c>
      <c r="S1120" t="s">
        <v>731</v>
      </c>
      <c r="T1120" t="s">
        <v>732</v>
      </c>
      <c r="U1120" t="s">
        <v>627</v>
      </c>
      <c r="V1120" t="s">
        <v>23</v>
      </c>
      <c r="W1120" t="s">
        <v>12</v>
      </c>
      <c r="X1120" t="s">
        <v>15</v>
      </c>
      <c r="Y1120" s="56">
        <f>IF(clean[[#This Row],[is_delivered]]="Yes",clean[[#This Row],[net_sales]],0 )</f>
        <v>63750</v>
      </c>
    </row>
    <row r="1121" spans="1:25">
      <c r="A1121" t="s">
        <v>1997</v>
      </c>
      <c r="B1121" s="9">
        <v>45669</v>
      </c>
      <c r="C1121" t="s">
        <v>274</v>
      </c>
      <c r="D1121" t="s">
        <v>745</v>
      </c>
      <c r="E1121">
        <v>1</v>
      </c>
      <c r="F1121" s="56">
        <v>500000</v>
      </c>
      <c r="G1121" s="56">
        <v>500000</v>
      </c>
      <c r="H1121" t="s">
        <v>886</v>
      </c>
      <c r="I1121" s="56">
        <v>50000</v>
      </c>
      <c r="J1121" s="56">
        <v>10000</v>
      </c>
      <c r="K1121" s="56">
        <v>460000</v>
      </c>
      <c r="L1121" t="s">
        <v>884</v>
      </c>
      <c r="M1121" t="s">
        <v>903</v>
      </c>
      <c r="N1121" t="s">
        <v>875</v>
      </c>
      <c r="O1121" s="57">
        <v>45658</v>
      </c>
      <c r="P1121" t="s">
        <v>877</v>
      </c>
      <c r="Q1121" s="56">
        <v>450000</v>
      </c>
      <c r="R1121" t="s">
        <v>746</v>
      </c>
      <c r="S1121" t="s">
        <v>747</v>
      </c>
      <c r="T1121" t="s">
        <v>748</v>
      </c>
      <c r="U1121" t="s">
        <v>275</v>
      </c>
      <c r="V1121" t="s">
        <v>7</v>
      </c>
      <c r="W1121" t="s">
        <v>8</v>
      </c>
      <c r="X1121" t="s">
        <v>9</v>
      </c>
      <c r="Y1121" s="56">
        <f>IF(clean[[#This Row],[is_delivered]]="Yes",clean[[#This Row],[net_sales]],0 )</f>
        <v>450000</v>
      </c>
    </row>
    <row r="1122" spans="1:25">
      <c r="A1122" t="s">
        <v>1045</v>
      </c>
      <c r="B1122" s="9">
        <v>45668</v>
      </c>
      <c r="C1122" t="s">
        <v>32</v>
      </c>
      <c r="D1122" t="s">
        <v>765</v>
      </c>
      <c r="E1122">
        <v>1</v>
      </c>
      <c r="F1122" s="56">
        <v>500000</v>
      </c>
      <c r="G1122" s="56">
        <v>500000</v>
      </c>
      <c r="H1122" t="s">
        <v>872</v>
      </c>
      <c r="I1122" s="56">
        <v>0</v>
      </c>
      <c r="J1122" s="56">
        <v>25000</v>
      </c>
      <c r="K1122" s="56">
        <v>525000</v>
      </c>
      <c r="L1122" t="s">
        <v>889</v>
      </c>
      <c r="M1122" t="s">
        <v>901</v>
      </c>
      <c r="N1122" t="s">
        <v>911</v>
      </c>
      <c r="O1122" s="57">
        <v>45658</v>
      </c>
      <c r="P1122" t="s">
        <v>892</v>
      </c>
      <c r="Q1122" s="56">
        <v>500000</v>
      </c>
      <c r="R1122" t="s">
        <v>766</v>
      </c>
      <c r="S1122" t="s">
        <v>735</v>
      </c>
      <c r="T1122" t="s">
        <v>736</v>
      </c>
      <c r="U1122" t="s">
        <v>33</v>
      </c>
      <c r="V1122" t="s">
        <v>23</v>
      </c>
      <c r="W1122" t="s">
        <v>12</v>
      </c>
      <c r="X1122" t="s">
        <v>9</v>
      </c>
      <c r="Y1122" s="56">
        <f>IF(clean[[#This Row],[is_delivered]]="Yes",clean[[#This Row],[net_sales]],0 )</f>
        <v>0</v>
      </c>
    </row>
    <row r="1123" spans="1:25">
      <c r="A1123" t="s">
        <v>995</v>
      </c>
      <c r="B1123" s="9">
        <v>45668</v>
      </c>
      <c r="C1123" t="s">
        <v>238</v>
      </c>
      <c r="D1123" t="s">
        <v>763</v>
      </c>
      <c r="E1123">
        <v>1</v>
      </c>
      <c r="F1123" s="56">
        <v>75000</v>
      </c>
      <c r="G1123" s="56">
        <v>75000</v>
      </c>
      <c r="H1123" t="s">
        <v>883</v>
      </c>
      <c r="I1123" s="56">
        <v>7500</v>
      </c>
      <c r="J1123" s="56">
        <v>15000</v>
      </c>
      <c r="K1123" s="56">
        <v>82500</v>
      </c>
      <c r="L1123" t="s">
        <v>884</v>
      </c>
      <c r="M1123" t="s">
        <v>901</v>
      </c>
      <c r="N1123" t="s">
        <v>890</v>
      </c>
      <c r="O1123" s="57">
        <v>45658</v>
      </c>
      <c r="P1123" t="s">
        <v>892</v>
      </c>
      <c r="Q1123" s="56">
        <v>67500</v>
      </c>
      <c r="R1123" t="s">
        <v>764</v>
      </c>
      <c r="S1123" t="s">
        <v>731</v>
      </c>
      <c r="T1123" t="s">
        <v>732</v>
      </c>
      <c r="U1123" t="s">
        <v>239</v>
      </c>
      <c r="V1123" t="s">
        <v>23</v>
      </c>
      <c r="W1123" t="s">
        <v>46</v>
      </c>
      <c r="X1123" t="s">
        <v>9</v>
      </c>
      <c r="Y1123" s="56">
        <f>IF(clean[[#This Row],[is_delivered]]="Yes",clean[[#This Row],[net_sales]],0 )</f>
        <v>0</v>
      </c>
    </row>
    <row r="1124" spans="1:25">
      <c r="A1124" t="s">
        <v>1392</v>
      </c>
      <c r="B1124" s="9">
        <v>45668</v>
      </c>
      <c r="C1124" t="s">
        <v>326</v>
      </c>
      <c r="D1124" t="s">
        <v>819</v>
      </c>
      <c r="E1124">
        <v>1</v>
      </c>
      <c r="F1124" s="56">
        <v>300000</v>
      </c>
      <c r="G1124" s="56">
        <v>300000</v>
      </c>
      <c r="H1124" t="s">
        <v>895</v>
      </c>
      <c r="I1124" s="56">
        <v>45000</v>
      </c>
      <c r="J1124" s="56">
        <v>25000</v>
      </c>
      <c r="K1124" s="56">
        <v>280000</v>
      </c>
      <c r="L1124" t="s">
        <v>884</v>
      </c>
      <c r="M1124" t="s">
        <v>881</v>
      </c>
      <c r="N1124" t="s">
        <v>911</v>
      </c>
      <c r="O1124" s="57">
        <v>45658</v>
      </c>
      <c r="P1124" t="s">
        <v>892</v>
      </c>
      <c r="Q1124" s="56">
        <v>255000</v>
      </c>
      <c r="R1124" t="s">
        <v>820</v>
      </c>
      <c r="S1124" t="s">
        <v>747</v>
      </c>
      <c r="T1124" t="s">
        <v>748</v>
      </c>
      <c r="U1124" t="s">
        <v>327</v>
      </c>
      <c r="V1124" t="s">
        <v>7</v>
      </c>
      <c r="W1124" t="s">
        <v>8</v>
      </c>
      <c r="X1124" t="s">
        <v>9</v>
      </c>
      <c r="Y1124" s="56">
        <f>IF(clean[[#This Row],[is_delivered]]="Yes",clean[[#This Row],[net_sales]],0 )</f>
        <v>0</v>
      </c>
    </row>
    <row r="1125" spans="1:25">
      <c r="A1125" t="s">
        <v>1607</v>
      </c>
      <c r="B1125" s="9">
        <v>45668</v>
      </c>
      <c r="C1125" t="s">
        <v>404</v>
      </c>
      <c r="D1125" t="s">
        <v>765</v>
      </c>
      <c r="E1125">
        <v>1</v>
      </c>
      <c r="F1125" s="56">
        <v>500000</v>
      </c>
      <c r="G1125" s="56">
        <v>500000</v>
      </c>
      <c r="H1125" t="s">
        <v>872</v>
      </c>
      <c r="I1125" s="56">
        <v>0</v>
      </c>
      <c r="J1125" s="56">
        <v>20000</v>
      </c>
      <c r="K1125" s="56">
        <v>520000</v>
      </c>
      <c r="L1125" t="s">
        <v>884</v>
      </c>
      <c r="M1125" t="s">
        <v>881</v>
      </c>
      <c r="N1125" t="s">
        <v>875</v>
      </c>
      <c r="O1125" s="57">
        <v>45658</v>
      </c>
      <c r="P1125" t="s">
        <v>877</v>
      </c>
      <c r="Q1125" s="56">
        <v>500000</v>
      </c>
      <c r="R1125" t="s">
        <v>766</v>
      </c>
      <c r="S1125" t="s">
        <v>735</v>
      </c>
      <c r="T1125" t="s">
        <v>736</v>
      </c>
      <c r="U1125" t="s">
        <v>405</v>
      </c>
      <c r="V1125" t="s">
        <v>23</v>
      </c>
      <c r="W1125" t="s">
        <v>39</v>
      </c>
      <c r="X1125" t="s">
        <v>15</v>
      </c>
      <c r="Y1125" s="56">
        <f>IF(clean[[#This Row],[is_delivered]]="Yes",clean[[#This Row],[net_sales]],0 )</f>
        <v>500000</v>
      </c>
    </row>
    <row r="1126" spans="1:25">
      <c r="A1126" t="s">
        <v>1720</v>
      </c>
      <c r="B1126" s="9">
        <v>45668</v>
      </c>
      <c r="C1126" t="s">
        <v>670</v>
      </c>
      <c r="D1126" t="s">
        <v>853</v>
      </c>
      <c r="E1126">
        <v>1</v>
      </c>
      <c r="F1126" s="56">
        <v>75000</v>
      </c>
      <c r="G1126" s="56">
        <v>75000</v>
      </c>
      <c r="H1126" t="s">
        <v>886</v>
      </c>
      <c r="I1126" s="56">
        <v>7500</v>
      </c>
      <c r="J1126" s="56">
        <v>25000</v>
      </c>
      <c r="K1126" s="56">
        <v>92500</v>
      </c>
      <c r="L1126" t="s">
        <v>880</v>
      </c>
      <c r="M1126" t="s">
        <v>901</v>
      </c>
      <c r="N1126" t="s">
        <v>890</v>
      </c>
      <c r="O1126" s="57">
        <v>45658</v>
      </c>
      <c r="P1126" t="s">
        <v>892</v>
      </c>
      <c r="Q1126" s="56">
        <v>67500</v>
      </c>
      <c r="R1126" t="s">
        <v>854</v>
      </c>
      <c r="S1126" t="s">
        <v>743</v>
      </c>
      <c r="T1126" t="s">
        <v>744</v>
      </c>
      <c r="U1126" t="s">
        <v>671</v>
      </c>
      <c r="V1126" t="s">
        <v>23</v>
      </c>
      <c r="W1126" t="s">
        <v>12</v>
      </c>
      <c r="X1126" t="s">
        <v>24</v>
      </c>
      <c r="Y1126" s="56">
        <f>IF(clean[[#This Row],[is_delivered]]="Yes",clean[[#This Row],[net_sales]],0 )</f>
        <v>0</v>
      </c>
    </row>
    <row r="1127" spans="1:25">
      <c r="A1127" t="s">
        <v>1943</v>
      </c>
      <c r="B1127" s="9">
        <v>45668</v>
      </c>
      <c r="C1127" t="s">
        <v>10</v>
      </c>
      <c r="D1127" t="s">
        <v>835</v>
      </c>
      <c r="E1127">
        <v>1</v>
      </c>
      <c r="F1127" s="56">
        <v>200000</v>
      </c>
      <c r="G1127" s="56">
        <v>200000</v>
      </c>
      <c r="H1127" t="s">
        <v>886</v>
      </c>
      <c r="I1127" s="56">
        <v>20000</v>
      </c>
      <c r="J1127" s="56">
        <v>10000</v>
      </c>
      <c r="K1127" s="56">
        <v>190000</v>
      </c>
      <c r="L1127" t="s">
        <v>873</v>
      </c>
      <c r="M1127" t="s">
        <v>881</v>
      </c>
      <c r="N1127" t="s">
        <v>921</v>
      </c>
      <c r="O1127" s="57">
        <v>45658</v>
      </c>
      <c r="P1127" t="s">
        <v>892</v>
      </c>
      <c r="Q1127" s="56">
        <v>180000</v>
      </c>
      <c r="R1127" t="s">
        <v>836</v>
      </c>
      <c r="S1127" t="s">
        <v>731</v>
      </c>
      <c r="T1127" t="s">
        <v>732</v>
      </c>
      <c r="U1127" t="s">
        <v>11</v>
      </c>
      <c r="V1127" t="s">
        <v>7</v>
      </c>
      <c r="W1127" t="s">
        <v>12</v>
      </c>
      <c r="X1127" t="s">
        <v>9</v>
      </c>
      <c r="Y1127" s="56">
        <f>IF(clean[[#This Row],[is_delivered]]="Yes",clean[[#This Row],[net_sales]],0 )</f>
        <v>0</v>
      </c>
    </row>
    <row r="1128" spans="1:25">
      <c r="A1128" t="s">
        <v>1155</v>
      </c>
      <c r="B1128" s="9">
        <v>45667</v>
      </c>
      <c r="C1128" t="s">
        <v>125</v>
      </c>
      <c r="D1128" t="s">
        <v>839</v>
      </c>
      <c r="E1128">
        <v>2</v>
      </c>
      <c r="F1128" s="56">
        <v>200000</v>
      </c>
      <c r="G1128" s="56">
        <v>400000</v>
      </c>
      <c r="H1128" t="s">
        <v>872</v>
      </c>
      <c r="I1128" s="56">
        <v>0</v>
      </c>
      <c r="J1128" s="56">
        <v>30000</v>
      </c>
      <c r="K1128" s="56">
        <v>430000</v>
      </c>
      <c r="L1128" t="s">
        <v>889</v>
      </c>
      <c r="M1128" t="s">
        <v>874</v>
      </c>
      <c r="N1128" t="s">
        <v>890</v>
      </c>
      <c r="O1128" s="57">
        <v>45658</v>
      </c>
      <c r="P1128" t="s">
        <v>892</v>
      </c>
      <c r="Q1128" s="56">
        <v>400000</v>
      </c>
      <c r="R1128" t="s">
        <v>840</v>
      </c>
      <c r="S1128" t="s">
        <v>739</v>
      </c>
      <c r="T1128" t="s">
        <v>740</v>
      </c>
      <c r="U1128" t="s">
        <v>126</v>
      </c>
      <c r="V1128" t="s">
        <v>23</v>
      </c>
      <c r="W1128" t="s">
        <v>56</v>
      </c>
      <c r="X1128" t="s">
        <v>9</v>
      </c>
      <c r="Y1128" s="56">
        <f>IF(clean[[#This Row],[is_delivered]]="Yes",clean[[#This Row],[net_sales]],0 )</f>
        <v>0</v>
      </c>
    </row>
    <row r="1129" spans="1:25">
      <c r="A1129" t="s">
        <v>1044</v>
      </c>
      <c r="B1129" s="9">
        <v>45667</v>
      </c>
      <c r="C1129" t="s">
        <v>316</v>
      </c>
      <c r="D1129" t="s">
        <v>807</v>
      </c>
      <c r="E1129">
        <v>2</v>
      </c>
      <c r="F1129" s="56">
        <v>150000</v>
      </c>
      <c r="G1129" s="56">
        <v>300000</v>
      </c>
      <c r="H1129" t="s">
        <v>886</v>
      </c>
      <c r="I1129" s="56">
        <v>30000</v>
      </c>
      <c r="J1129" s="56">
        <v>25000</v>
      </c>
      <c r="K1129" s="56">
        <v>295000</v>
      </c>
      <c r="L1129" t="s">
        <v>889</v>
      </c>
      <c r="M1129" t="s">
        <v>901</v>
      </c>
      <c r="N1129" t="s">
        <v>875</v>
      </c>
      <c r="O1129" s="57">
        <v>45658</v>
      </c>
      <c r="P1129" t="s">
        <v>877</v>
      </c>
      <c r="Q1129" s="56">
        <v>270000</v>
      </c>
      <c r="R1129" t="s">
        <v>808</v>
      </c>
      <c r="S1129" t="s">
        <v>747</v>
      </c>
      <c r="T1129" t="s">
        <v>748</v>
      </c>
      <c r="U1129" t="s">
        <v>317</v>
      </c>
      <c r="V1129" t="s">
        <v>23</v>
      </c>
      <c r="W1129" t="s">
        <v>46</v>
      </c>
      <c r="X1129" t="s">
        <v>9</v>
      </c>
      <c r="Y1129" s="56">
        <f>IF(clean[[#This Row],[is_delivered]]="Yes",clean[[#This Row],[net_sales]],0 )</f>
        <v>270000</v>
      </c>
    </row>
    <row r="1130" spans="1:25">
      <c r="A1130" t="s">
        <v>1372</v>
      </c>
      <c r="B1130" s="9">
        <v>45667</v>
      </c>
      <c r="C1130" t="s">
        <v>614</v>
      </c>
      <c r="D1130" t="s">
        <v>815</v>
      </c>
      <c r="E1130">
        <v>1</v>
      </c>
      <c r="F1130" s="56">
        <v>75000</v>
      </c>
      <c r="G1130" s="56">
        <v>75000</v>
      </c>
      <c r="H1130" t="s">
        <v>872</v>
      </c>
      <c r="I1130" s="56">
        <v>0</v>
      </c>
      <c r="J1130" s="56">
        <v>30000</v>
      </c>
      <c r="K1130" s="56">
        <v>105000</v>
      </c>
      <c r="L1130" t="s">
        <v>873</v>
      </c>
      <c r="M1130" t="s">
        <v>903</v>
      </c>
      <c r="N1130" t="s">
        <v>875</v>
      </c>
      <c r="O1130" s="57">
        <v>45658</v>
      </c>
      <c r="P1130" t="s">
        <v>877</v>
      </c>
      <c r="Q1130" s="56">
        <v>75000</v>
      </c>
      <c r="R1130" t="s">
        <v>816</v>
      </c>
      <c r="S1130" t="s">
        <v>739</v>
      </c>
      <c r="T1130" t="s">
        <v>740</v>
      </c>
      <c r="U1130" t="s">
        <v>615</v>
      </c>
      <c r="V1130" t="s">
        <v>23</v>
      </c>
      <c r="W1130" t="s">
        <v>51</v>
      </c>
      <c r="X1130" t="s">
        <v>9</v>
      </c>
      <c r="Y1130" s="56">
        <f>IF(clean[[#This Row],[is_delivered]]="Yes",clean[[#This Row],[net_sales]],0 )</f>
        <v>75000</v>
      </c>
    </row>
    <row r="1131" spans="1:25">
      <c r="A1131" t="s">
        <v>1415</v>
      </c>
      <c r="B1131" s="9">
        <v>45667</v>
      </c>
      <c r="C1131" t="s">
        <v>714</v>
      </c>
      <c r="D1131" t="s">
        <v>793</v>
      </c>
      <c r="E1131">
        <v>4</v>
      </c>
      <c r="F1131" s="56">
        <v>500000</v>
      </c>
      <c r="G1131" s="56">
        <v>2000000</v>
      </c>
      <c r="H1131" t="s">
        <v>886</v>
      </c>
      <c r="I1131" s="56">
        <v>200000</v>
      </c>
      <c r="J1131" s="56">
        <v>20000</v>
      </c>
      <c r="K1131" s="56">
        <v>1820000</v>
      </c>
      <c r="L1131" t="s">
        <v>884</v>
      </c>
      <c r="M1131" t="s">
        <v>903</v>
      </c>
      <c r="N1131" t="s">
        <v>875</v>
      </c>
      <c r="O1131" s="57">
        <v>45658</v>
      </c>
      <c r="P1131" t="s">
        <v>877</v>
      </c>
      <c r="Q1131" s="56">
        <v>1800000</v>
      </c>
      <c r="R1131" t="s">
        <v>794</v>
      </c>
      <c r="S1131" t="s">
        <v>743</v>
      </c>
      <c r="T1131" t="s">
        <v>744</v>
      </c>
      <c r="U1131" t="s">
        <v>715</v>
      </c>
      <c r="V1131" t="s">
        <v>23</v>
      </c>
      <c r="W1131" t="s">
        <v>29</v>
      </c>
      <c r="X1131" t="s">
        <v>9</v>
      </c>
      <c r="Y1131" s="56">
        <f>IF(clean[[#This Row],[is_delivered]]="Yes",clean[[#This Row],[net_sales]],0 )</f>
        <v>1800000</v>
      </c>
    </row>
    <row r="1132" spans="1:25">
      <c r="A1132" t="s">
        <v>1514</v>
      </c>
      <c r="B1132" s="9">
        <v>45667</v>
      </c>
      <c r="C1132" t="s">
        <v>442</v>
      </c>
      <c r="D1132" t="s">
        <v>831</v>
      </c>
      <c r="E1132">
        <v>2</v>
      </c>
      <c r="F1132" s="56">
        <v>300000</v>
      </c>
      <c r="G1132" s="56">
        <v>600000</v>
      </c>
      <c r="H1132" t="s">
        <v>883</v>
      </c>
      <c r="I1132" s="56">
        <v>60000</v>
      </c>
      <c r="J1132" s="56">
        <v>15000</v>
      </c>
      <c r="K1132" s="56">
        <v>555000</v>
      </c>
      <c r="L1132" t="s">
        <v>884</v>
      </c>
      <c r="M1132" t="s">
        <v>903</v>
      </c>
      <c r="N1132" t="s">
        <v>875</v>
      </c>
      <c r="O1132" s="57">
        <v>45658</v>
      </c>
      <c r="P1132" t="s">
        <v>877</v>
      </c>
      <c r="Q1132" s="56">
        <v>540000</v>
      </c>
      <c r="R1132" t="s">
        <v>832</v>
      </c>
      <c r="S1132" t="s">
        <v>747</v>
      </c>
      <c r="T1132" t="s">
        <v>748</v>
      </c>
      <c r="U1132" t="s">
        <v>443</v>
      </c>
      <c r="V1132" t="s">
        <v>23</v>
      </c>
      <c r="W1132" t="s">
        <v>137</v>
      </c>
      <c r="X1132" t="s">
        <v>24</v>
      </c>
      <c r="Y1132" s="56">
        <f>IF(clean[[#This Row],[is_delivered]]="Yes",clean[[#This Row],[net_sales]],0 )</f>
        <v>540000</v>
      </c>
    </row>
    <row r="1133" spans="1:25">
      <c r="A1133" t="s">
        <v>1536</v>
      </c>
      <c r="B1133" s="9">
        <v>45667</v>
      </c>
      <c r="C1133" t="s">
        <v>16</v>
      </c>
      <c r="D1133" t="s">
        <v>797</v>
      </c>
      <c r="E1133">
        <v>1</v>
      </c>
      <c r="F1133" s="56">
        <v>150000</v>
      </c>
      <c r="G1133" s="56">
        <v>150000</v>
      </c>
      <c r="H1133" t="s">
        <v>872</v>
      </c>
      <c r="I1133" s="56">
        <v>0</v>
      </c>
      <c r="J1133" s="56">
        <v>25000</v>
      </c>
      <c r="K1133" s="56">
        <v>175000</v>
      </c>
      <c r="L1133" t="s">
        <v>884</v>
      </c>
      <c r="M1133" t="s">
        <v>881</v>
      </c>
      <c r="N1133" t="s">
        <v>875</v>
      </c>
      <c r="O1133" s="57">
        <v>45658</v>
      </c>
      <c r="P1133" t="s">
        <v>877</v>
      </c>
      <c r="Q1133" s="56">
        <v>150000</v>
      </c>
      <c r="R1133" t="s">
        <v>798</v>
      </c>
      <c r="S1133" t="s">
        <v>727</v>
      </c>
      <c r="T1133" t="s">
        <v>728</v>
      </c>
      <c r="U1133" t="s">
        <v>17</v>
      </c>
      <c r="V1133" t="s">
        <v>7</v>
      </c>
      <c r="W1133" t="s">
        <v>12</v>
      </c>
      <c r="X1133" t="s">
        <v>15</v>
      </c>
      <c r="Y1133" s="56">
        <f>IF(clean[[#This Row],[is_delivered]]="Yes",clean[[#This Row],[net_sales]],0 )</f>
        <v>150000</v>
      </c>
    </row>
    <row r="1134" spans="1:25">
      <c r="A1134" t="s">
        <v>1769</v>
      </c>
      <c r="B1134" s="9">
        <v>45667</v>
      </c>
      <c r="C1134" t="s">
        <v>27</v>
      </c>
      <c r="D1134" t="s">
        <v>777</v>
      </c>
      <c r="E1134">
        <v>2</v>
      </c>
      <c r="F1134" s="56">
        <v>200000</v>
      </c>
      <c r="G1134" s="56">
        <v>400000</v>
      </c>
      <c r="H1134" t="s">
        <v>872</v>
      </c>
      <c r="I1134" s="56">
        <v>0</v>
      </c>
      <c r="J1134" s="56">
        <v>20000</v>
      </c>
      <c r="K1134" s="56">
        <v>420000</v>
      </c>
      <c r="L1134" t="s">
        <v>873</v>
      </c>
      <c r="M1134" t="s">
        <v>903</v>
      </c>
      <c r="N1134" t="s">
        <v>875</v>
      </c>
      <c r="O1134" s="57">
        <v>45658</v>
      </c>
      <c r="P1134" t="s">
        <v>877</v>
      </c>
      <c r="Q1134" s="56">
        <v>400000</v>
      </c>
      <c r="R1134" t="s">
        <v>778</v>
      </c>
      <c r="S1134" t="s">
        <v>735</v>
      </c>
      <c r="T1134" t="s">
        <v>736</v>
      </c>
      <c r="U1134" t="s">
        <v>28</v>
      </c>
      <c r="V1134" t="s">
        <v>7</v>
      </c>
      <c r="W1134" t="s">
        <v>29</v>
      </c>
      <c r="X1134" t="s">
        <v>9</v>
      </c>
      <c r="Y1134" s="56">
        <f>IF(clean[[#This Row],[is_delivered]]="Yes",clean[[#This Row],[net_sales]],0 )</f>
        <v>400000</v>
      </c>
    </row>
    <row r="1135" spans="1:25">
      <c r="A1135" t="s">
        <v>1882</v>
      </c>
      <c r="B1135" s="9">
        <v>45667</v>
      </c>
      <c r="C1135" t="s">
        <v>178</v>
      </c>
      <c r="D1135" t="s">
        <v>737</v>
      </c>
      <c r="E1135">
        <v>1</v>
      </c>
      <c r="F1135" s="56">
        <v>300000</v>
      </c>
      <c r="G1135" s="56">
        <v>300000</v>
      </c>
      <c r="H1135" t="s">
        <v>895</v>
      </c>
      <c r="I1135" s="56">
        <v>45000</v>
      </c>
      <c r="J1135" s="56">
        <v>20000</v>
      </c>
      <c r="K1135" s="56">
        <v>275000</v>
      </c>
      <c r="L1135" t="s">
        <v>884</v>
      </c>
      <c r="M1135" t="s">
        <v>881</v>
      </c>
      <c r="N1135" t="s">
        <v>911</v>
      </c>
      <c r="O1135" s="57">
        <v>45658</v>
      </c>
      <c r="P1135" t="s">
        <v>892</v>
      </c>
      <c r="Q1135" s="56">
        <v>255000</v>
      </c>
      <c r="R1135" t="s">
        <v>738</v>
      </c>
      <c r="S1135" t="s">
        <v>739</v>
      </c>
      <c r="T1135" t="s">
        <v>740</v>
      </c>
      <c r="U1135" t="s">
        <v>179</v>
      </c>
      <c r="V1135" t="s">
        <v>7</v>
      </c>
      <c r="W1135" t="s">
        <v>137</v>
      </c>
      <c r="X1135" t="s">
        <v>24</v>
      </c>
      <c r="Y1135" s="56">
        <f>IF(clean[[#This Row],[is_delivered]]="Yes",clean[[#This Row],[net_sales]],0 )</f>
        <v>0</v>
      </c>
    </row>
    <row r="1136" spans="1:25">
      <c r="A1136" t="s">
        <v>1113</v>
      </c>
      <c r="B1136" s="9">
        <v>45666</v>
      </c>
      <c r="C1136" t="s">
        <v>706</v>
      </c>
      <c r="D1136" t="s">
        <v>809</v>
      </c>
      <c r="E1136">
        <v>1</v>
      </c>
      <c r="F1136" s="56">
        <v>100000</v>
      </c>
      <c r="G1136" s="56">
        <v>100000</v>
      </c>
      <c r="H1136" t="s">
        <v>883</v>
      </c>
      <c r="I1136" s="56">
        <v>10000</v>
      </c>
      <c r="J1136" s="56">
        <v>10000</v>
      </c>
      <c r="K1136" s="56">
        <v>100000</v>
      </c>
      <c r="L1136" t="s">
        <v>889</v>
      </c>
      <c r="M1136" t="s">
        <v>881</v>
      </c>
      <c r="N1136" t="s">
        <v>875</v>
      </c>
      <c r="O1136" s="57">
        <v>45658</v>
      </c>
      <c r="P1136" t="s">
        <v>877</v>
      </c>
      <c r="Q1136" s="56">
        <v>90000</v>
      </c>
      <c r="R1136" t="s">
        <v>810</v>
      </c>
      <c r="S1136" t="s">
        <v>727</v>
      </c>
      <c r="T1136" t="s">
        <v>728</v>
      </c>
      <c r="U1136" t="s">
        <v>707</v>
      </c>
      <c r="V1136" t="s">
        <v>7</v>
      </c>
      <c r="W1136" t="s">
        <v>39</v>
      </c>
      <c r="X1136" t="s">
        <v>9</v>
      </c>
      <c r="Y1136" s="56">
        <f>IF(clean[[#This Row],[is_delivered]]="Yes",clean[[#This Row],[net_sales]],0 )</f>
        <v>90000</v>
      </c>
    </row>
    <row r="1137" spans="1:25">
      <c r="A1137" t="s">
        <v>1417</v>
      </c>
      <c r="B1137" s="9">
        <v>45666</v>
      </c>
      <c r="C1137" t="s">
        <v>650</v>
      </c>
      <c r="D1137" t="s">
        <v>763</v>
      </c>
      <c r="E1137">
        <v>2</v>
      </c>
      <c r="F1137" s="56">
        <v>75000</v>
      </c>
      <c r="G1137" s="56">
        <v>150000</v>
      </c>
      <c r="H1137" t="s">
        <v>872</v>
      </c>
      <c r="I1137" s="56">
        <v>0</v>
      </c>
      <c r="J1137" s="56">
        <v>10000</v>
      </c>
      <c r="K1137" s="56">
        <v>160000</v>
      </c>
      <c r="L1137" t="s">
        <v>880</v>
      </c>
      <c r="M1137" t="s">
        <v>881</v>
      </c>
      <c r="N1137" t="s">
        <v>875</v>
      </c>
      <c r="O1137" s="57">
        <v>45658</v>
      </c>
      <c r="P1137" t="s">
        <v>877</v>
      </c>
      <c r="Q1137" s="56">
        <v>150000</v>
      </c>
      <c r="R1137" t="s">
        <v>764</v>
      </c>
      <c r="S1137" t="s">
        <v>731</v>
      </c>
      <c r="T1137" t="s">
        <v>732</v>
      </c>
      <c r="U1137" t="s">
        <v>651</v>
      </c>
      <c r="V1137" t="s">
        <v>23</v>
      </c>
      <c r="W1137" t="s">
        <v>20</v>
      </c>
      <c r="X1137" t="s">
        <v>9</v>
      </c>
      <c r="Y1137" s="56">
        <f>IF(clean[[#This Row],[is_delivered]]="Yes",clean[[#This Row],[net_sales]],0 )</f>
        <v>150000</v>
      </c>
    </row>
    <row r="1138" spans="1:25">
      <c r="A1138" t="s">
        <v>1467</v>
      </c>
      <c r="B1138" s="9">
        <v>45666</v>
      </c>
      <c r="C1138" t="s">
        <v>218</v>
      </c>
      <c r="D1138" t="s">
        <v>779</v>
      </c>
      <c r="E1138">
        <v>3</v>
      </c>
      <c r="F1138" s="56">
        <v>150000</v>
      </c>
      <c r="G1138" s="56">
        <v>450000</v>
      </c>
      <c r="H1138" t="s">
        <v>895</v>
      </c>
      <c r="I1138" s="56">
        <v>67500</v>
      </c>
      <c r="J1138" s="56">
        <v>10000</v>
      </c>
      <c r="K1138" s="56">
        <v>392500</v>
      </c>
      <c r="L1138" t="s">
        <v>889</v>
      </c>
      <c r="M1138" t="s">
        <v>903</v>
      </c>
      <c r="N1138" t="s">
        <v>890</v>
      </c>
      <c r="O1138" s="57">
        <v>45658</v>
      </c>
      <c r="P1138" t="s">
        <v>892</v>
      </c>
      <c r="Q1138" s="56">
        <v>382500</v>
      </c>
      <c r="R1138" t="s">
        <v>780</v>
      </c>
      <c r="S1138" t="s">
        <v>739</v>
      </c>
      <c r="T1138" t="s">
        <v>740</v>
      </c>
      <c r="U1138" t="s">
        <v>219</v>
      </c>
      <c r="V1138" t="s">
        <v>23</v>
      </c>
      <c r="W1138" t="s">
        <v>137</v>
      </c>
      <c r="X1138" t="s">
        <v>9</v>
      </c>
      <c r="Y1138" s="56">
        <f>IF(clean[[#This Row],[is_delivered]]="Yes",clean[[#This Row],[net_sales]],0 )</f>
        <v>0</v>
      </c>
    </row>
    <row r="1139" spans="1:25">
      <c r="A1139" t="s">
        <v>1549</v>
      </c>
      <c r="B1139" s="9">
        <v>45666</v>
      </c>
      <c r="C1139" t="s">
        <v>308</v>
      </c>
      <c r="D1139" t="s">
        <v>741</v>
      </c>
      <c r="E1139">
        <v>1</v>
      </c>
      <c r="F1139" s="56">
        <v>75000</v>
      </c>
      <c r="G1139" s="56">
        <v>75000</v>
      </c>
      <c r="H1139" t="s">
        <v>879</v>
      </c>
      <c r="I1139" s="56">
        <v>15000</v>
      </c>
      <c r="J1139" s="56">
        <v>20000</v>
      </c>
      <c r="K1139" s="56">
        <v>80000</v>
      </c>
      <c r="L1139" t="s">
        <v>884</v>
      </c>
      <c r="M1139" t="s">
        <v>901</v>
      </c>
      <c r="N1139" t="s">
        <v>875</v>
      </c>
      <c r="O1139" s="57">
        <v>45658</v>
      </c>
      <c r="P1139" t="s">
        <v>877</v>
      </c>
      <c r="Q1139" s="56">
        <v>60000</v>
      </c>
      <c r="R1139" t="s">
        <v>742</v>
      </c>
      <c r="S1139" t="s">
        <v>743</v>
      </c>
      <c r="T1139" t="s">
        <v>744</v>
      </c>
      <c r="U1139" t="s">
        <v>309</v>
      </c>
      <c r="V1139" t="s">
        <v>23</v>
      </c>
      <c r="W1139" t="s">
        <v>51</v>
      </c>
      <c r="X1139" t="s">
        <v>24</v>
      </c>
      <c r="Y1139" s="56">
        <f>IF(clean[[#This Row],[is_delivered]]="Yes",clean[[#This Row],[net_sales]],0 )</f>
        <v>60000</v>
      </c>
    </row>
    <row r="1140" spans="1:25">
      <c r="A1140" t="s">
        <v>1698</v>
      </c>
      <c r="B1140" s="9">
        <v>45666</v>
      </c>
      <c r="C1140" t="s">
        <v>596</v>
      </c>
      <c r="D1140" t="s">
        <v>855</v>
      </c>
      <c r="E1140">
        <v>1</v>
      </c>
      <c r="F1140" s="56">
        <v>150000</v>
      </c>
      <c r="G1140" s="56">
        <v>150000</v>
      </c>
      <c r="H1140" t="s">
        <v>872</v>
      </c>
      <c r="I1140" s="56">
        <v>0</v>
      </c>
      <c r="J1140" s="56">
        <v>20000</v>
      </c>
      <c r="K1140" s="56">
        <v>170000</v>
      </c>
      <c r="L1140" t="s">
        <v>884</v>
      </c>
      <c r="M1140" t="s">
        <v>901</v>
      </c>
      <c r="N1140" t="s">
        <v>890</v>
      </c>
      <c r="O1140" s="57">
        <v>45658</v>
      </c>
      <c r="P1140" t="s">
        <v>892</v>
      </c>
      <c r="Q1140" s="56">
        <v>150000</v>
      </c>
      <c r="R1140" t="s">
        <v>856</v>
      </c>
      <c r="S1140" t="s">
        <v>747</v>
      </c>
      <c r="T1140" t="s">
        <v>748</v>
      </c>
      <c r="U1140" t="s">
        <v>597</v>
      </c>
      <c r="V1140" t="s">
        <v>23</v>
      </c>
      <c r="W1140" t="s">
        <v>137</v>
      </c>
      <c r="X1140" t="s">
        <v>24</v>
      </c>
      <c r="Y1140" s="56">
        <f>IF(clean[[#This Row],[is_delivered]]="Yes",clean[[#This Row],[net_sales]],0 )</f>
        <v>0</v>
      </c>
    </row>
    <row r="1141" spans="1:25">
      <c r="A1141" t="s">
        <v>1762</v>
      </c>
      <c r="B1141" s="9">
        <v>45666</v>
      </c>
      <c r="C1141" t="s">
        <v>138</v>
      </c>
      <c r="D1141" t="s">
        <v>833</v>
      </c>
      <c r="E1141">
        <v>1</v>
      </c>
      <c r="F1141" s="56">
        <v>200000</v>
      </c>
      <c r="G1141" s="56">
        <v>200000</v>
      </c>
      <c r="H1141" t="s">
        <v>879</v>
      </c>
      <c r="I1141" s="56">
        <v>40000</v>
      </c>
      <c r="J1141" s="56">
        <v>30000</v>
      </c>
      <c r="K1141" s="56">
        <v>190000</v>
      </c>
      <c r="L1141" t="s">
        <v>889</v>
      </c>
      <c r="M1141" t="s">
        <v>881</v>
      </c>
      <c r="N1141" t="s">
        <v>875</v>
      </c>
      <c r="O1141" s="57">
        <v>45658</v>
      </c>
      <c r="P1141" t="s">
        <v>877</v>
      </c>
      <c r="Q1141" s="56">
        <v>160000</v>
      </c>
      <c r="R1141" t="s">
        <v>834</v>
      </c>
      <c r="S1141" t="s">
        <v>727</v>
      </c>
      <c r="T1141" t="s">
        <v>728</v>
      </c>
      <c r="U1141" t="s">
        <v>139</v>
      </c>
      <c r="V1141" t="s">
        <v>7</v>
      </c>
      <c r="W1141" t="s">
        <v>29</v>
      </c>
      <c r="X1141" t="s">
        <v>9</v>
      </c>
      <c r="Y1141" s="56">
        <f>IF(clean[[#This Row],[is_delivered]]="Yes",clean[[#This Row],[net_sales]],0 )</f>
        <v>160000</v>
      </c>
    </row>
    <row r="1142" spans="1:25">
      <c r="A1142" t="s">
        <v>1771</v>
      </c>
      <c r="B1142" s="9">
        <v>45666</v>
      </c>
      <c r="C1142" t="s">
        <v>448</v>
      </c>
      <c r="D1142" t="s">
        <v>759</v>
      </c>
      <c r="E1142">
        <v>1</v>
      </c>
      <c r="F1142" s="56">
        <v>300000</v>
      </c>
      <c r="G1142" s="56">
        <v>300000</v>
      </c>
      <c r="H1142" t="s">
        <v>872</v>
      </c>
      <c r="I1142" s="56">
        <v>0</v>
      </c>
      <c r="J1142" s="56">
        <v>15000</v>
      </c>
      <c r="K1142" s="56">
        <v>315000</v>
      </c>
      <c r="L1142" t="s">
        <v>873</v>
      </c>
      <c r="M1142" t="s">
        <v>903</v>
      </c>
      <c r="N1142" t="s">
        <v>911</v>
      </c>
      <c r="O1142" s="57">
        <v>45658</v>
      </c>
      <c r="P1142" t="s">
        <v>892</v>
      </c>
      <c r="Q1142" s="56">
        <v>300000</v>
      </c>
      <c r="R1142" t="s">
        <v>760</v>
      </c>
      <c r="S1142" t="s">
        <v>747</v>
      </c>
      <c r="T1142" t="s">
        <v>748</v>
      </c>
      <c r="U1142" t="s">
        <v>449</v>
      </c>
      <c r="V1142" t="s">
        <v>7</v>
      </c>
      <c r="W1142" t="s">
        <v>12</v>
      </c>
      <c r="X1142" t="s">
        <v>9</v>
      </c>
      <c r="Y1142" s="56">
        <f>IF(clean[[#This Row],[is_delivered]]="Yes",clean[[#This Row],[net_sales]],0 )</f>
        <v>0</v>
      </c>
    </row>
    <row r="1143" spans="1:25">
      <c r="A1143" t="s">
        <v>1836</v>
      </c>
      <c r="B1143" s="9">
        <v>45666</v>
      </c>
      <c r="C1143" t="s">
        <v>296</v>
      </c>
      <c r="D1143" t="s">
        <v>757</v>
      </c>
      <c r="E1143">
        <v>3</v>
      </c>
      <c r="F1143" s="56">
        <v>75000</v>
      </c>
      <c r="G1143" s="56">
        <v>225000</v>
      </c>
      <c r="H1143" t="s">
        <v>883</v>
      </c>
      <c r="I1143" s="56">
        <v>22500</v>
      </c>
      <c r="J1143" s="56">
        <v>30000</v>
      </c>
      <c r="K1143" s="56">
        <v>232500</v>
      </c>
      <c r="L1143" t="s">
        <v>884</v>
      </c>
      <c r="M1143" t="s">
        <v>903</v>
      </c>
      <c r="N1143" t="s">
        <v>905</v>
      </c>
      <c r="O1143" s="57">
        <v>45658</v>
      </c>
      <c r="P1143" t="s">
        <v>892</v>
      </c>
      <c r="Q1143" s="56">
        <v>202500</v>
      </c>
      <c r="R1143" t="s">
        <v>758</v>
      </c>
      <c r="S1143" t="s">
        <v>743</v>
      </c>
      <c r="T1143" t="s">
        <v>744</v>
      </c>
      <c r="U1143" t="s">
        <v>297</v>
      </c>
      <c r="V1143" t="s">
        <v>7</v>
      </c>
      <c r="W1143" t="s">
        <v>137</v>
      </c>
      <c r="X1143" t="s">
        <v>24</v>
      </c>
      <c r="Y1143" s="56">
        <f>IF(clean[[#This Row],[is_delivered]]="Yes",clean[[#This Row],[net_sales]],0 )</f>
        <v>0</v>
      </c>
    </row>
    <row r="1144" spans="1:25">
      <c r="A1144" t="s">
        <v>1986</v>
      </c>
      <c r="B1144" s="9">
        <v>45666</v>
      </c>
      <c r="C1144" t="s">
        <v>288</v>
      </c>
      <c r="D1144" t="s">
        <v>767</v>
      </c>
      <c r="E1144">
        <v>1</v>
      </c>
      <c r="F1144" s="56">
        <v>150000</v>
      </c>
      <c r="G1144" s="56">
        <v>150000</v>
      </c>
      <c r="H1144" t="s">
        <v>872</v>
      </c>
      <c r="I1144" s="56">
        <v>0</v>
      </c>
      <c r="J1144" s="56">
        <v>30000</v>
      </c>
      <c r="K1144" s="56">
        <v>180000</v>
      </c>
      <c r="L1144" t="s">
        <v>884</v>
      </c>
      <c r="M1144" t="s">
        <v>881</v>
      </c>
      <c r="N1144" t="s">
        <v>875</v>
      </c>
      <c r="O1144" s="57">
        <v>45658</v>
      </c>
      <c r="P1144" t="s">
        <v>877</v>
      </c>
      <c r="Q1144" s="56">
        <v>150000</v>
      </c>
      <c r="R1144" t="s">
        <v>768</v>
      </c>
      <c r="S1144" t="s">
        <v>739</v>
      </c>
      <c r="T1144" t="s">
        <v>740</v>
      </c>
      <c r="U1144" t="s">
        <v>289</v>
      </c>
      <c r="V1144" t="s">
        <v>7</v>
      </c>
      <c r="W1144" t="s">
        <v>56</v>
      </c>
      <c r="X1144" t="s">
        <v>9</v>
      </c>
      <c r="Y1144" s="56">
        <f>IF(clean[[#This Row],[is_delivered]]="Yes",clean[[#This Row],[net_sales]],0 )</f>
        <v>150000</v>
      </c>
    </row>
    <row r="1145" spans="1:25">
      <c r="A1145" t="s">
        <v>2032</v>
      </c>
      <c r="B1145" s="9">
        <v>45666</v>
      </c>
      <c r="C1145" t="s">
        <v>148</v>
      </c>
      <c r="D1145" t="s">
        <v>733</v>
      </c>
      <c r="E1145">
        <v>4</v>
      </c>
      <c r="F1145" s="56">
        <v>150000</v>
      </c>
      <c r="G1145" s="56">
        <v>600000</v>
      </c>
      <c r="H1145" t="s">
        <v>883</v>
      </c>
      <c r="I1145" s="56">
        <v>60000</v>
      </c>
      <c r="J1145" s="56">
        <v>25000</v>
      </c>
      <c r="K1145" s="56">
        <v>565000</v>
      </c>
      <c r="L1145" t="s">
        <v>873</v>
      </c>
      <c r="M1145" t="s">
        <v>881</v>
      </c>
      <c r="N1145" t="s">
        <v>875</v>
      </c>
      <c r="O1145" s="57">
        <v>45658</v>
      </c>
      <c r="P1145" t="s">
        <v>877</v>
      </c>
      <c r="Q1145" s="56">
        <v>540000</v>
      </c>
      <c r="R1145" t="s">
        <v>734</v>
      </c>
      <c r="S1145" t="s">
        <v>735</v>
      </c>
      <c r="T1145" t="s">
        <v>736</v>
      </c>
      <c r="U1145" t="s">
        <v>149</v>
      </c>
      <c r="V1145" t="s">
        <v>7</v>
      </c>
      <c r="W1145" t="s">
        <v>20</v>
      </c>
      <c r="X1145" t="s">
        <v>9</v>
      </c>
      <c r="Y1145" s="56">
        <f>IF(clean[[#This Row],[is_delivered]]="Yes",clean[[#This Row],[net_sales]],0 )</f>
        <v>540000</v>
      </c>
    </row>
    <row r="1146" spans="1:25">
      <c r="A1146" t="s">
        <v>1188</v>
      </c>
      <c r="B1146" s="9">
        <v>45665</v>
      </c>
      <c r="C1146" t="s">
        <v>300</v>
      </c>
      <c r="D1146" t="s">
        <v>819</v>
      </c>
      <c r="E1146">
        <v>3</v>
      </c>
      <c r="F1146" s="56">
        <v>300000</v>
      </c>
      <c r="G1146" s="56">
        <v>900000</v>
      </c>
      <c r="H1146" t="s">
        <v>886</v>
      </c>
      <c r="I1146" s="56">
        <v>90000</v>
      </c>
      <c r="J1146" s="56">
        <v>10000</v>
      </c>
      <c r="K1146" s="56">
        <v>820000</v>
      </c>
      <c r="L1146" t="s">
        <v>889</v>
      </c>
      <c r="M1146" t="s">
        <v>901</v>
      </c>
      <c r="N1146" t="s">
        <v>890</v>
      </c>
      <c r="O1146" s="57">
        <v>45658</v>
      </c>
      <c r="P1146" t="s">
        <v>892</v>
      </c>
      <c r="Q1146" s="56">
        <v>810000</v>
      </c>
      <c r="R1146" t="s">
        <v>820</v>
      </c>
      <c r="S1146" t="s">
        <v>747</v>
      </c>
      <c r="T1146" t="s">
        <v>748</v>
      </c>
      <c r="U1146" t="s">
        <v>301</v>
      </c>
      <c r="V1146" t="s">
        <v>7</v>
      </c>
      <c r="W1146" t="s">
        <v>39</v>
      </c>
      <c r="X1146" t="s">
        <v>9</v>
      </c>
      <c r="Y1146" s="56">
        <f>IF(clean[[#This Row],[is_delivered]]="Yes",clean[[#This Row],[net_sales]],0 )</f>
        <v>0</v>
      </c>
    </row>
    <row r="1147" spans="1:25">
      <c r="A1147" t="s">
        <v>1038</v>
      </c>
      <c r="B1147" s="9">
        <v>45665</v>
      </c>
      <c r="C1147" t="s">
        <v>446</v>
      </c>
      <c r="D1147" t="s">
        <v>751</v>
      </c>
      <c r="E1147">
        <v>1</v>
      </c>
      <c r="F1147" s="56">
        <v>150000</v>
      </c>
      <c r="G1147" s="56">
        <v>150000</v>
      </c>
      <c r="H1147" t="s">
        <v>883</v>
      </c>
      <c r="I1147" s="56">
        <v>15000</v>
      </c>
      <c r="J1147" s="56">
        <v>30000</v>
      </c>
      <c r="K1147" s="56">
        <v>165000</v>
      </c>
      <c r="L1147" t="s">
        <v>889</v>
      </c>
      <c r="M1147" t="s">
        <v>874</v>
      </c>
      <c r="N1147" t="s">
        <v>875</v>
      </c>
      <c r="O1147" s="57">
        <v>45658</v>
      </c>
      <c r="P1147" t="s">
        <v>877</v>
      </c>
      <c r="Q1147" s="56">
        <v>135000</v>
      </c>
      <c r="R1147" t="s">
        <v>752</v>
      </c>
      <c r="S1147" t="s">
        <v>731</v>
      </c>
      <c r="T1147" t="s">
        <v>732</v>
      </c>
      <c r="U1147" t="s">
        <v>447</v>
      </c>
      <c r="V1147" t="s">
        <v>23</v>
      </c>
      <c r="W1147" t="s">
        <v>8</v>
      </c>
      <c r="X1147" t="s">
        <v>9</v>
      </c>
      <c r="Y1147" s="56">
        <f>IF(clean[[#This Row],[is_delivered]]="Yes",clean[[#This Row],[net_sales]],0 )</f>
        <v>135000</v>
      </c>
    </row>
    <row r="1148" spans="1:25">
      <c r="A1148" t="s">
        <v>1175</v>
      </c>
      <c r="B1148" s="9">
        <v>45665</v>
      </c>
      <c r="C1148" t="s">
        <v>468</v>
      </c>
      <c r="D1148" t="s">
        <v>781</v>
      </c>
      <c r="E1148">
        <v>1</v>
      </c>
      <c r="F1148" s="56">
        <v>50000</v>
      </c>
      <c r="G1148" s="56">
        <v>50000</v>
      </c>
      <c r="H1148" t="s">
        <v>872</v>
      </c>
      <c r="I1148" s="56">
        <v>0</v>
      </c>
      <c r="J1148" s="56">
        <v>20000</v>
      </c>
      <c r="K1148" s="56">
        <v>70000</v>
      </c>
      <c r="L1148" t="s">
        <v>889</v>
      </c>
      <c r="M1148" t="s">
        <v>881</v>
      </c>
      <c r="N1148" t="s">
        <v>875</v>
      </c>
      <c r="O1148" s="57">
        <v>45658</v>
      </c>
      <c r="P1148" t="s">
        <v>877</v>
      </c>
      <c r="Q1148" s="56">
        <v>50000</v>
      </c>
      <c r="R1148" t="s">
        <v>782</v>
      </c>
      <c r="S1148" t="s">
        <v>743</v>
      </c>
      <c r="T1148" t="s">
        <v>744</v>
      </c>
      <c r="U1148" t="s">
        <v>469</v>
      </c>
      <c r="V1148" t="s">
        <v>23</v>
      </c>
      <c r="W1148" t="s">
        <v>12</v>
      </c>
      <c r="X1148" t="s">
        <v>24</v>
      </c>
      <c r="Y1148" s="56">
        <f>IF(clean[[#This Row],[is_delivered]]="Yes",clean[[#This Row],[net_sales]],0 )</f>
        <v>50000</v>
      </c>
    </row>
    <row r="1149" spans="1:25">
      <c r="A1149" t="s">
        <v>1597</v>
      </c>
      <c r="B1149" s="9">
        <v>45665</v>
      </c>
      <c r="C1149" t="s">
        <v>133</v>
      </c>
      <c r="D1149" t="s">
        <v>827</v>
      </c>
      <c r="E1149">
        <v>4</v>
      </c>
      <c r="F1149" s="56">
        <v>100000</v>
      </c>
      <c r="G1149" s="56">
        <v>400000</v>
      </c>
      <c r="H1149" t="s">
        <v>872</v>
      </c>
      <c r="I1149" s="56">
        <v>0</v>
      </c>
      <c r="J1149" s="56">
        <v>15000</v>
      </c>
      <c r="K1149" s="56">
        <v>415000</v>
      </c>
      <c r="L1149" t="s">
        <v>884</v>
      </c>
      <c r="M1149" t="s">
        <v>901</v>
      </c>
      <c r="N1149" t="s">
        <v>875</v>
      </c>
      <c r="O1149" s="57">
        <v>45658</v>
      </c>
      <c r="P1149" t="s">
        <v>877</v>
      </c>
      <c r="Q1149" s="56">
        <v>400000</v>
      </c>
      <c r="R1149" t="s">
        <v>828</v>
      </c>
      <c r="S1149" t="s">
        <v>739</v>
      </c>
      <c r="T1149" t="s">
        <v>740</v>
      </c>
      <c r="U1149" t="s">
        <v>134</v>
      </c>
      <c r="V1149" t="s">
        <v>23</v>
      </c>
      <c r="W1149" t="s">
        <v>12</v>
      </c>
      <c r="X1149" t="s">
        <v>24</v>
      </c>
      <c r="Y1149" s="56">
        <f>IF(clean[[#This Row],[is_delivered]]="Yes",clean[[#This Row],[net_sales]],0 )</f>
        <v>400000</v>
      </c>
    </row>
    <row r="1150" spans="1:25">
      <c r="A1150" t="s">
        <v>1736</v>
      </c>
      <c r="B1150" s="9">
        <v>45665</v>
      </c>
      <c r="C1150" t="s">
        <v>706</v>
      </c>
      <c r="D1150" t="s">
        <v>733</v>
      </c>
      <c r="E1150">
        <v>1</v>
      </c>
      <c r="F1150" s="56">
        <v>150000</v>
      </c>
      <c r="G1150" s="56">
        <v>150000</v>
      </c>
      <c r="H1150" t="s">
        <v>872</v>
      </c>
      <c r="I1150" s="56">
        <v>0</v>
      </c>
      <c r="J1150" s="56">
        <v>15000</v>
      </c>
      <c r="K1150" s="56">
        <v>165000</v>
      </c>
      <c r="L1150" t="s">
        <v>880</v>
      </c>
      <c r="M1150" t="s">
        <v>903</v>
      </c>
      <c r="N1150" t="s">
        <v>875</v>
      </c>
      <c r="O1150" s="57">
        <v>45658</v>
      </c>
      <c r="P1150" t="s">
        <v>877</v>
      </c>
      <c r="Q1150" s="56">
        <v>150000</v>
      </c>
      <c r="R1150" t="s">
        <v>734</v>
      </c>
      <c r="S1150" t="s">
        <v>735</v>
      </c>
      <c r="T1150" t="s">
        <v>736</v>
      </c>
      <c r="U1150" t="s">
        <v>707</v>
      </c>
      <c r="V1150" t="s">
        <v>7</v>
      </c>
      <c r="W1150" t="s">
        <v>39</v>
      </c>
      <c r="X1150" t="s">
        <v>9</v>
      </c>
      <c r="Y1150" s="56">
        <f>IF(clean[[#This Row],[is_delivered]]="Yes",clean[[#This Row],[net_sales]],0 )</f>
        <v>150000</v>
      </c>
    </row>
    <row r="1151" spans="1:25">
      <c r="A1151" t="s">
        <v>2042</v>
      </c>
      <c r="B1151" s="9">
        <v>45665</v>
      </c>
      <c r="C1151" t="s">
        <v>32</v>
      </c>
      <c r="D1151" t="s">
        <v>733</v>
      </c>
      <c r="E1151">
        <v>3</v>
      </c>
      <c r="F1151" s="56">
        <v>150000</v>
      </c>
      <c r="G1151" s="56">
        <v>450000</v>
      </c>
      <c r="H1151" t="s">
        <v>883</v>
      </c>
      <c r="I1151" s="56">
        <v>45000</v>
      </c>
      <c r="J1151" s="56">
        <v>25000</v>
      </c>
      <c r="K1151" s="56">
        <v>430000</v>
      </c>
      <c r="L1151" t="s">
        <v>873</v>
      </c>
      <c r="M1151" t="s">
        <v>903</v>
      </c>
      <c r="N1151" t="s">
        <v>875</v>
      </c>
      <c r="O1151" s="57">
        <v>45658</v>
      </c>
      <c r="P1151" t="s">
        <v>877</v>
      </c>
      <c r="Q1151" s="56">
        <v>405000</v>
      </c>
      <c r="R1151" t="s">
        <v>734</v>
      </c>
      <c r="S1151" t="s">
        <v>735</v>
      </c>
      <c r="T1151" t="s">
        <v>736</v>
      </c>
      <c r="U1151" t="s">
        <v>33</v>
      </c>
      <c r="V1151" t="s">
        <v>23</v>
      </c>
      <c r="W1151" t="s">
        <v>12</v>
      </c>
      <c r="X1151" t="s">
        <v>9</v>
      </c>
      <c r="Y1151" s="56">
        <f>IF(clean[[#This Row],[is_delivered]]="Yes",clean[[#This Row],[net_sales]],0 )</f>
        <v>405000</v>
      </c>
    </row>
    <row r="1152" spans="1:25">
      <c r="A1152" t="s">
        <v>1031</v>
      </c>
      <c r="B1152" s="9">
        <v>45664</v>
      </c>
      <c r="C1152" t="s">
        <v>328</v>
      </c>
      <c r="D1152" t="s">
        <v>791</v>
      </c>
      <c r="E1152">
        <v>3</v>
      </c>
      <c r="F1152" s="56">
        <v>50000</v>
      </c>
      <c r="G1152" s="56">
        <v>150000</v>
      </c>
      <c r="H1152" t="s">
        <v>879</v>
      </c>
      <c r="I1152" s="56">
        <v>30000</v>
      </c>
      <c r="J1152" s="56">
        <v>15000</v>
      </c>
      <c r="K1152" s="56">
        <v>135000</v>
      </c>
      <c r="L1152" t="s">
        <v>873</v>
      </c>
      <c r="M1152" t="s">
        <v>903</v>
      </c>
      <c r="N1152" t="s">
        <v>905</v>
      </c>
      <c r="O1152" s="57">
        <v>45658</v>
      </c>
      <c r="P1152" t="s">
        <v>892</v>
      </c>
      <c r="Q1152" s="56">
        <v>120000</v>
      </c>
      <c r="R1152" t="s">
        <v>792</v>
      </c>
      <c r="S1152" t="s">
        <v>739</v>
      </c>
      <c r="T1152" t="s">
        <v>740</v>
      </c>
      <c r="U1152" t="s">
        <v>329</v>
      </c>
      <c r="V1152" t="s">
        <v>7</v>
      </c>
      <c r="W1152" t="s">
        <v>46</v>
      </c>
      <c r="X1152" t="s">
        <v>9</v>
      </c>
      <c r="Y1152" s="56">
        <f>IF(clean[[#This Row],[is_delivered]]="Yes",clean[[#This Row],[net_sales]],0 )</f>
        <v>0</v>
      </c>
    </row>
    <row r="1153" spans="1:25">
      <c r="A1153" t="s">
        <v>1289</v>
      </c>
      <c r="B1153" s="9">
        <v>45664</v>
      </c>
      <c r="C1153" t="s">
        <v>107</v>
      </c>
      <c r="D1153" t="s">
        <v>853</v>
      </c>
      <c r="E1153">
        <v>4</v>
      </c>
      <c r="F1153" s="56">
        <v>75000</v>
      </c>
      <c r="G1153" s="56">
        <v>300000</v>
      </c>
      <c r="H1153" t="s">
        <v>872</v>
      </c>
      <c r="I1153" s="56">
        <v>0</v>
      </c>
      <c r="J1153" s="56">
        <v>10000</v>
      </c>
      <c r="K1153" s="56">
        <v>310000</v>
      </c>
      <c r="L1153" t="s">
        <v>884</v>
      </c>
      <c r="M1153" t="s">
        <v>881</v>
      </c>
      <c r="N1153" t="s">
        <v>890</v>
      </c>
      <c r="O1153" s="57">
        <v>45658</v>
      </c>
      <c r="P1153" t="s">
        <v>892</v>
      </c>
      <c r="Q1153" s="56">
        <v>300000</v>
      </c>
      <c r="R1153" t="s">
        <v>854</v>
      </c>
      <c r="S1153" t="s">
        <v>743</v>
      </c>
      <c r="T1153" t="s">
        <v>744</v>
      </c>
      <c r="U1153" t="s">
        <v>108</v>
      </c>
      <c r="V1153" t="s">
        <v>23</v>
      </c>
      <c r="W1153" t="s">
        <v>12</v>
      </c>
      <c r="X1153" t="s">
        <v>24</v>
      </c>
      <c r="Y1153" s="56">
        <f>IF(clean[[#This Row],[is_delivered]]="Yes",clean[[#This Row],[net_sales]],0 )</f>
        <v>0</v>
      </c>
    </row>
    <row r="1154" spans="1:25">
      <c r="A1154" t="s">
        <v>1400</v>
      </c>
      <c r="B1154" s="9">
        <v>45664</v>
      </c>
      <c r="C1154" t="s">
        <v>574</v>
      </c>
      <c r="D1154" t="s">
        <v>769</v>
      </c>
      <c r="E1154">
        <v>1</v>
      </c>
      <c r="F1154" s="56">
        <v>100000</v>
      </c>
      <c r="G1154" s="56">
        <v>100000</v>
      </c>
      <c r="H1154" t="s">
        <v>886</v>
      </c>
      <c r="I1154" s="56">
        <v>10000</v>
      </c>
      <c r="J1154" s="56">
        <v>30000</v>
      </c>
      <c r="K1154" s="56">
        <v>120000</v>
      </c>
      <c r="L1154" t="s">
        <v>889</v>
      </c>
      <c r="M1154" t="s">
        <v>901</v>
      </c>
      <c r="N1154" t="s">
        <v>875</v>
      </c>
      <c r="O1154" s="57">
        <v>45658</v>
      </c>
      <c r="P1154" t="s">
        <v>877</v>
      </c>
      <c r="Q1154" s="56">
        <v>90000</v>
      </c>
      <c r="R1154" t="s">
        <v>770</v>
      </c>
      <c r="S1154" t="s">
        <v>743</v>
      </c>
      <c r="T1154" t="s">
        <v>744</v>
      </c>
      <c r="U1154" t="s">
        <v>575</v>
      </c>
      <c r="V1154" t="s">
        <v>7</v>
      </c>
      <c r="W1154" t="s">
        <v>46</v>
      </c>
      <c r="X1154" t="s">
        <v>24</v>
      </c>
      <c r="Y1154" s="56">
        <f>IF(clean[[#This Row],[is_delivered]]="Yes",clean[[#This Row],[net_sales]],0 )</f>
        <v>90000</v>
      </c>
    </row>
    <row r="1155" spans="1:25">
      <c r="A1155" t="s">
        <v>1450</v>
      </c>
      <c r="B1155" s="9">
        <v>45664</v>
      </c>
      <c r="C1155" t="s">
        <v>77</v>
      </c>
      <c r="D1155" t="s">
        <v>773</v>
      </c>
      <c r="E1155">
        <v>1</v>
      </c>
      <c r="F1155" s="56">
        <v>500000</v>
      </c>
      <c r="G1155" s="56">
        <v>500000</v>
      </c>
      <c r="H1155" t="s">
        <v>883</v>
      </c>
      <c r="I1155" s="56">
        <v>50000</v>
      </c>
      <c r="J1155" s="56">
        <v>15000</v>
      </c>
      <c r="K1155" s="56">
        <v>465000</v>
      </c>
      <c r="L1155" t="s">
        <v>884</v>
      </c>
      <c r="M1155" t="s">
        <v>874</v>
      </c>
      <c r="N1155" t="s">
        <v>875</v>
      </c>
      <c r="O1155" s="57">
        <v>45658</v>
      </c>
      <c r="P1155" t="s">
        <v>877</v>
      </c>
      <c r="Q1155" s="56">
        <v>450000</v>
      </c>
      <c r="R1155" t="s">
        <v>774</v>
      </c>
      <c r="S1155" t="s">
        <v>727</v>
      </c>
      <c r="T1155" t="s">
        <v>728</v>
      </c>
      <c r="U1155" t="s">
        <v>78</v>
      </c>
      <c r="V1155" t="s">
        <v>23</v>
      </c>
      <c r="W1155" t="s">
        <v>29</v>
      </c>
      <c r="X1155" t="s">
        <v>9</v>
      </c>
      <c r="Y1155" s="56">
        <f>IF(clean[[#This Row],[is_delivered]]="Yes",clean[[#This Row],[net_sales]],0 )</f>
        <v>450000</v>
      </c>
    </row>
    <row r="1156" spans="1:25">
      <c r="A1156" t="s">
        <v>1571</v>
      </c>
      <c r="B1156" s="9">
        <v>45664</v>
      </c>
      <c r="C1156" t="s">
        <v>556</v>
      </c>
      <c r="D1156" t="s">
        <v>847</v>
      </c>
      <c r="E1156">
        <v>1</v>
      </c>
      <c r="F1156" s="56">
        <v>100000</v>
      </c>
      <c r="G1156" s="56">
        <v>100000</v>
      </c>
      <c r="H1156" t="s">
        <v>872</v>
      </c>
      <c r="I1156" s="56">
        <v>0</v>
      </c>
      <c r="J1156" s="56">
        <v>20000</v>
      </c>
      <c r="K1156" s="56">
        <v>120000</v>
      </c>
      <c r="L1156" t="s">
        <v>884</v>
      </c>
      <c r="M1156" t="s">
        <v>901</v>
      </c>
      <c r="N1156" t="s">
        <v>875</v>
      </c>
      <c r="O1156" s="57">
        <v>45658</v>
      </c>
      <c r="P1156" t="s">
        <v>877</v>
      </c>
      <c r="Q1156" s="56">
        <v>100000</v>
      </c>
      <c r="R1156" t="s">
        <v>848</v>
      </c>
      <c r="S1156" t="s">
        <v>731</v>
      </c>
      <c r="T1156" t="s">
        <v>732</v>
      </c>
      <c r="U1156" t="s">
        <v>557</v>
      </c>
      <c r="V1156" t="s">
        <v>23</v>
      </c>
      <c r="W1156" t="s">
        <v>46</v>
      </c>
      <c r="X1156" t="s">
        <v>9</v>
      </c>
      <c r="Y1156" s="56">
        <f>IF(clean[[#This Row],[is_delivered]]="Yes",clean[[#This Row],[net_sales]],0 )</f>
        <v>100000</v>
      </c>
    </row>
    <row r="1157" spans="1:25">
      <c r="A1157" t="s">
        <v>1895</v>
      </c>
      <c r="B1157" s="9">
        <v>45664</v>
      </c>
      <c r="C1157" t="s">
        <v>450</v>
      </c>
      <c r="D1157" t="s">
        <v>741</v>
      </c>
      <c r="E1157">
        <v>2</v>
      </c>
      <c r="F1157" s="56">
        <v>75000</v>
      </c>
      <c r="G1157" s="56">
        <v>150000</v>
      </c>
      <c r="H1157" t="s">
        <v>872</v>
      </c>
      <c r="I1157" s="56">
        <v>0</v>
      </c>
      <c r="J1157" s="56">
        <v>30000</v>
      </c>
      <c r="K1157" s="56">
        <v>180000</v>
      </c>
      <c r="L1157" t="s">
        <v>884</v>
      </c>
      <c r="M1157" t="s">
        <v>901</v>
      </c>
      <c r="N1157" t="s">
        <v>875</v>
      </c>
      <c r="O1157" s="57">
        <v>45658</v>
      </c>
      <c r="P1157" t="s">
        <v>877</v>
      </c>
      <c r="Q1157" s="56">
        <v>150000</v>
      </c>
      <c r="R1157" t="s">
        <v>742</v>
      </c>
      <c r="S1157" t="s">
        <v>743</v>
      </c>
      <c r="T1157" t="s">
        <v>744</v>
      </c>
      <c r="U1157" t="s">
        <v>451</v>
      </c>
      <c r="V1157" t="s">
        <v>23</v>
      </c>
      <c r="W1157" t="s">
        <v>56</v>
      </c>
      <c r="X1157" t="s">
        <v>9</v>
      </c>
      <c r="Y1157" s="56">
        <f>IF(clean[[#This Row],[is_delivered]]="Yes",clean[[#This Row],[net_sales]],0 )</f>
        <v>150000</v>
      </c>
    </row>
    <row r="1158" spans="1:25">
      <c r="A1158" t="s">
        <v>2065</v>
      </c>
      <c r="B1158" s="9">
        <v>45664</v>
      </c>
      <c r="C1158" t="s">
        <v>338</v>
      </c>
      <c r="D1158" t="s">
        <v>831</v>
      </c>
      <c r="E1158">
        <v>1</v>
      </c>
      <c r="F1158" s="56">
        <v>300000</v>
      </c>
      <c r="G1158" s="56">
        <v>300000</v>
      </c>
      <c r="H1158" t="s">
        <v>872</v>
      </c>
      <c r="I1158" s="56">
        <v>0</v>
      </c>
      <c r="J1158" s="56">
        <v>15000</v>
      </c>
      <c r="K1158" s="56">
        <v>315000</v>
      </c>
      <c r="L1158" t="s">
        <v>873</v>
      </c>
      <c r="M1158" t="s">
        <v>903</v>
      </c>
      <c r="N1158" t="s">
        <v>875</v>
      </c>
      <c r="O1158" s="57">
        <v>45658</v>
      </c>
      <c r="P1158" t="s">
        <v>877</v>
      </c>
      <c r="Q1158" s="56">
        <v>300000</v>
      </c>
      <c r="R1158" t="s">
        <v>832</v>
      </c>
      <c r="S1158" t="s">
        <v>747</v>
      </c>
      <c r="T1158" t="s">
        <v>748</v>
      </c>
      <c r="U1158" t="s">
        <v>339</v>
      </c>
      <c r="V1158" t="s">
        <v>7</v>
      </c>
      <c r="W1158" t="s">
        <v>36</v>
      </c>
      <c r="X1158" t="s">
        <v>15</v>
      </c>
      <c r="Y1158" s="56">
        <f>IF(clean[[#This Row],[is_delivered]]="Yes",clean[[#This Row],[net_sales]],0 )</f>
        <v>300000</v>
      </c>
    </row>
    <row r="1159" spans="1:25">
      <c r="A1159" t="s">
        <v>966</v>
      </c>
      <c r="B1159" s="9">
        <v>45663</v>
      </c>
      <c r="C1159" t="s">
        <v>164</v>
      </c>
      <c r="D1159" t="s">
        <v>813</v>
      </c>
      <c r="E1159">
        <v>4</v>
      </c>
      <c r="F1159" s="56">
        <v>35000</v>
      </c>
      <c r="G1159" s="56">
        <v>140000</v>
      </c>
      <c r="H1159" t="s">
        <v>879</v>
      </c>
      <c r="I1159" s="56">
        <v>28000</v>
      </c>
      <c r="J1159" s="56">
        <v>25000</v>
      </c>
      <c r="K1159" s="56">
        <v>137000</v>
      </c>
      <c r="L1159" t="s">
        <v>873</v>
      </c>
      <c r="M1159" t="s">
        <v>874</v>
      </c>
      <c r="N1159" t="s">
        <v>875</v>
      </c>
      <c r="O1159" s="57">
        <v>45658</v>
      </c>
      <c r="P1159" t="s">
        <v>877</v>
      </c>
      <c r="Q1159" s="56">
        <v>112000</v>
      </c>
      <c r="R1159" t="s">
        <v>814</v>
      </c>
      <c r="S1159" t="s">
        <v>735</v>
      </c>
      <c r="T1159" t="s">
        <v>736</v>
      </c>
      <c r="U1159" t="s">
        <v>165</v>
      </c>
      <c r="V1159" t="s">
        <v>7</v>
      </c>
      <c r="W1159" t="s">
        <v>51</v>
      </c>
      <c r="X1159" t="s">
        <v>24</v>
      </c>
      <c r="Y1159" s="56">
        <f>IF(clean[[#This Row],[is_delivered]]="Yes",clean[[#This Row],[net_sales]],0 )</f>
        <v>112000</v>
      </c>
    </row>
    <row r="1160" spans="1:25">
      <c r="A1160" t="s">
        <v>1305</v>
      </c>
      <c r="B1160" s="9">
        <v>45663</v>
      </c>
      <c r="C1160" t="s">
        <v>430</v>
      </c>
      <c r="D1160" t="s">
        <v>799</v>
      </c>
      <c r="E1160">
        <v>1</v>
      </c>
      <c r="F1160" s="56">
        <v>35000</v>
      </c>
      <c r="G1160" s="56">
        <v>35000</v>
      </c>
      <c r="H1160" t="s">
        <v>886</v>
      </c>
      <c r="I1160" s="56">
        <v>3500</v>
      </c>
      <c r="J1160" s="56">
        <v>30000</v>
      </c>
      <c r="K1160" s="56">
        <v>61500</v>
      </c>
      <c r="L1160" t="s">
        <v>880</v>
      </c>
      <c r="M1160" t="s">
        <v>874</v>
      </c>
      <c r="N1160" t="s">
        <v>911</v>
      </c>
      <c r="O1160" s="57">
        <v>45658</v>
      </c>
      <c r="P1160" t="s">
        <v>892</v>
      </c>
      <c r="Q1160" s="56">
        <v>31500</v>
      </c>
      <c r="R1160" t="s">
        <v>800</v>
      </c>
      <c r="S1160" t="s">
        <v>731</v>
      </c>
      <c r="T1160" t="s">
        <v>732</v>
      </c>
      <c r="U1160" t="s">
        <v>431</v>
      </c>
      <c r="V1160" t="s">
        <v>23</v>
      </c>
      <c r="W1160" t="s">
        <v>56</v>
      </c>
      <c r="X1160" t="s">
        <v>9</v>
      </c>
      <c r="Y1160" s="56">
        <f>IF(clean[[#This Row],[is_delivered]]="Yes",clean[[#This Row],[net_sales]],0 )</f>
        <v>0</v>
      </c>
    </row>
    <row r="1161" spans="1:25">
      <c r="A1161" t="s">
        <v>1347</v>
      </c>
      <c r="B1161" s="9">
        <v>45663</v>
      </c>
      <c r="C1161" t="s">
        <v>242</v>
      </c>
      <c r="D1161" t="s">
        <v>847</v>
      </c>
      <c r="E1161">
        <v>1</v>
      </c>
      <c r="F1161" s="56">
        <v>100000</v>
      </c>
      <c r="G1161" s="56">
        <v>100000</v>
      </c>
      <c r="H1161" t="s">
        <v>879</v>
      </c>
      <c r="I1161" s="56">
        <v>20000</v>
      </c>
      <c r="J1161" s="56">
        <v>25000</v>
      </c>
      <c r="K1161" s="56">
        <v>105000</v>
      </c>
      <c r="L1161" t="s">
        <v>880</v>
      </c>
      <c r="M1161" t="s">
        <v>881</v>
      </c>
      <c r="N1161" t="s">
        <v>875</v>
      </c>
      <c r="O1161" s="57">
        <v>45658</v>
      </c>
      <c r="P1161" t="s">
        <v>877</v>
      </c>
      <c r="Q1161" s="56">
        <v>80000</v>
      </c>
      <c r="R1161" t="s">
        <v>848</v>
      </c>
      <c r="S1161" t="s">
        <v>731</v>
      </c>
      <c r="T1161" t="s">
        <v>732</v>
      </c>
      <c r="U1161" t="s">
        <v>243</v>
      </c>
      <c r="V1161" t="s">
        <v>7</v>
      </c>
      <c r="W1161" t="s">
        <v>51</v>
      </c>
      <c r="X1161" t="s">
        <v>9</v>
      </c>
      <c r="Y1161" s="56">
        <f>IF(clean[[#This Row],[is_delivered]]="Yes",clean[[#This Row],[net_sales]],0 )</f>
        <v>80000</v>
      </c>
    </row>
    <row r="1162" spans="1:25">
      <c r="A1162" t="s">
        <v>1507</v>
      </c>
      <c r="B1162" s="9">
        <v>45663</v>
      </c>
      <c r="C1162" t="s">
        <v>186</v>
      </c>
      <c r="D1162" t="s">
        <v>789</v>
      </c>
      <c r="E1162">
        <v>2</v>
      </c>
      <c r="F1162" s="56">
        <v>200000</v>
      </c>
      <c r="G1162" s="56">
        <v>400000</v>
      </c>
      <c r="H1162" t="s">
        <v>895</v>
      </c>
      <c r="I1162" s="56">
        <v>60000</v>
      </c>
      <c r="J1162" s="56">
        <v>20000</v>
      </c>
      <c r="K1162" s="56">
        <v>360000</v>
      </c>
      <c r="L1162" t="s">
        <v>873</v>
      </c>
      <c r="M1162" t="s">
        <v>881</v>
      </c>
      <c r="N1162" t="s">
        <v>875</v>
      </c>
      <c r="O1162" s="57">
        <v>45658</v>
      </c>
      <c r="P1162" t="s">
        <v>877</v>
      </c>
      <c r="Q1162" s="56">
        <v>340000</v>
      </c>
      <c r="R1162" t="s">
        <v>790</v>
      </c>
      <c r="S1162" t="s">
        <v>735</v>
      </c>
      <c r="T1162" t="s">
        <v>736</v>
      </c>
      <c r="U1162" t="s">
        <v>187</v>
      </c>
      <c r="V1162" t="s">
        <v>23</v>
      </c>
      <c r="W1162" t="s">
        <v>51</v>
      </c>
      <c r="X1162" t="s">
        <v>9</v>
      </c>
      <c r="Y1162" s="56">
        <f>IF(clean[[#This Row],[is_delivered]]="Yes",clean[[#This Row],[net_sales]],0 )</f>
        <v>340000</v>
      </c>
    </row>
    <row r="1163" spans="1:25">
      <c r="A1163" t="s">
        <v>1734</v>
      </c>
      <c r="B1163" s="9">
        <v>45663</v>
      </c>
      <c r="C1163" t="s">
        <v>316</v>
      </c>
      <c r="D1163" t="s">
        <v>761</v>
      </c>
      <c r="E1163">
        <v>3</v>
      </c>
      <c r="F1163" s="56">
        <v>75000</v>
      </c>
      <c r="G1163" s="56">
        <v>225000</v>
      </c>
      <c r="H1163" t="s">
        <v>886</v>
      </c>
      <c r="I1163" s="56">
        <v>22500</v>
      </c>
      <c r="J1163" s="56">
        <v>10000</v>
      </c>
      <c r="K1163" s="56">
        <v>212500</v>
      </c>
      <c r="L1163" t="s">
        <v>884</v>
      </c>
      <c r="M1163" t="s">
        <v>881</v>
      </c>
      <c r="N1163" t="s">
        <v>875</v>
      </c>
      <c r="O1163" s="57">
        <v>45658</v>
      </c>
      <c r="P1163" t="s">
        <v>877</v>
      </c>
      <c r="Q1163" s="56">
        <v>202500</v>
      </c>
      <c r="R1163" t="s">
        <v>762</v>
      </c>
      <c r="S1163" t="s">
        <v>727</v>
      </c>
      <c r="T1163" t="s">
        <v>728</v>
      </c>
      <c r="U1163" t="s">
        <v>317</v>
      </c>
      <c r="V1163" t="s">
        <v>23</v>
      </c>
      <c r="W1163" t="s">
        <v>46</v>
      </c>
      <c r="X1163" t="s">
        <v>9</v>
      </c>
      <c r="Y1163" s="56">
        <f>IF(clean[[#This Row],[is_delivered]]="Yes",clean[[#This Row],[net_sales]],0 )</f>
        <v>202500</v>
      </c>
    </row>
    <row r="1164" spans="1:25">
      <c r="A1164" t="s">
        <v>1077</v>
      </c>
      <c r="B1164" s="9">
        <v>45662</v>
      </c>
      <c r="C1164" t="s">
        <v>10</v>
      </c>
      <c r="D1164" t="s">
        <v>779</v>
      </c>
      <c r="E1164">
        <v>1</v>
      </c>
      <c r="F1164" s="56">
        <v>150000</v>
      </c>
      <c r="G1164" s="56">
        <v>150000</v>
      </c>
      <c r="H1164" t="s">
        <v>886</v>
      </c>
      <c r="I1164" s="56">
        <v>15000</v>
      </c>
      <c r="J1164" s="56">
        <v>25000</v>
      </c>
      <c r="K1164" s="56">
        <v>160000</v>
      </c>
      <c r="L1164" t="s">
        <v>884</v>
      </c>
      <c r="M1164" t="s">
        <v>874</v>
      </c>
      <c r="N1164" t="s">
        <v>875</v>
      </c>
      <c r="O1164" s="57">
        <v>45658</v>
      </c>
      <c r="P1164" t="s">
        <v>877</v>
      </c>
      <c r="Q1164" s="56">
        <v>135000</v>
      </c>
      <c r="R1164" t="s">
        <v>780</v>
      </c>
      <c r="S1164" t="s">
        <v>739</v>
      </c>
      <c r="T1164" t="s">
        <v>740</v>
      </c>
      <c r="U1164" t="s">
        <v>11</v>
      </c>
      <c r="V1164" t="s">
        <v>7</v>
      </c>
      <c r="W1164" t="s">
        <v>12</v>
      </c>
      <c r="X1164" t="s">
        <v>9</v>
      </c>
      <c r="Y1164" s="56">
        <f>IF(clean[[#This Row],[is_delivered]]="Yes",clean[[#This Row],[net_sales]],0 )</f>
        <v>135000</v>
      </c>
    </row>
    <row r="1165" spans="1:25">
      <c r="A1165" t="s">
        <v>936</v>
      </c>
      <c r="B1165" s="9">
        <v>45662</v>
      </c>
      <c r="C1165" t="s">
        <v>125</v>
      </c>
      <c r="D1165" t="s">
        <v>829</v>
      </c>
      <c r="E1165">
        <v>4</v>
      </c>
      <c r="F1165" s="56">
        <v>500000</v>
      </c>
      <c r="G1165" s="56">
        <v>2000000</v>
      </c>
      <c r="H1165" t="s">
        <v>886</v>
      </c>
      <c r="I1165" s="56">
        <v>200000</v>
      </c>
      <c r="J1165" s="56">
        <v>20000</v>
      </c>
      <c r="K1165" s="56">
        <v>1820000</v>
      </c>
      <c r="L1165" t="s">
        <v>880</v>
      </c>
      <c r="M1165" t="s">
        <v>903</v>
      </c>
      <c r="N1165" t="s">
        <v>911</v>
      </c>
      <c r="O1165" s="57">
        <v>45658</v>
      </c>
      <c r="P1165" t="s">
        <v>892</v>
      </c>
      <c r="Q1165" s="56">
        <v>1800000</v>
      </c>
      <c r="R1165" t="s">
        <v>830</v>
      </c>
      <c r="S1165" t="s">
        <v>743</v>
      </c>
      <c r="T1165" t="s">
        <v>744</v>
      </c>
      <c r="U1165" t="s">
        <v>126</v>
      </c>
      <c r="V1165" t="s">
        <v>23</v>
      </c>
      <c r="W1165" t="s">
        <v>56</v>
      </c>
      <c r="X1165" t="s">
        <v>9</v>
      </c>
      <c r="Y1165" s="56">
        <f>IF(clean[[#This Row],[is_delivered]]="Yes",clean[[#This Row],[net_sales]],0 )</f>
        <v>0</v>
      </c>
    </row>
    <row r="1166" spans="1:25">
      <c r="A1166" t="s">
        <v>1139</v>
      </c>
      <c r="B1166" s="9">
        <v>45662</v>
      </c>
      <c r="C1166" t="s">
        <v>386</v>
      </c>
      <c r="D1166" t="s">
        <v>775</v>
      </c>
      <c r="E1166">
        <v>1</v>
      </c>
      <c r="F1166" s="56">
        <v>75000</v>
      </c>
      <c r="G1166" s="56">
        <v>75000</v>
      </c>
      <c r="H1166" t="s">
        <v>879</v>
      </c>
      <c r="I1166" s="56">
        <v>15000</v>
      </c>
      <c r="J1166" s="56">
        <v>15000</v>
      </c>
      <c r="K1166" s="56">
        <v>75000</v>
      </c>
      <c r="L1166" t="s">
        <v>880</v>
      </c>
      <c r="M1166" t="s">
        <v>901</v>
      </c>
      <c r="N1166" t="s">
        <v>905</v>
      </c>
      <c r="O1166" s="57">
        <v>45658</v>
      </c>
      <c r="P1166" t="s">
        <v>892</v>
      </c>
      <c r="Q1166" s="56">
        <v>60000</v>
      </c>
      <c r="R1166" t="s">
        <v>776</v>
      </c>
      <c r="S1166" t="s">
        <v>731</v>
      </c>
      <c r="T1166" t="s">
        <v>732</v>
      </c>
      <c r="U1166" t="s">
        <v>387</v>
      </c>
      <c r="V1166" t="s">
        <v>7</v>
      </c>
      <c r="W1166" t="s">
        <v>36</v>
      </c>
      <c r="X1166" t="s">
        <v>9</v>
      </c>
      <c r="Y1166" s="56">
        <f>IF(clean[[#This Row],[is_delivered]]="Yes",clean[[#This Row],[net_sales]],0 )</f>
        <v>0</v>
      </c>
    </row>
    <row r="1167" spans="1:25">
      <c r="A1167" t="s">
        <v>1528</v>
      </c>
      <c r="B1167" s="9">
        <v>45662</v>
      </c>
      <c r="C1167" t="s">
        <v>678</v>
      </c>
      <c r="D1167" t="s">
        <v>839</v>
      </c>
      <c r="E1167">
        <v>2</v>
      </c>
      <c r="F1167" s="56">
        <v>200000</v>
      </c>
      <c r="G1167" s="56">
        <v>400000</v>
      </c>
      <c r="H1167" t="s">
        <v>872</v>
      </c>
      <c r="I1167" s="56">
        <v>0</v>
      </c>
      <c r="J1167" s="56">
        <v>25000</v>
      </c>
      <c r="K1167" s="56">
        <v>425000</v>
      </c>
      <c r="L1167" t="s">
        <v>884</v>
      </c>
      <c r="M1167" t="s">
        <v>881</v>
      </c>
      <c r="N1167" t="s">
        <v>875</v>
      </c>
      <c r="O1167" s="57">
        <v>45658</v>
      </c>
      <c r="P1167" t="s">
        <v>877</v>
      </c>
      <c r="Q1167" s="56">
        <v>400000</v>
      </c>
      <c r="R1167" t="s">
        <v>840</v>
      </c>
      <c r="S1167" t="s">
        <v>739</v>
      </c>
      <c r="T1167" t="s">
        <v>740</v>
      </c>
      <c r="U1167" t="s">
        <v>679</v>
      </c>
      <c r="V1167" t="s">
        <v>7</v>
      </c>
      <c r="W1167" t="s">
        <v>46</v>
      </c>
      <c r="X1167" t="s">
        <v>9</v>
      </c>
      <c r="Y1167" s="56">
        <f>IF(clean[[#This Row],[is_delivered]]="Yes",clean[[#This Row],[net_sales]],0 )</f>
        <v>400000</v>
      </c>
    </row>
    <row r="1168" spans="1:25">
      <c r="A1168" t="s">
        <v>2008</v>
      </c>
      <c r="B1168" s="9">
        <v>45662</v>
      </c>
      <c r="C1168" t="s">
        <v>172</v>
      </c>
      <c r="D1168" t="s">
        <v>799</v>
      </c>
      <c r="E1168">
        <v>1</v>
      </c>
      <c r="F1168" s="56">
        <v>35000</v>
      </c>
      <c r="G1168" s="56">
        <v>35000</v>
      </c>
      <c r="H1168" t="s">
        <v>872</v>
      </c>
      <c r="I1168" s="56">
        <v>0</v>
      </c>
      <c r="J1168" s="56">
        <v>25000</v>
      </c>
      <c r="K1168" s="56">
        <v>60000</v>
      </c>
      <c r="L1168" t="s">
        <v>873</v>
      </c>
      <c r="M1168" t="s">
        <v>901</v>
      </c>
      <c r="N1168" t="s">
        <v>875</v>
      </c>
      <c r="O1168" s="57">
        <v>45658</v>
      </c>
      <c r="P1168" t="s">
        <v>877</v>
      </c>
      <c r="Q1168" s="56">
        <v>35000</v>
      </c>
      <c r="R1168" t="s">
        <v>800</v>
      </c>
      <c r="S1168" t="s">
        <v>731</v>
      </c>
      <c r="T1168" t="s">
        <v>732</v>
      </c>
      <c r="U1168" t="s">
        <v>173</v>
      </c>
      <c r="V1168" t="s">
        <v>7</v>
      </c>
      <c r="W1168" t="s">
        <v>56</v>
      </c>
      <c r="X1168" t="s">
        <v>9</v>
      </c>
      <c r="Y1168" s="56">
        <f>IF(clean[[#This Row],[is_delivered]]="Yes",clean[[#This Row],[net_sales]],0 )</f>
        <v>35000</v>
      </c>
    </row>
    <row r="1169" spans="1:25">
      <c r="A1169" t="s">
        <v>2061</v>
      </c>
      <c r="B1169" s="9">
        <v>45662</v>
      </c>
      <c r="C1169" t="s">
        <v>47</v>
      </c>
      <c r="D1169" t="s">
        <v>769</v>
      </c>
      <c r="E1169">
        <v>3</v>
      </c>
      <c r="F1169" s="56">
        <v>100000</v>
      </c>
      <c r="G1169" s="56">
        <v>300000</v>
      </c>
      <c r="H1169" t="s">
        <v>872</v>
      </c>
      <c r="I1169" s="56">
        <v>0</v>
      </c>
      <c r="J1169" s="56">
        <v>15000</v>
      </c>
      <c r="K1169" s="56">
        <v>315000</v>
      </c>
      <c r="L1169" t="s">
        <v>884</v>
      </c>
      <c r="M1169" t="s">
        <v>874</v>
      </c>
      <c r="N1169" t="s">
        <v>875</v>
      </c>
      <c r="O1169" s="57">
        <v>45658</v>
      </c>
      <c r="P1169" t="s">
        <v>877</v>
      </c>
      <c r="Q1169" s="56">
        <v>300000</v>
      </c>
      <c r="R1169" t="s">
        <v>770</v>
      </c>
      <c r="S1169" t="s">
        <v>743</v>
      </c>
      <c r="T1169" t="s">
        <v>744</v>
      </c>
      <c r="U1169" t="s">
        <v>48</v>
      </c>
      <c r="V1169" t="s">
        <v>23</v>
      </c>
      <c r="W1169" t="s">
        <v>36</v>
      </c>
      <c r="X1169" t="s">
        <v>9</v>
      </c>
      <c r="Y1169" s="56">
        <f>IF(clean[[#This Row],[is_delivered]]="Yes",clean[[#This Row],[net_sales]],0 )</f>
        <v>300000</v>
      </c>
    </row>
    <row r="1170" spans="1:25">
      <c r="A1170" t="s">
        <v>907</v>
      </c>
      <c r="B1170" s="9">
        <v>45661</v>
      </c>
      <c r="C1170" t="s">
        <v>326</v>
      </c>
      <c r="D1170" t="s">
        <v>851</v>
      </c>
      <c r="E1170">
        <v>2</v>
      </c>
      <c r="F1170" s="56">
        <v>35000</v>
      </c>
      <c r="G1170" s="56">
        <v>70000</v>
      </c>
      <c r="H1170" t="s">
        <v>883</v>
      </c>
      <c r="I1170" s="56">
        <v>7000</v>
      </c>
      <c r="J1170" s="56">
        <v>30000</v>
      </c>
      <c r="K1170" s="56">
        <v>93000</v>
      </c>
      <c r="L1170" t="s">
        <v>884</v>
      </c>
      <c r="M1170" t="s">
        <v>881</v>
      </c>
      <c r="N1170" t="s">
        <v>875</v>
      </c>
      <c r="O1170" s="57">
        <v>45658</v>
      </c>
      <c r="P1170" t="s">
        <v>877</v>
      </c>
      <c r="Q1170" s="56">
        <v>63000</v>
      </c>
      <c r="R1170" t="s">
        <v>852</v>
      </c>
      <c r="S1170" t="s">
        <v>739</v>
      </c>
      <c r="T1170" t="s">
        <v>740</v>
      </c>
      <c r="U1170" t="s">
        <v>327</v>
      </c>
      <c r="V1170" t="s">
        <v>7</v>
      </c>
      <c r="W1170" t="s">
        <v>8</v>
      </c>
      <c r="X1170" t="s">
        <v>9</v>
      </c>
      <c r="Y1170" s="56">
        <f>IF(clean[[#This Row],[is_delivered]]="Yes",clean[[#This Row],[net_sales]],0 )</f>
        <v>63000</v>
      </c>
    </row>
    <row r="1171" spans="1:25">
      <c r="A1171" t="s">
        <v>1088</v>
      </c>
      <c r="B1171" s="9">
        <v>45661</v>
      </c>
      <c r="C1171" t="s">
        <v>222</v>
      </c>
      <c r="D1171" t="s">
        <v>851</v>
      </c>
      <c r="E1171">
        <v>4</v>
      </c>
      <c r="F1171" s="56">
        <v>35000</v>
      </c>
      <c r="G1171" s="56">
        <v>140000</v>
      </c>
      <c r="H1171" t="s">
        <v>886</v>
      </c>
      <c r="I1171" s="56">
        <v>14000</v>
      </c>
      <c r="J1171" s="56">
        <v>10000</v>
      </c>
      <c r="K1171" s="56">
        <v>136000</v>
      </c>
      <c r="L1171" t="s">
        <v>889</v>
      </c>
      <c r="M1171" t="s">
        <v>901</v>
      </c>
      <c r="N1171" t="s">
        <v>875</v>
      </c>
      <c r="O1171" s="57">
        <v>45658</v>
      </c>
      <c r="P1171" t="s">
        <v>877</v>
      </c>
      <c r="Q1171" s="56">
        <v>126000</v>
      </c>
      <c r="R1171" t="s">
        <v>852</v>
      </c>
      <c r="S1171" t="s">
        <v>739</v>
      </c>
      <c r="T1171" t="s">
        <v>740</v>
      </c>
      <c r="U1171" t="s">
        <v>223</v>
      </c>
      <c r="V1171" t="s">
        <v>7</v>
      </c>
      <c r="W1171" t="s">
        <v>137</v>
      </c>
      <c r="X1171" t="s">
        <v>9</v>
      </c>
      <c r="Y1171" s="56">
        <f>IF(clean[[#This Row],[is_delivered]]="Yes",clean[[#This Row],[net_sales]],0 )</f>
        <v>126000</v>
      </c>
    </row>
    <row r="1172" spans="1:25">
      <c r="A1172" t="s">
        <v>1201</v>
      </c>
      <c r="B1172" s="9">
        <v>45661</v>
      </c>
      <c r="C1172" t="s">
        <v>664</v>
      </c>
      <c r="D1172" t="s">
        <v>803</v>
      </c>
      <c r="E1172">
        <v>1</v>
      </c>
      <c r="F1172" s="56">
        <v>50000</v>
      </c>
      <c r="G1172" s="56">
        <v>50000</v>
      </c>
      <c r="H1172" t="s">
        <v>872</v>
      </c>
      <c r="I1172" s="56">
        <v>0</v>
      </c>
      <c r="J1172" s="56">
        <v>30000</v>
      </c>
      <c r="K1172" s="56">
        <v>80000</v>
      </c>
      <c r="L1172" t="s">
        <v>889</v>
      </c>
      <c r="M1172" t="s">
        <v>874</v>
      </c>
      <c r="N1172" t="s">
        <v>875</v>
      </c>
      <c r="O1172" s="57">
        <v>45658</v>
      </c>
      <c r="P1172" t="s">
        <v>877</v>
      </c>
      <c r="Q1172" s="56">
        <v>50000</v>
      </c>
      <c r="R1172" t="s">
        <v>804</v>
      </c>
      <c r="S1172" t="s">
        <v>739</v>
      </c>
      <c r="T1172" t="s">
        <v>740</v>
      </c>
      <c r="U1172" t="s">
        <v>665</v>
      </c>
      <c r="V1172" t="s">
        <v>23</v>
      </c>
      <c r="W1172" t="s">
        <v>8</v>
      </c>
      <c r="X1172" t="s">
        <v>9</v>
      </c>
      <c r="Y1172" s="56">
        <f>IF(clean[[#This Row],[is_delivered]]="Yes",clean[[#This Row],[net_sales]],0 )</f>
        <v>50000</v>
      </c>
    </row>
    <row r="1173" spans="1:25">
      <c r="A1173" t="s">
        <v>1241</v>
      </c>
      <c r="B1173" s="9">
        <v>45661</v>
      </c>
      <c r="C1173" t="s">
        <v>446</v>
      </c>
      <c r="D1173" t="s">
        <v>749</v>
      </c>
      <c r="E1173">
        <v>2</v>
      </c>
      <c r="F1173" s="56">
        <v>150000</v>
      </c>
      <c r="G1173" s="56">
        <v>300000</v>
      </c>
      <c r="H1173" t="s">
        <v>872</v>
      </c>
      <c r="I1173" s="56">
        <v>0</v>
      </c>
      <c r="J1173" s="56">
        <v>20000</v>
      </c>
      <c r="K1173" s="56">
        <v>320000</v>
      </c>
      <c r="L1173" t="s">
        <v>889</v>
      </c>
      <c r="M1173" t="s">
        <v>874</v>
      </c>
      <c r="N1173" t="s">
        <v>875</v>
      </c>
      <c r="O1173" s="57">
        <v>45658</v>
      </c>
      <c r="P1173" t="s">
        <v>877</v>
      </c>
      <c r="Q1173" s="56">
        <v>300000</v>
      </c>
      <c r="R1173" t="s">
        <v>750</v>
      </c>
      <c r="S1173" t="s">
        <v>727</v>
      </c>
      <c r="T1173" t="s">
        <v>728</v>
      </c>
      <c r="U1173" t="s">
        <v>447</v>
      </c>
      <c r="V1173" t="s">
        <v>23</v>
      </c>
      <c r="W1173" t="s">
        <v>8</v>
      </c>
      <c r="X1173" t="s">
        <v>9</v>
      </c>
      <c r="Y1173" s="56">
        <f>IF(clean[[#This Row],[is_delivered]]="Yes",clean[[#This Row],[net_sales]],0 )</f>
        <v>300000</v>
      </c>
    </row>
    <row r="1174" spans="1:25">
      <c r="A1174" t="s">
        <v>1368</v>
      </c>
      <c r="B1174" s="9">
        <v>45661</v>
      </c>
      <c r="C1174" t="s">
        <v>672</v>
      </c>
      <c r="D1174" t="s">
        <v>787</v>
      </c>
      <c r="E1174">
        <v>4</v>
      </c>
      <c r="F1174" s="56">
        <v>200000</v>
      </c>
      <c r="G1174" s="56">
        <v>800000</v>
      </c>
      <c r="H1174" t="s">
        <v>886</v>
      </c>
      <c r="I1174" s="56">
        <v>80000</v>
      </c>
      <c r="J1174" s="56">
        <v>10000</v>
      </c>
      <c r="K1174" s="56">
        <v>730000</v>
      </c>
      <c r="L1174" t="s">
        <v>889</v>
      </c>
      <c r="M1174" t="s">
        <v>901</v>
      </c>
      <c r="N1174" t="s">
        <v>905</v>
      </c>
      <c r="O1174" s="57">
        <v>45658</v>
      </c>
      <c r="P1174" t="s">
        <v>892</v>
      </c>
      <c r="Q1174" s="56">
        <v>720000</v>
      </c>
      <c r="R1174" t="s">
        <v>788</v>
      </c>
      <c r="S1174" t="s">
        <v>731</v>
      </c>
      <c r="T1174" t="s">
        <v>732</v>
      </c>
      <c r="U1174" t="s">
        <v>673</v>
      </c>
      <c r="V1174" t="s">
        <v>7</v>
      </c>
      <c r="W1174" t="s">
        <v>51</v>
      </c>
      <c r="X1174" t="s">
        <v>9</v>
      </c>
      <c r="Y1174" s="56">
        <f>IF(clean[[#This Row],[is_delivered]]="Yes",clean[[#This Row],[net_sales]],0 )</f>
        <v>0</v>
      </c>
    </row>
    <row r="1175" spans="1:25">
      <c r="A1175" t="s">
        <v>1443</v>
      </c>
      <c r="B1175" s="9">
        <v>45661</v>
      </c>
      <c r="C1175" t="s">
        <v>236</v>
      </c>
      <c r="D1175" t="s">
        <v>755</v>
      </c>
      <c r="E1175">
        <v>2</v>
      </c>
      <c r="F1175" s="56">
        <v>50000</v>
      </c>
      <c r="G1175" s="56">
        <v>100000</v>
      </c>
      <c r="H1175" t="s">
        <v>872</v>
      </c>
      <c r="I1175" s="56">
        <v>0</v>
      </c>
      <c r="J1175" s="56">
        <v>10000</v>
      </c>
      <c r="K1175" s="56">
        <v>110000</v>
      </c>
      <c r="L1175" t="s">
        <v>880</v>
      </c>
      <c r="M1175" t="s">
        <v>874</v>
      </c>
      <c r="N1175" t="s">
        <v>875</v>
      </c>
      <c r="O1175" s="57">
        <v>45658</v>
      </c>
      <c r="P1175" t="s">
        <v>877</v>
      </c>
      <c r="Q1175" s="56">
        <v>100000</v>
      </c>
      <c r="R1175" t="s">
        <v>756</v>
      </c>
      <c r="S1175" t="s">
        <v>739</v>
      </c>
      <c r="T1175" t="s">
        <v>740</v>
      </c>
      <c r="U1175" t="s">
        <v>237</v>
      </c>
      <c r="V1175" t="s">
        <v>7</v>
      </c>
      <c r="W1175" t="s">
        <v>29</v>
      </c>
      <c r="X1175" t="s">
        <v>15</v>
      </c>
      <c r="Y1175" s="56">
        <f>IF(clean[[#This Row],[is_delivered]]="Yes",clean[[#This Row],[net_sales]],0 )</f>
        <v>100000</v>
      </c>
    </row>
    <row r="1176" spans="1:25">
      <c r="A1176" t="s">
        <v>1538</v>
      </c>
      <c r="B1176" s="9">
        <v>45661</v>
      </c>
      <c r="C1176" t="s">
        <v>716</v>
      </c>
      <c r="D1176" t="s">
        <v>817</v>
      </c>
      <c r="E1176">
        <v>4</v>
      </c>
      <c r="F1176" s="56">
        <v>75000</v>
      </c>
      <c r="G1176" s="56">
        <v>300000</v>
      </c>
      <c r="H1176" t="s">
        <v>879</v>
      </c>
      <c r="I1176" s="56">
        <v>60000</v>
      </c>
      <c r="J1176" s="56">
        <v>25000</v>
      </c>
      <c r="K1176" s="56">
        <v>265000</v>
      </c>
      <c r="L1176" t="s">
        <v>873</v>
      </c>
      <c r="M1176" t="s">
        <v>903</v>
      </c>
      <c r="N1176" t="s">
        <v>875</v>
      </c>
      <c r="O1176" s="57">
        <v>45658</v>
      </c>
      <c r="P1176" t="s">
        <v>877</v>
      </c>
      <c r="Q1176" s="56">
        <v>240000</v>
      </c>
      <c r="R1176" t="s">
        <v>818</v>
      </c>
      <c r="S1176" t="s">
        <v>743</v>
      </c>
      <c r="T1176" t="s">
        <v>744</v>
      </c>
      <c r="U1176" t="s">
        <v>717</v>
      </c>
      <c r="V1176" t="s">
        <v>23</v>
      </c>
      <c r="W1176" t="s">
        <v>8</v>
      </c>
      <c r="X1176" t="s">
        <v>9</v>
      </c>
      <c r="Y1176" s="56">
        <f>IF(clean[[#This Row],[is_delivered]]="Yes",clean[[#This Row],[net_sales]],0 )</f>
        <v>240000</v>
      </c>
    </row>
    <row r="1177" spans="1:25">
      <c r="A1177" t="s">
        <v>1787</v>
      </c>
      <c r="B1177" s="9">
        <v>45661</v>
      </c>
      <c r="C1177" t="s">
        <v>170</v>
      </c>
      <c r="D1177" t="s">
        <v>753</v>
      </c>
      <c r="E1177">
        <v>2</v>
      </c>
      <c r="F1177" s="56">
        <v>300000</v>
      </c>
      <c r="G1177" s="56">
        <v>600000</v>
      </c>
      <c r="H1177" t="s">
        <v>872</v>
      </c>
      <c r="I1177" s="56">
        <v>0</v>
      </c>
      <c r="J1177" s="56">
        <v>25000</v>
      </c>
      <c r="K1177" s="56">
        <v>625000</v>
      </c>
      <c r="L1177" t="s">
        <v>880</v>
      </c>
      <c r="M1177" t="s">
        <v>903</v>
      </c>
      <c r="N1177" t="s">
        <v>890</v>
      </c>
      <c r="O1177" s="57">
        <v>45658</v>
      </c>
      <c r="P1177" t="s">
        <v>892</v>
      </c>
      <c r="Q1177" s="56">
        <v>600000</v>
      </c>
      <c r="R1177" t="s">
        <v>754</v>
      </c>
      <c r="S1177" t="s">
        <v>735</v>
      </c>
      <c r="T1177" t="s">
        <v>736</v>
      </c>
      <c r="U1177" t="s">
        <v>171</v>
      </c>
      <c r="V1177" t="s">
        <v>7</v>
      </c>
      <c r="W1177" t="s">
        <v>29</v>
      </c>
      <c r="X1177" t="s">
        <v>9</v>
      </c>
      <c r="Y1177" s="56">
        <f>IF(clean[[#This Row],[is_delivered]]="Yes",clean[[#This Row],[net_sales]],0 )</f>
        <v>0</v>
      </c>
    </row>
    <row r="1178" spans="1:25">
      <c r="A1178" t="s">
        <v>1861</v>
      </c>
      <c r="B1178" s="9">
        <v>45661</v>
      </c>
      <c r="C1178" t="s">
        <v>176</v>
      </c>
      <c r="D1178" t="s">
        <v>769</v>
      </c>
      <c r="E1178">
        <v>2</v>
      </c>
      <c r="F1178" s="56">
        <v>100000</v>
      </c>
      <c r="G1178" s="56">
        <v>200000</v>
      </c>
      <c r="H1178" t="s">
        <v>895</v>
      </c>
      <c r="I1178" s="56">
        <v>30000</v>
      </c>
      <c r="J1178" s="56">
        <v>10000</v>
      </c>
      <c r="K1178" s="56">
        <v>180000</v>
      </c>
      <c r="L1178" t="s">
        <v>873</v>
      </c>
      <c r="M1178" t="s">
        <v>874</v>
      </c>
      <c r="N1178" t="s">
        <v>875</v>
      </c>
      <c r="O1178" s="57">
        <v>45658</v>
      </c>
      <c r="P1178" t="s">
        <v>877</v>
      </c>
      <c r="Q1178" s="56">
        <v>170000</v>
      </c>
      <c r="R1178" t="s">
        <v>770</v>
      </c>
      <c r="S1178" t="s">
        <v>743</v>
      </c>
      <c r="T1178" t="s">
        <v>744</v>
      </c>
      <c r="U1178" t="s">
        <v>177</v>
      </c>
      <c r="V1178" t="s">
        <v>7</v>
      </c>
      <c r="W1178" t="s">
        <v>56</v>
      </c>
      <c r="X1178" t="s">
        <v>9</v>
      </c>
      <c r="Y1178" s="56">
        <f>IF(clean[[#This Row],[is_delivered]]="Yes",clean[[#This Row],[net_sales]],0 )</f>
        <v>170000</v>
      </c>
    </row>
    <row r="1179" spans="1:25">
      <c r="A1179" t="s">
        <v>1953</v>
      </c>
      <c r="B1179" s="9">
        <v>45661</v>
      </c>
      <c r="C1179" t="s">
        <v>270</v>
      </c>
      <c r="D1179" t="s">
        <v>829</v>
      </c>
      <c r="E1179">
        <v>1</v>
      </c>
      <c r="F1179" s="56">
        <v>500000</v>
      </c>
      <c r="G1179" s="56">
        <v>500000</v>
      </c>
      <c r="H1179" t="s">
        <v>886</v>
      </c>
      <c r="I1179" s="56">
        <v>50000</v>
      </c>
      <c r="J1179" s="56">
        <v>10000</v>
      </c>
      <c r="K1179" s="56">
        <v>460000</v>
      </c>
      <c r="L1179" t="s">
        <v>889</v>
      </c>
      <c r="M1179" t="s">
        <v>903</v>
      </c>
      <c r="N1179" t="s">
        <v>911</v>
      </c>
      <c r="O1179" s="57">
        <v>45658</v>
      </c>
      <c r="P1179" t="s">
        <v>892</v>
      </c>
      <c r="Q1179" s="56">
        <v>450000</v>
      </c>
      <c r="R1179" t="s">
        <v>830</v>
      </c>
      <c r="S1179" t="s">
        <v>743</v>
      </c>
      <c r="T1179" t="s">
        <v>744</v>
      </c>
      <c r="U1179" t="s">
        <v>271</v>
      </c>
      <c r="V1179" t="s">
        <v>7</v>
      </c>
      <c r="W1179" t="s">
        <v>39</v>
      </c>
      <c r="X1179" t="s">
        <v>24</v>
      </c>
      <c r="Y1179" s="56">
        <f>IF(clean[[#This Row],[is_delivered]]="Yes",clean[[#This Row],[net_sales]],0 )</f>
        <v>0</v>
      </c>
    </row>
    <row r="1180" spans="1:25">
      <c r="A1180" t="s">
        <v>2022</v>
      </c>
      <c r="B1180" s="9">
        <v>45661</v>
      </c>
      <c r="C1180" t="s">
        <v>59</v>
      </c>
      <c r="D1180" t="s">
        <v>797</v>
      </c>
      <c r="E1180">
        <v>2</v>
      </c>
      <c r="F1180" s="56">
        <v>150000</v>
      </c>
      <c r="G1180" s="56">
        <v>300000</v>
      </c>
      <c r="H1180" t="s">
        <v>872</v>
      </c>
      <c r="I1180" s="56">
        <v>0</v>
      </c>
      <c r="J1180" s="56">
        <v>20000</v>
      </c>
      <c r="K1180" s="56">
        <v>320000</v>
      </c>
      <c r="L1180" t="s">
        <v>880</v>
      </c>
      <c r="M1180" t="s">
        <v>901</v>
      </c>
      <c r="N1180" t="s">
        <v>875</v>
      </c>
      <c r="O1180" s="57">
        <v>45658</v>
      </c>
      <c r="P1180" t="s">
        <v>877</v>
      </c>
      <c r="Q1180" s="56">
        <v>300000</v>
      </c>
      <c r="R1180" t="s">
        <v>798</v>
      </c>
      <c r="S1180" t="s">
        <v>727</v>
      </c>
      <c r="T1180" t="s">
        <v>728</v>
      </c>
      <c r="U1180" t="s">
        <v>60</v>
      </c>
      <c r="V1180" t="s">
        <v>7</v>
      </c>
      <c r="W1180" t="s">
        <v>39</v>
      </c>
      <c r="X1180" t="s">
        <v>15</v>
      </c>
      <c r="Y1180" s="56">
        <f>IF(clean[[#This Row],[is_delivered]]="Yes",clean[[#This Row],[net_sales]],0 )</f>
        <v>300000</v>
      </c>
    </row>
    <row r="1181" spans="1:25">
      <c r="A1181" t="s">
        <v>1594</v>
      </c>
      <c r="B1181" s="9">
        <v>45660</v>
      </c>
      <c r="C1181" t="s">
        <v>111</v>
      </c>
      <c r="D1181" t="s">
        <v>797</v>
      </c>
      <c r="E1181">
        <v>2</v>
      </c>
      <c r="F1181" s="56">
        <v>150000</v>
      </c>
      <c r="G1181" s="56">
        <v>300000</v>
      </c>
      <c r="H1181" t="s">
        <v>883</v>
      </c>
      <c r="I1181" s="56">
        <v>30000</v>
      </c>
      <c r="J1181" s="56">
        <v>20000</v>
      </c>
      <c r="K1181" s="56">
        <v>290000</v>
      </c>
      <c r="L1181" t="s">
        <v>884</v>
      </c>
      <c r="M1181" t="s">
        <v>901</v>
      </c>
      <c r="N1181" t="s">
        <v>875</v>
      </c>
      <c r="O1181" s="57">
        <v>45658</v>
      </c>
      <c r="P1181" t="s">
        <v>877</v>
      </c>
      <c r="Q1181" s="56">
        <v>270000</v>
      </c>
      <c r="R1181" t="s">
        <v>798</v>
      </c>
      <c r="S1181" t="s">
        <v>727</v>
      </c>
      <c r="T1181" t="s">
        <v>728</v>
      </c>
      <c r="U1181" t="s">
        <v>112</v>
      </c>
      <c r="V1181" t="s">
        <v>23</v>
      </c>
      <c r="W1181" t="s">
        <v>51</v>
      </c>
      <c r="X1181" t="s">
        <v>15</v>
      </c>
      <c r="Y1181" s="56">
        <f>IF(clean[[#This Row],[is_delivered]]="Yes",clean[[#This Row],[net_sales]],0 )</f>
        <v>270000</v>
      </c>
    </row>
    <row r="1182" spans="1:25">
      <c r="A1182" t="s">
        <v>1858</v>
      </c>
      <c r="B1182" s="9">
        <v>45660</v>
      </c>
      <c r="C1182" t="s">
        <v>646</v>
      </c>
      <c r="D1182" t="s">
        <v>783</v>
      </c>
      <c r="E1182">
        <v>4</v>
      </c>
      <c r="F1182" s="56">
        <v>500000</v>
      </c>
      <c r="G1182" s="56">
        <v>2000000</v>
      </c>
      <c r="H1182" t="s">
        <v>872</v>
      </c>
      <c r="I1182" s="56">
        <v>0</v>
      </c>
      <c r="J1182" s="56">
        <v>25000</v>
      </c>
      <c r="K1182" s="56">
        <v>2025000</v>
      </c>
      <c r="L1182" t="s">
        <v>889</v>
      </c>
      <c r="M1182" t="s">
        <v>874</v>
      </c>
      <c r="N1182" t="s">
        <v>875</v>
      </c>
      <c r="O1182" s="57">
        <v>45658</v>
      </c>
      <c r="P1182" t="s">
        <v>877</v>
      </c>
      <c r="Q1182" s="56">
        <v>2000000</v>
      </c>
      <c r="R1182" t="s">
        <v>784</v>
      </c>
      <c r="S1182" t="s">
        <v>747</v>
      </c>
      <c r="T1182" t="s">
        <v>748</v>
      </c>
      <c r="U1182" t="s">
        <v>647</v>
      </c>
      <c r="V1182" t="s">
        <v>23</v>
      </c>
      <c r="W1182" t="s">
        <v>56</v>
      </c>
      <c r="X1182" t="s">
        <v>15</v>
      </c>
      <c r="Y1182" s="56">
        <f>IF(clean[[#This Row],[is_delivered]]="Yes",clean[[#This Row],[net_sales]],0 )</f>
        <v>2000000</v>
      </c>
    </row>
    <row r="1183" spans="1:25">
      <c r="A1183" t="s">
        <v>1914</v>
      </c>
      <c r="B1183" s="9">
        <v>45660</v>
      </c>
      <c r="C1183" t="s">
        <v>712</v>
      </c>
      <c r="D1183" t="s">
        <v>839</v>
      </c>
      <c r="E1183">
        <v>1</v>
      </c>
      <c r="F1183" s="56">
        <v>200000</v>
      </c>
      <c r="G1183" s="56">
        <v>200000</v>
      </c>
      <c r="H1183" t="s">
        <v>895</v>
      </c>
      <c r="I1183" s="56">
        <v>30000</v>
      </c>
      <c r="J1183" s="56">
        <v>10000</v>
      </c>
      <c r="K1183" s="56">
        <v>180000</v>
      </c>
      <c r="L1183" t="s">
        <v>880</v>
      </c>
      <c r="M1183" t="s">
        <v>881</v>
      </c>
      <c r="N1183" t="s">
        <v>875</v>
      </c>
      <c r="O1183" s="57">
        <v>45658</v>
      </c>
      <c r="P1183" t="s">
        <v>877</v>
      </c>
      <c r="Q1183" s="56">
        <v>170000</v>
      </c>
      <c r="R1183" t="s">
        <v>840</v>
      </c>
      <c r="S1183" t="s">
        <v>739</v>
      </c>
      <c r="T1183" t="s">
        <v>740</v>
      </c>
      <c r="U1183" t="s">
        <v>713</v>
      </c>
      <c r="V1183" t="s">
        <v>23</v>
      </c>
      <c r="W1183" t="s">
        <v>29</v>
      </c>
      <c r="X1183" t="s">
        <v>9</v>
      </c>
      <c r="Y1183" s="56">
        <f>IF(clean[[#This Row],[is_delivered]]="Yes",clean[[#This Row],[net_sales]],0 )</f>
        <v>170000</v>
      </c>
    </row>
    <row r="1184" spans="1:25">
      <c r="A1184" t="s">
        <v>946</v>
      </c>
      <c r="B1184" s="9">
        <v>45659</v>
      </c>
      <c r="C1184" t="s">
        <v>430</v>
      </c>
      <c r="D1184" t="s">
        <v>761</v>
      </c>
      <c r="E1184">
        <v>2</v>
      </c>
      <c r="F1184" s="56">
        <v>75000</v>
      </c>
      <c r="G1184" s="56">
        <v>150000</v>
      </c>
      <c r="H1184" t="s">
        <v>886</v>
      </c>
      <c r="I1184" s="56">
        <v>15000</v>
      </c>
      <c r="J1184" s="56">
        <v>10000</v>
      </c>
      <c r="K1184" s="56">
        <v>145000</v>
      </c>
      <c r="L1184" t="s">
        <v>889</v>
      </c>
      <c r="M1184" t="s">
        <v>901</v>
      </c>
      <c r="N1184" t="s">
        <v>875</v>
      </c>
      <c r="O1184" s="57">
        <v>45658</v>
      </c>
      <c r="P1184" t="s">
        <v>877</v>
      </c>
      <c r="Q1184" s="56">
        <v>135000</v>
      </c>
      <c r="R1184" t="s">
        <v>762</v>
      </c>
      <c r="S1184" t="s">
        <v>727</v>
      </c>
      <c r="T1184" t="s">
        <v>728</v>
      </c>
      <c r="U1184" t="s">
        <v>431</v>
      </c>
      <c r="V1184" t="s">
        <v>23</v>
      </c>
      <c r="W1184" t="s">
        <v>56</v>
      </c>
      <c r="X1184" t="s">
        <v>9</v>
      </c>
      <c r="Y1184" s="56">
        <f>IF(clean[[#This Row],[is_delivered]]="Yes",clean[[#This Row],[net_sales]],0 )</f>
        <v>135000</v>
      </c>
    </row>
    <row r="1185" spans="1:25">
      <c r="A1185" t="s">
        <v>1521</v>
      </c>
      <c r="B1185" s="9">
        <v>45659</v>
      </c>
      <c r="C1185" t="s">
        <v>52</v>
      </c>
      <c r="D1185" t="s">
        <v>829</v>
      </c>
      <c r="E1185">
        <v>1</v>
      </c>
      <c r="F1185" s="56">
        <v>500000</v>
      </c>
      <c r="G1185" s="56">
        <v>500000</v>
      </c>
      <c r="H1185" t="s">
        <v>886</v>
      </c>
      <c r="I1185" s="56">
        <v>50000</v>
      </c>
      <c r="J1185" s="56">
        <v>15000</v>
      </c>
      <c r="K1185" s="56">
        <v>465000</v>
      </c>
      <c r="L1185" t="s">
        <v>873</v>
      </c>
      <c r="M1185" t="s">
        <v>881</v>
      </c>
      <c r="N1185" t="s">
        <v>875</v>
      </c>
      <c r="O1185" s="57">
        <v>45658</v>
      </c>
      <c r="P1185" t="s">
        <v>877</v>
      </c>
      <c r="Q1185" s="56">
        <v>450000</v>
      </c>
      <c r="R1185" t="s">
        <v>830</v>
      </c>
      <c r="S1185" t="s">
        <v>743</v>
      </c>
      <c r="T1185" t="s">
        <v>744</v>
      </c>
      <c r="U1185" t="s">
        <v>53</v>
      </c>
      <c r="V1185" t="s">
        <v>23</v>
      </c>
      <c r="W1185" t="s">
        <v>51</v>
      </c>
      <c r="X1185" t="s">
        <v>24</v>
      </c>
      <c r="Y1185" s="56">
        <f>IF(clean[[#This Row],[is_delivered]]="Yes",clean[[#This Row],[net_sales]],0 )</f>
        <v>450000</v>
      </c>
    </row>
    <row r="1186" spans="1:25">
      <c r="A1186" t="s">
        <v>1575</v>
      </c>
      <c r="B1186" s="9">
        <v>45659</v>
      </c>
      <c r="C1186" t="s">
        <v>516</v>
      </c>
      <c r="D1186" t="s">
        <v>761</v>
      </c>
      <c r="E1186">
        <v>2</v>
      </c>
      <c r="F1186" s="56">
        <v>75000</v>
      </c>
      <c r="G1186" s="56">
        <v>150000</v>
      </c>
      <c r="H1186" t="s">
        <v>895</v>
      </c>
      <c r="I1186" s="56">
        <v>22500</v>
      </c>
      <c r="J1186" s="56">
        <v>20000</v>
      </c>
      <c r="K1186" s="56">
        <v>147500</v>
      </c>
      <c r="L1186" t="s">
        <v>889</v>
      </c>
      <c r="M1186" t="s">
        <v>881</v>
      </c>
      <c r="N1186" t="s">
        <v>875</v>
      </c>
      <c r="O1186" s="57">
        <v>45658</v>
      </c>
      <c r="P1186" t="s">
        <v>877</v>
      </c>
      <c r="Q1186" s="56">
        <v>127500</v>
      </c>
      <c r="R1186" t="s">
        <v>762</v>
      </c>
      <c r="S1186" t="s">
        <v>727</v>
      </c>
      <c r="T1186" t="s">
        <v>728</v>
      </c>
      <c r="U1186" t="s">
        <v>517</v>
      </c>
      <c r="V1186" t="s">
        <v>23</v>
      </c>
      <c r="W1186" t="s">
        <v>36</v>
      </c>
      <c r="X1186" t="s">
        <v>9</v>
      </c>
      <c r="Y1186" s="56">
        <f>IF(clean[[#This Row],[is_delivered]]="Yes",clean[[#This Row],[net_sales]],0 )</f>
        <v>127500</v>
      </c>
    </row>
    <row r="1187" spans="1:25">
      <c r="A1187" t="s">
        <v>1584</v>
      </c>
      <c r="B1187" s="9">
        <v>45659</v>
      </c>
      <c r="C1187" t="s">
        <v>718</v>
      </c>
      <c r="D1187" t="s">
        <v>761</v>
      </c>
      <c r="E1187">
        <v>1</v>
      </c>
      <c r="F1187" s="56">
        <v>75000</v>
      </c>
      <c r="G1187" s="56">
        <v>75000</v>
      </c>
      <c r="H1187" t="s">
        <v>883</v>
      </c>
      <c r="I1187" s="56">
        <v>7500</v>
      </c>
      <c r="J1187" s="56">
        <v>30000</v>
      </c>
      <c r="K1187" s="56">
        <v>97500</v>
      </c>
      <c r="L1187" t="s">
        <v>880</v>
      </c>
      <c r="M1187" t="s">
        <v>874</v>
      </c>
      <c r="N1187" t="s">
        <v>875</v>
      </c>
      <c r="O1187" s="57">
        <v>45658</v>
      </c>
      <c r="P1187" t="s">
        <v>877</v>
      </c>
      <c r="Q1187" s="56">
        <v>67500</v>
      </c>
      <c r="R1187" t="s">
        <v>762</v>
      </c>
      <c r="S1187" t="s">
        <v>727</v>
      </c>
      <c r="T1187" t="s">
        <v>728</v>
      </c>
      <c r="U1187" t="s">
        <v>719</v>
      </c>
      <c r="V1187" t="s">
        <v>23</v>
      </c>
      <c r="W1187" t="s">
        <v>56</v>
      </c>
      <c r="X1187" t="s">
        <v>9</v>
      </c>
      <c r="Y1187" s="56">
        <f>IF(clean[[#This Row],[is_delivered]]="Yes",clean[[#This Row],[net_sales]],0 )</f>
        <v>67500</v>
      </c>
    </row>
    <row r="1188" spans="1:25">
      <c r="A1188" t="s">
        <v>1616</v>
      </c>
      <c r="B1188" s="9">
        <v>45659</v>
      </c>
      <c r="C1188" t="s">
        <v>504</v>
      </c>
      <c r="D1188" t="s">
        <v>817</v>
      </c>
      <c r="E1188">
        <v>1</v>
      </c>
      <c r="F1188" s="56">
        <v>75000</v>
      </c>
      <c r="G1188" s="56">
        <v>75000</v>
      </c>
      <c r="H1188" t="s">
        <v>886</v>
      </c>
      <c r="I1188" s="56">
        <v>7500</v>
      </c>
      <c r="J1188" s="56">
        <v>25000</v>
      </c>
      <c r="K1188" s="56">
        <v>92500</v>
      </c>
      <c r="L1188" t="s">
        <v>880</v>
      </c>
      <c r="M1188" t="s">
        <v>874</v>
      </c>
      <c r="N1188" t="s">
        <v>905</v>
      </c>
      <c r="O1188" s="57">
        <v>45658</v>
      </c>
      <c r="P1188" t="s">
        <v>892</v>
      </c>
      <c r="Q1188" s="56">
        <v>67500</v>
      </c>
      <c r="R1188" t="s">
        <v>818</v>
      </c>
      <c r="S1188" t="s">
        <v>743</v>
      </c>
      <c r="T1188" t="s">
        <v>744</v>
      </c>
      <c r="U1188" t="s">
        <v>505</v>
      </c>
      <c r="V1188" t="s">
        <v>7</v>
      </c>
      <c r="W1188" t="s">
        <v>56</v>
      </c>
      <c r="X1188" t="s">
        <v>9</v>
      </c>
      <c r="Y1188" s="56">
        <f>IF(clean[[#This Row],[is_delivered]]="Yes",clean[[#This Row],[net_sales]],0 )</f>
        <v>0</v>
      </c>
    </row>
    <row r="1189" spans="1:25">
      <c r="A1189" t="s">
        <v>1651</v>
      </c>
      <c r="B1189" s="9">
        <v>45659</v>
      </c>
      <c r="C1189" t="s">
        <v>220</v>
      </c>
      <c r="D1189" t="s">
        <v>777</v>
      </c>
      <c r="E1189">
        <v>1</v>
      </c>
      <c r="F1189" s="56">
        <v>200000</v>
      </c>
      <c r="G1189" s="56">
        <v>200000</v>
      </c>
      <c r="H1189" t="s">
        <v>895</v>
      </c>
      <c r="I1189" s="56">
        <v>30000</v>
      </c>
      <c r="J1189" s="56">
        <v>30000</v>
      </c>
      <c r="K1189" s="56">
        <v>200000</v>
      </c>
      <c r="L1189" t="s">
        <v>884</v>
      </c>
      <c r="M1189" t="s">
        <v>901</v>
      </c>
      <c r="N1189" t="s">
        <v>875</v>
      </c>
      <c r="O1189" s="57">
        <v>45658</v>
      </c>
      <c r="P1189" t="s">
        <v>877</v>
      </c>
      <c r="Q1189" s="56">
        <v>170000</v>
      </c>
      <c r="R1189" t="s">
        <v>778</v>
      </c>
      <c r="S1189" t="s">
        <v>735</v>
      </c>
      <c r="T1189" t="s">
        <v>736</v>
      </c>
      <c r="U1189" t="s">
        <v>221</v>
      </c>
      <c r="V1189" t="s">
        <v>7</v>
      </c>
      <c r="W1189" t="s">
        <v>29</v>
      </c>
      <c r="X1189" t="s">
        <v>9</v>
      </c>
      <c r="Y1189" s="56">
        <f>IF(clean[[#This Row],[is_delivered]]="Yes",clean[[#This Row],[net_sales]],0 )</f>
        <v>170000</v>
      </c>
    </row>
    <row r="1190" spans="1:25">
      <c r="A1190" t="s">
        <v>1842</v>
      </c>
      <c r="B1190" s="9">
        <v>45659</v>
      </c>
      <c r="C1190" t="s">
        <v>676</v>
      </c>
      <c r="D1190" t="s">
        <v>847</v>
      </c>
      <c r="E1190">
        <v>1</v>
      </c>
      <c r="F1190" s="56">
        <v>100000</v>
      </c>
      <c r="G1190" s="56">
        <v>100000</v>
      </c>
      <c r="H1190" t="s">
        <v>895</v>
      </c>
      <c r="I1190" s="56">
        <v>15000</v>
      </c>
      <c r="J1190" s="56">
        <v>25000</v>
      </c>
      <c r="K1190" s="56">
        <v>110000</v>
      </c>
      <c r="L1190" t="s">
        <v>884</v>
      </c>
      <c r="M1190" t="s">
        <v>901</v>
      </c>
      <c r="N1190" t="s">
        <v>875</v>
      </c>
      <c r="O1190" s="57">
        <v>45658</v>
      </c>
      <c r="P1190" t="s">
        <v>877</v>
      </c>
      <c r="Q1190" s="56">
        <v>85000</v>
      </c>
      <c r="R1190" t="s">
        <v>848</v>
      </c>
      <c r="S1190" t="s">
        <v>731</v>
      </c>
      <c r="T1190" t="s">
        <v>732</v>
      </c>
      <c r="U1190" t="s">
        <v>677</v>
      </c>
      <c r="V1190" t="s">
        <v>7</v>
      </c>
      <c r="W1190" t="s">
        <v>29</v>
      </c>
      <c r="X1190" t="s">
        <v>15</v>
      </c>
      <c r="Y1190" s="56">
        <f>IF(clean[[#This Row],[is_delivered]]="Yes",clean[[#This Row],[net_sales]],0 )</f>
        <v>85000</v>
      </c>
    </row>
    <row r="1191" spans="1:25">
      <c r="A1191" t="s">
        <v>2034</v>
      </c>
      <c r="B1191" s="9">
        <v>45659</v>
      </c>
      <c r="C1191" t="s">
        <v>646</v>
      </c>
      <c r="D1191" t="s">
        <v>773</v>
      </c>
      <c r="E1191">
        <v>3</v>
      </c>
      <c r="F1191" s="56">
        <v>500000</v>
      </c>
      <c r="G1191" s="56">
        <v>1500000</v>
      </c>
      <c r="H1191" t="s">
        <v>872</v>
      </c>
      <c r="I1191" s="56">
        <v>0</v>
      </c>
      <c r="J1191" s="56">
        <v>30000</v>
      </c>
      <c r="K1191" s="56">
        <v>1530000</v>
      </c>
      <c r="L1191" t="s">
        <v>880</v>
      </c>
      <c r="M1191" t="s">
        <v>903</v>
      </c>
      <c r="N1191" t="s">
        <v>875</v>
      </c>
      <c r="O1191" s="57">
        <v>45658</v>
      </c>
      <c r="P1191" t="s">
        <v>877</v>
      </c>
      <c r="Q1191" s="56">
        <v>1500000</v>
      </c>
      <c r="R1191" t="s">
        <v>774</v>
      </c>
      <c r="S1191" t="s">
        <v>727</v>
      </c>
      <c r="T1191" t="s">
        <v>728</v>
      </c>
      <c r="U1191" t="s">
        <v>647</v>
      </c>
      <c r="V1191" t="s">
        <v>23</v>
      </c>
      <c r="W1191" t="s">
        <v>56</v>
      </c>
      <c r="X1191" t="s">
        <v>15</v>
      </c>
      <c r="Y1191" s="56">
        <f>IF(clean[[#This Row],[is_delivered]]="Yes",clean[[#This Row],[net_sales]],0 )</f>
        <v>1500000</v>
      </c>
    </row>
    <row r="1192" spans="1:25">
      <c r="A1192" t="s">
        <v>2055</v>
      </c>
      <c r="B1192" s="9">
        <v>45659</v>
      </c>
      <c r="C1192" t="s">
        <v>362</v>
      </c>
      <c r="D1192" t="s">
        <v>809</v>
      </c>
      <c r="E1192">
        <v>3</v>
      </c>
      <c r="F1192" s="56">
        <v>100000</v>
      </c>
      <c r="G1192" s="56">
        <v>300000</v>
      </c>
      <c r="H1192" t="s">
        <v>883</v>
      </c>
      <c r="I1192" s="56">
        <v>30000</v>
      </c>
      <c r="J1192" s="56">
        <v>25000</v>
      </c>
      <c r="K1192" s="56">
        <v>295000</v>
      </c>
      <c r="L1192" t="s">
        <v>880</v>
      </c>
      <c r="M1192" t="s">
        <v>903</v>
      </c>
      <c r="N1192" t="s">
        <v>890</v>
      </c>
      <c r="O1192" s="57">
        <v>45658</v>
      </c>
      <c r="P1192" t="s">
        <v>892</v>
      </c>
      <c r="Q1192" s="56">
        <v>270000</v>
      </c>
      <c r="R1192" t="s">
        <v>810</v>
      </c>
      <c r="S1192" t="s">
        <v>727</v>
      </c>
      <c r="T1192" t="s">
        <v>728</v>
      </c>
      <c r="U1192" t="s">
        <v>363</v>
      </c>
      <c r="V1192" t="s">
        <v>23</v>
      </c>
      <c r="W1192" t="s">
        <v>29</v>
      </c>
      <c r="X1192" t="s">
        <v>9</v>
      </c>
      <c r="Y1192" s="56">
        <f>IF(clean[[#This Row],[is_delivered]]="Yes",clean[[#This Row],[net_sales]],0 )</f>
        <v>0</v>
      </c>
    </row>
    <row r="1193" spans="1:25">
      <c r="A1193" t="s">
        <v>2079</v>
      </c>
      <c r="B1193" s="9">
        <v>45659</v>
      </c>
      <c r="C1193" t="s">
        <v>640</v>
      </c>
      <c r="D1193" t="s">
        <v>815</v>
      </c>
      <c r="E1193">
        <v>3</v>
      </c>
      <c r="F1193" s="56">
        <v>75000</v>
      </c>
      <c r="G1193" s="56">
        <v>225000</v>
      </c>
      <c r="H1193" t="s">
        <v>886</v>
      </c>
      <c r="I1193" s="56">
        <v>22500</v>
      </c>
      <c r="J1193" s="56">
        <v>10000</v>
      </c>
      <c r="K1193" s="56">
        <v>212500</v>
      </c>
      <c r="L1193" t="s">
        <v>889</v>
      </c>
      <c r="M1193" t="s">
        <v>903</v>
      </c>
      <c r="N1193" t="s">
        <v>905</v>
      </c>
      <c r="O1193" s="57">
        <v>45658</v>
      </c>
      <c r="P1193" t="s">
        <v>892</v>
      </c>
      <c r="Q1193" s="56">
        <v>202500</v>
      </c>
      <c r="R1193" t="s">
        <v>816</v>
      </c>
      <c r="S1193" t="s">
        <v>739</v>
      </c>
      <c r="T1193" t="s">
        <v>740</v>
      </c>
      <c r="U1193" t="s">
        <v>641</v>
      </c>
      <c r="V1193" t="s">
        <v>23</v>
      </c>
      <c r="W1193" t="s">
        <v>137</v>
      </c>
      <c r="X1193" t="s">
        <v>15</v>
      </c>
      <c r="Y1193" s="56">
        <f>IF(clean[[#This Row],[is_delivered]]="Yes",clean[[#This Row],[net_sales]],0 )</f>
        <v>0</v>
      </c>
    </row>
    <row r="1194" spans="1:25">
      <c r="A1194" t="s">
        <v>1109</v>
      </c>
      <c r="B1194" s="9">
        <v>45658</v>
      </c>
      <c r="C1194" t="s">
        <v>162</v>
      </c>
      <c r="D1194" t="s">
        <v>781</v>
      </c>
      <c r="E1194">
        <v>3</v>
      </c>
      <c r="F1194" s="56">
        <v>50000</v>
      </c>
      <c r="G1194" s="56">
        <v>150000</v>
      </c>
      <c r="H1194" t="s">
        <v>872</v>
      </c>
      <c r="I1194" s="56">
        <v>0</v>
      </c>
      <c r="J1194" s="56">
        <v>15000</v>
      </c>
      <c r="K1194" s="56">
        <v>165000</v>
      </c>
      <c r="L1194" t="s">
        <v>884</v>
      </c>
      <c r="M1194" t="s">
        <v>901</v>
      </c>
      <c r="N1194" t="s">
        <v>875</v>
      </c>
      <c r="O1194" s="57">
        <v>45658</v>
      </c>
      <c r="P1194" t="s">
        <v>877</v>
      </c>
      <c r="Q1194" s="56">
        <v>150000</v>
      </c>
      <c r="R1194" t="s">
        <v>782</v>
      </c>
      <c r="S1194" t="s">
        <v>743</v>
      </c>
      <c r="T1194" t="s">
        <v>744</v>
      </c>
      <c r="U1194" t="s">
        <v>163</v>
      </c>
      <c r="V1194" t="s">
        <v>7</v>
      </c>
      <c r="W1194" t="s">
        <v>39</v>
      </c>
      <c r="X1194" t="s">
        <v>9</v>
      </c>
      <c r="Y1194" s="56">
        <f>IF(clean[[#This Row],[is_delivered]]="Yes",clean[[#This Row],[net_sales]],0 )</f>
        <v>150000</v>
      </c>
    </row>
    <row r="1195" spans="1:25">
      <c r="A1195" t="s">
        <v>1437</v>
      </c>
      <c r="B1195" s="9">
        <v>45658</v>
      </c>
      <c r="C1195" t="s">
        <v>324</v>
      </c>
      <c r="D1195" t="s">
        <v>825</v>
      </c>
      <c r="E1195">
        <v>1</v>
      </c>
      <c r="F1195" s="56">
        <v>100000</v>
      </c>
      <c r="G1195" s="56">
        <v>100000</v>
      </c>
      <c r="H1195" t="s">
        <v>872</v>
      </c>
      <c r="I1195" s="56">
        <v>0</v>
      </c>
      <c r="J1195" s="56">
        <v>30000</v>
      </c>
      <c r="K1195" s="56">
        <v>130000</v>
      </c>
      <c r="L1195" t="s">
        <v>884</v>
      </c>
      <c r="M1195" t="s">
        <v>901</v>
      </c>
      <c r="N1195" t="s">
        <v>905</v>
      </c>
      <c r="O1195" s="57">
        <v>45658</v>
      </c>
      <c r="P1195" t="s">
        <v>892</v>
      </c>
      <c r="Q1195" s="56">
        <v>100000</v>
      </c>
      <c r="R1195" t="s">
        <v>826</v>
      </c>
      <c r="S1195" t="s">
        <v>735</v>
      </c>
      <c r="T1195" t="s">
        <v>736</v>
      </c>
      <c r="U1195" t="s">
        <v>325</v>
      </c>
      <c r="V1195" t="s">
        <v>7</v>
      </c>
      <c r="W1195" t="s">
        <v>137</v>
      </c>
      <c r="X1195" t="s">
        <v>9</v>
      </c>
      <c r="Y1195" s="56">
        <f>IF(clean[[#This Row],[is_delivered]]="Yes",clean[[#This Row],[net_sales]],0 )</f>
        <v>0</v>
      </c>
    </row>
    <row r="1196" spans="1:25">
      <c r="A1196" t="s">
        <v>1653</v>
      </c>
      <c r="B1196" s="9">
        <v>45658</v>
      </c>
      <c r="C1196" t="s">
        <v>632</v>
      </c>
      <c r="D1196" t="s">
        <v>741</v>
      </c>
      <c r="E1196">
        <v>2</v>
      </c>
      <c r="F1196" s="56">
        <v>75000</v>
      </c>
      <c r="G1196" s="56">
        <v>150000</v>
      </c>
      <c r="H1196" t="s">
        <v>879</v>
      </c>
      <c r="I1196" s="56">
        <v>30000</v>
      </c>
      <c r="J1196" s="56">
        <v>25000</v>
      </c>
      <c r="K1196" s="56">
        <v>145000</v>
      </c>
      <c r="L1196" t="s">
        <v>873</v>
      </c>
      <c r="M1196" t="s">
        <v>901</v>
      </c>
      <c r="N1196" t="s">
        <v>875</v>
      </c>
      <c r="O1196" s="57">
        <v>45658</v>
      </c>
      <c r="P1196" t="s">
        <v>877</v>
      </c>
      <c r="Q1196" s="56">
        <v>120000</v>
      </c>
      <c r="R1196" t="s">
        <v>742</v>
      </c>
      <c r="S1196" t="s">
        <v>743</v>
      </c>
      <c r="T1196" t="s">
        <v>744</v>
      </c>
      <c r="U1196" t="s">
        <v>633</v>
      </c>
      <c r="V1196" t="s">
        <v>23</v>
      </c>
      <c r="W1196" t="s">
        <v>29</v>
      </c>
      <c r="X1196" t="s">
        <v>9</v>
      </c>
      <c r="Y1196" s="56">
        <f>IF(clean[[#This Row],[is_delivered]]="Yes",clean[[#This Row],[net_sales]],0 )</f>
        <v>120000</v>
      </c>
    </row>
    <row r="1197" spans="1:25">
      <c r="A1197" t="s">
        <v>1765</v>
      </c>
      <c r="B1197" s="9">
        <v>45658</v>
      </c>
      <c r="C1197" t="s">
        <v>608</v>
      </c>
      <c r="D1197" t="s">
        <v>777</v>
      </c>
      <c r="E1197">
        <v>1</v>
      </c>
      <c r="F1197" s="56">
        <v>200000</v>
      </c>
      <c r="G1197" s="56">
        <v>200000</v>
      </c>
      <c r="H1197" t="s">
        <v>883</v>
      </c>
      <c r="I1197" s="56">
        <v>20000</v>
      </c>
      <c r="J1197" s="56">
        <v>10000</v>
      </c>
      <c r="K1197" s="56">
        <v>190000</v>
      </c>
      <c r="L1197" t="s">
        <v>884</v>
      </c>
      <c r="M1197" t="s">
        <v>874</v>
      </c>
      <c r="N1197" t="s">
        <v>875</v>
      </c>
      <c r="O1197" s="57">
        <v>45658</v>
      </c>
      <c r="P1197" t="s">
        <v>877</v>
      </c>
      <c r="Q1197" s="56">
        <v>180000</v>
      </c>
      <c r="R1197" t="s">
        <v>778</v>
      </c>
      <c r="S1197" t="s">
        <v>735</v>
      </c>
      <c r="T1197" t="s">
        <v>736</v>
      </c>
      <c r="U1197" t="s">
        <v>609</v>
      </c>
      <c r="V1197" t="s">
        <v>23</v>
      </c>
      <c r="W1197" t="s">
        <v>46</v>
      </c>
      <c r="X1197" t="s">
        <v>24</v>
      </c>
      <c r="Y1197" s="56">
        <f>IF(clean[[#This Row],[is_delivered]]="Yes",clean[[#This Row],[net_sales]],0 )</f>
        <v>180000</v>
      </c>
    </row>
    <row r="1198" spans="1:25">
      <c r="A1198" t="s">
        <v>1767</v>
      </c>
      <c r="B1198" s="9">
        <v>45658</v>
      </c>
      <c r="C1198" t="s">
        <v>284</v>
      </c>
      <c r="D1198" t="s">
        <v>767</v>
      </c>
      <c r="E1198">
        <v>4</v>
      </c>
      <c r="F1198" s="56">
        <v>150000</v>
      </c>
      <c r="G1198" s="56">
        <v>600000</v>
      </c>
      <c r="H1198" t="s">
        <v>872</v>
      </c>
      <c r="I1198" s="56">
        <v>0</v>
      </c>
      <c r="J1198" s="56">
        <v>10000</v>
      </c>
      <c r="K1198" s="56">
        <v>610000</v>
      </c>
      <c r="L1198" t="s">
        <v>880</v>
      </c>
      <c r="M1198" t="s">
        <v>874</v>
      </c>
      <c r="N1198" t="s">
        <v>875</v>
      </c>
      <c r="O1198" s="57">
        <v>45658</v>
      </c>
      <c r="P1198" t="s">
        <v>877</v>
      </c>
      <c r="Q1198" s="56">
        <v>600000</v>
      </c>
      <c r="R1198" t="s">
        <v>768</v>
      </c>
      <c r="S1198" t="s">
        <v>739</v>
      </c>
      <c r="T1198" t="s">
        <v>740</v>
      </c>
      <c r="U1198" t="s">
        <v>285</v>
      </c>
      <c r="V1198" t="s">
        <v>7</v>
      </c>
      <c r="W1198" t="s">
        <v>137</v>
      </c>
      <c r="X1198" t="s">
        <v>24</v>
      </c>
      <c r="Y1198" s="56">
        <f>IF(clean[[#This Row],[is_delivered]]="Yes",clean[[#This Row],[net_sales]],0 )</f>
        <v>600000</v>
      </c>
    </row>
    <row r="1199" spans="1:25">
      <c r="A1199" t="s">
        <v>1859</v>
      </c>
      <c r="B1199" s="9">
        <v>45658</v>
      </c>
      <c r="C1199" t="s">
        <v>59</v>
      </c>
      <c r="D1199" t="s">
        <v>773</v>
      </c>
      <c r="E1199">
        <v>2</v>
      </c>
      <c r="F1199" s="56">
        <v>500000</v>
      </c>
      <c r="G1199" s="56">
        <v>1000000</v>
      </c>
      <c r="H1199" t="s">
        <v>872</v>
      </c>
      <c r="I1199" s="56">
        <v>0</v>
      </c>
      <c r="J1199" s="56">
        <v>25000</v>
      </c>
      <c r="K1199" s="56">
        <v>1025000</v>
      </c>
      <c r="L1199" t="s">
        <v>880</v>
      </c>
      <c r="M1199" t="s">
        <v>881</v>
      </c>
      <c r="N1199" t="s">
        <v>890</v>
      </c>
      <c r="O1199" s="57">
        <v>45658</v>
      </c>
      <c r="P1199" t="s">
        <v>892</v>
      </c>
      <c r="Q1199" s="56">
        <v>1000000</v>
      </c>
      <c r="R1199" t="s">
        <v>774</v>
      </c>
      <c r="S1199" t="s">
        <v>727</v>
      </c>
      <c r="T1199" t="s">
        <v>728</v>
      </c>
      <c r="U1199" t="s">
        <v>60</v>
      </c>
      <c r="V1199" t="s">
        <v>7</v>
      </c>
      <c r="W1199" t="s">
        <v>39</v>
      </c>
      <c r="X1199" t="s">
        <v>15</v>
      </c>
      <c r="Y1199" s="56">
        <f>IF(clean[[#This Row],[is_delivered]]="Yes",clean[[#This Row],[net_sales]],0 )</f>
        <v>0</v>
      </c>
    </row>
    <row r="1200" spans="1:25">
      <c r="A1200" t="s">
        <v>1904</v>
      </c>
      <c r="B1200" s="9">
        <v>45658</v>
      </c>
      <c r="C1200" t="s">
        <v>610</v>
      </c>
      <c r="D1200" t="s">
        <v>799</v>
      </c>
      <c r="E1200">
        <v>3</v>
      </c>
      <c r="F1200" s="56">
        <v>35000</v>
      </c>
      <c r="G1200" s="56">
        <v>105000</v>
      </c>
      <c r="H1200" t="s">
        <v>872</v>
      </c>
      <c r="I1200" s="56">
        <v>0</v>
      </c>
      <c r="J1200" s="56">
        <v>20000</v>
      </c>
      <c r="K1200" s="56">
        <v>125000</v>
      </c>
      <c r="L1200" t="s">
        <v>880</v>
      </c>
      <c r="M1200" t="s">
        <v>903</v>
      </c>
      <c r="N1200" t="s">
        <v>875</v>
      </c>
      <c r="O1200" s="57">
        <v>45658</v>
      </c>
      <c r="P1200" t="s">
        <v>877</v>
      </c>
      <c r="Q1200" s="56">
        <v>105000</v>
      </c>
      <c r="R1200" t="s">
        <v>800</v>
      </c>
      <c r="S1200" t="s">
        <v>731</v>
      </c>
      <c r="T1200" t="s">
        <v>732</v>
      </c>
      <c r="U1200" t="s">
        <v>611</v>
      </c>
      <c r="V1200" t="s">
        <v>7</v>
      </c>
      <c r="W1200" t="s">
        <v>29</v>
      </c>
      <c r="X1200" t="s">
        <v>9</v>
      </c>
      <c r="Y1200" s="56">
        <f>IF(clean[[#This Row],[is_delivered]]="Yes",clean[[#This Row],[net_sales]],0 )</f>
        <v>105000</v>
      </c>
    </row>
    <row r="1201" spans="1:25">
      <c r="A1201" t="s">
        <v>2017</v>
      </c>
      <c r="B1201" s="9">
        <v>45658</v>
      </c>
      <c r="C1201" t="s">
        <v>506</v>
      </c>
      <c r="D1201" t="s">
        <v>803</v>
      </c>
      <c r="E1201">
        <v>2</v>
      </c>
      <c r="F1201" s="56">
        <v>50000</v>
      </c>
      <c r="G1201" s="56">
        <v>100000</v>
      </c>
      <c r="H1201" t="s">
        <v>872</v>
      </c>
      <c r="I1201" s="56">
        <v>0</v>
      </c>
      <c r="J1201" s="56">
        <v>25000</v>
      </c>
      <c r="K1201" s="56">
        <v>125000</v>
      </c>
      <c r="L1201" t="s">
        <v>889</v>
      </c>
      <c r="M1201" t="s">
        <v>901</v>
      </c>
      <c r="N1201" t="s">
        <v>875</v>
      </c>
      <c r="O1201" s="57">
        <v>45658</v>
      </c>
      <c r="P1201" t="s">
        <v>877</v>
      </c>
      <c r="Q1201" s="56">
        <v>100000</v>
      </c>
      <c r="R1201" t="s">
        <v>804</v>
      </c>
      <c r="S1201" t="s">
        <v>739</v>
      </c>
      <c r="T1201" t="s">
        <v>740</v>
      </c>
      <c r="U1201" t="s">
        <v>507</v>
      </c>
      <c r="V1201" t="s">
        <v>23</v>
      </c>
      <c r="W1201" t="s">
        <v>12</v>
      </c>
      <c r="X1201" t="s">
        <v>9</v>
      </c>
      <c r="Y1201" s="56">
        <f>IF(clean[[#This Row],[is_delivered]]="Yes",clean[[#This Row],[net_sales]],0 )</f>
        <v>100000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6F3D-781E-4EB6-B706-7F366052B4F0}">
  <dimension ref="A1:X1201"/>
  <sheetViews>
    <sheetView topLeftCell="L1" workbookViewId="0">
      <selection activeCell="M21" sqref="M21"/>
    </sheetView>
  </sheetViews>
  <sheetFormatPr defaultRowHeight="14.4"/>
  <cols>
    <col min="1" max="1" width="10.33203125" bestFit="1" customWidth="1"/>
    <col min="2" max="3" width="13.6640625" bestFit="1" customWidth="1"/>
    <col min="4" max="4" width="12.44140625" bestFit="1" customWidth="1"/>
    <col min="5" max="5" width="10.33203125" bestFit="1" customWidth="1"/>
    <col min="6" max="6" width="11.6640625" bestFit="1" customWidth="1"/>
    <col min="7" max="7" width="12.5546875" bestFit="1" customWidth="1"/>
    <col min="8" max="8" width="14" bestFit="1" customWidth="1"/>
    <col min="9" max="9" width="10.44140625" bestFit="1" customWidth="1"/>
    <col min="10" max="11" width="14.77734375" bestFit="1" customWidth="1"/>
    <col min="12" max="12" width="18.5546875" bestFit="1" customWidth="1"/>
    <col min="13" max="13" width="9.109375" bestFit="1" customWidth="1"/>
    <col min="14" max="14" width="13.77734375" bestFit="1" customWidth="1"/>
    <col min="16" max="16" width="13.21875" bestFit="1" customWidth="1"/>
    <col min="17" max="17" width="11" bestFit="1" customWidth="1"/>
    <col min="18" max="18" width="37.44140625" bestFit="1" customWidth="1"/>
    <col min="19" max="19" width="10.5546875" bestFit="1" customWidth="1"/>
    <col min="20" max="20" width="8.21875" bestFit="1" customWidth="1"/>
    <col min="21" max="21" width="30.44140625" bestFit="1" customWidth="1"/>
    <col min="22" max="22" width="9.109375" bestFit="1" customWidth="1"/>
    <col min="23" max="23" width="10.109375" bestFit="1" customWidth="1"/>
    <col min="24" max="24" width="19.5546875" bestFit="1" customWidth="1"/>
  </cols>
  <sheetData>
    <row r="1" spans="1:24">
      <c r="A1" t="s">
        <v>857</v>
      </c>
      <c r="B1" t="s">
        <v>858</v>
      </c>
      <c r="C1" t="s">
        <v>0</v>
      </c>
      <c r="D1" t="s">
        <v>720</v>
      </c>
      <c r="E1" t="s">
        <v>859</v>
      </c>
      <c r="F1" t="s">
        <v>724</v>
      </c>
      <c r="G1" t="s">
        <v>860</v>
      </c>
      <c r="H1" t="s">
        <v>861</v>
      </c>
      <c r="I1" t="s">
        <v>862</v>
      </c>
      <c r="J1" t="s">
        <v>863</v>
      </c>
      <c r="K1" t="s">
        <v>864</v>
      </c>
      <c r="L1" t="s">
        <v>865</v>
      </c>
      <c r="M1" t="s">
        <v>866</v>
      </c>
      <c r="N1" t="s">
        <v>867</v>
      </c>
      <c r="O1" t="s">
        <v>868</v>
      </c>
      <c r="P1" t="s">
        <v>869</v>
      </c>
      <c r="Q1" t="s">
        <v>870</v>
      </c>
      <c r="R1" t="s">
        <v>721</v>
      </c>
      <c r="S1" t="s">
        <v>722</v>
      </c>
      <c r="T1" t="s">
        <v>723</v>
      </c>
      <c r="U1" t="s">
        <v>1</v>
      </c>
      <c r="V1" t="s">
        <v>2</v>
      </c>
      <c r="W1" t="s">
        <v>3</v>
      </c>
      <c r="X1" t="s">
        <v>4</v>
      </c>
    </row>
    <row r="2" spans="1:24">
      <c r="A2" t="s">
        <v>871</v>
      </c>
      <c r="B2" s="8">
        <v>45745</v>
      </c>
      <c r="C2" t="s">
        <v>340</v>
      </c>
      <c r="D2" t="s">
        <v>833</v>
      </c>
      <c r="E2">
        <v>2</v>
      </c>
      <c r="F2">
        <v>200000</v>
      </c>
      <c r="G2">
        <v>400000</v>
      </c>
      <c r="H2" t="s">
        <v>872</v>
      </c>
      <c r="I2">
        <v>0</v>
      </c>
      <c r="J2">
        <v>10000</v>
      </c>
      <c r="K2">
        <v>410000</v>
      </c>
      <c r="L2" t="s">
        <v>873</v>
      </c>
      <c r="M2" t="s">
        <v>874</v>
      </c>
      <c r="N2" t="s">
        <v>875</v>
      </c>
      <c r="O2" s="9">
        <v>45717</v>
      </c>
      <c r="P2" t="s">
        <v>877</v>
      </c>
      <c r="Q2">
        <v>400000</v>
      </c>
      <c r="R2" t="s">
        <v>834</v>
      </c>
      <c r="S2" t="s">
        <v>727</v>
      </c>
      <c r="T2" t="s">
        <v>728</v>
      </c>
      <c r="U2" t="s">
        <v>341</v>
      </c>
      <c r="V2" t="s">
        <v>7</v>
      </c>
      <c r="W2" t="s">
        <v>46</v>
      </c>
      <c r="X2" t="s">
        <v>24</v>
      </c>
    </row>
    <row r="3" spans="1:24">
      <c r="A3" t="s">
        <v>963</v>
      </c>
      <c r="B3" s="8">
        <v>45805</v>
      </c>
      <c r="C3" t="s">
        <v>340</v>
      </c>
      <c r="D3" t="s">
        <v>755</v>
      </c>
      <c r="E3">
        <v>1</v>
      </c>
      <c r="F3">
        <v>50000</v>
      </c>
      <c r="G3">
        <v>50000</v>
      </c>
      <c r="H3" t="s">
        <v>883</v>
      </c>
      <c r="I3">
        <v>5000</v>
      </c>
      <c r="J3">
        <v>10000</v>
      </c>
      <c r="K3">
        <v>55000</v>
      </c>
      <c r="L3" t="s">
        <v>884</v>
      </c>
      <c r="M3" t="s">
        <v>901</v>
      </c>
      <c r="N3" t="s">
        <v>875</v>
      </c>
      <c r="O3" s="9">
        <v>45778</v>
      </c>
      <c r="P3" t="s">
        <v>877</v>
      </c>
      <c r="Q3">
        <v>45000</v>
      </c>
      <c r="R3" t="s">
        <v>756</v>
      </c>
      <c r="S3" t="s">
        <v>739</v>
      </c>
      <c r="T3" t="s">
        <v>740</v>
      </c>
      <c r="U3" t="s">
        <v>341</v>
      </c>
      <c r="V3" t="s">
        <v>7</v>
      </c>
      <c r="W3" t="s">
        <v>46</v>
      </c>
      <c r="X3" t="s">
        <v>24</v>
      </c>
    </row>
    <row r="4" spans="1:24">
      <c r="A4" t="s">
        <v>1184</v>
      </c>
      <c r="B4" s="8">
        <v>45765</v>
      </c>
      <c r="C4" t="s">
        <v>340</v>
      </c>
      <c r="D4" t="s">
        <v>769</v>
      </c>
      <c r="E4">
        <v>1</v>
      </c>
      <c r="F4">
        <v>100000</v>
      </c>
      <c r="G4">
        <v>100000</v>
      </c>
      <c r="H4" t="s">
        <v>895</v>
      </c>
      <c r="I4">
        <v>15000</v>
      </c>
      <c r="J4">
        <v>10000</v>
      </c>
      <c r="K4">
        <v>95000</v>
      </c>
      <c r="L4" t="s">
        <v>880</v>
      </c>
      <c r="M4" t="s">
        <v>874</v>
      </c>
      <c r="N4" t="s">
        <v>890</v>
      </c>
      <c r="O4" s="9">
        <v>45748</v>
      </c>
      <c r="P4" t="s">
        <v>892</v>
      </c>
      <c r="Q4">
        <v>85000</v>
      </c>
      <c r="R4" t="s">
        <v>770</v>
      </c>
      <c r="S4" t="s">
        <v>743</v>
      </c>
      <c r="T4" t="s">
        <v>744</v>
      </c>
      <c r="U4" t="s">
        <v>341</v>
      </c>
      <c r="V4" t="s">
        <v>7</v>
      </c>
      <c r="W4" t="s">
        <v>46</v>
      </c>
      <c r="X4" t="s">
        <v>24</v>
      </c>
    </row>
    <row r="5" spans="1:24">
      <c r="A5" t="s">
        <v>878</v>
      </c>
      <c r="B5" s="8">
        <v>45738</v>
      </c>
      <c r="C5" t="s">
        <v>186</v>
      </c>
      <c r="D5" t="s">
        <v>817</v>
      </c>
      <c r="E5">
        <v>1</v>
      </c>
      <c r="F5">
        <v>75000</v>
      </c>
      <c r="G5">
        <v>75000</v>
      </c>
      <c r="H5" t="s">
        <v>879</v>
      </c>
      <c r="I5">
        <v>15000</v>
      </c>
      <c r="J5">
        <v>10000</v>
      </c>
      <c r="K5">
        <v>70000</v>
      </c>
      <c r="L5" t="s">
        <v>880</v>
      </c>
      <c r="M5" t="s">
        <v>881</v>
      </c>
      <c r="N5" t="s">
        <v>875</v>
      </c>
      <c r="O5" s="9">
        <v>45717</v>
      </c>
      <c r="P5" t="s">
        <v>877</v>
      </c>
      <c r="Q5">
        <v>60000</v>
      </c>
      <c r="R5" t="s">
        <v>818</v>
      </c>
      <c r="S5" t="s">
        <v>743</v>
      </c>
      <c r="T5" t="s">
        <v>744</v>
      </c>
      <c r="U5" t="s">
        <v>187</v>
      </c>
      <c r="V5" t="s">
        <v>23</v>
      </c>
      <c r="W5" t="s">
        <v>51</v>
      </c>
      <c r="X5" t="s">
        <v>9</v>
      </c>
    </row>
    <row r="6" spans="1:24">
      <c r="A6" t="s">
        <v>967</v>
      </c>
      <c r="B6" s="8">
        <v>45719</v>
      </c>
      <c r="C6" t="s">
        <v>186</v>
      </c>
      <c r="D6" t="s">
        <v>829</v>
      </c>
      <c r="E6">
        <v>1</v>
      </c>
      <c r="F6">
        <v>500000</v>
      </c>
      <c r="G6">
        <v>500000</v>
      </c>
      <c r="H6" t="s">
        <v>886</v>
      </c>
      <c r="I6">
        <v>50000</v>
      </c>
      <c r="J6">
        <v>15000</v>
      </c>
      <c r="K6">
        <v>465000</v>
      </c>
      <c r="L6" t="s">
        <v>873</v>
      </c>
      <c r="M6" t="s">
        <v>874</v>
      </c>
      <c r="N6" t="s">
        <v>875</v>
      </c>
      <c r="O6" s="9">
        <v>45717</v>
      </c>
      <c r="P6" t="s">
        <v>877</v>
      </c>
      <c r="Q6">
        <v>450000</v>
      </c>
      <c r="R6" t="s">
        <v>830</v>
      </c>
      <c r="S6" t="s">
        <v>743</v>
      </c>
      <c r="T6" t="s">
        <v>744</v>
      </c>
      <c r="U6" t="s">
        <v>187</v>
      </c>
      <c r="V6" t="s">
        <v>23</v>
      </c>
      <c r="W6" t="s">
        <v>51</v>
      </c>
      <c r="X6" t="s">
        <v>9</v>
      </c>
    </row>
    <row r="7" spans="1:24">
      <c r="A7" t="s">
        <v>1068</v>
      </c>
      <c r="B7" s="8">
        <v>45688</v>
      </c>
      <c r="C7" t="s">
        <v>186</v>
      </c>
      <c r="D7" t="s">
        <v>783</v>
      </c>
      <c r="E7">
        <v>1</v>
      </c>
      <c r="F7">
        <v>500000</v>
      </c>
      <c r="G7">
        <v>500000</v>
      </c>
      <c r="H7" t="s">
        <v>872</v>
      </c>
      <c r="I7">
        <v>0</v>
      </c>
      <c r="J7">
        <v>25000</v>
      </c>
      <c r="K7">
        <v>525000</v>
      </c>
      <c r="L7" t="s">
        <v>889</v>
      </c>
      <c r="M7" t="s">
        <v>874</v>
      </c>
      <c r="N7" t="s">
        <v>921</v>
      </c>
      <c r="O7" s="9">
        <v>45658</v>
      </c>
      <c r="P7" t="s">
        <v>892</v>
      </c>
      <c r="Q7">
        <v>500000</v>
      </c>
      <c r="R7" t="s">
        <v>784</v>
      </c>
      <c r="S7" t="s">
        <v>747</v>
      </c>
      <c r="T7" t="s">
        <v>748</v>
      </c>
      <c r="U7" t="s">
        <v>187</v>
      </c>
      <c r="V7" t="s">
        <v>23</v>
      </c>
      <c r="W7" t="s">
        <v>51</v>
      </c>
      <c r="X7" t="s">
        <v>9</v>
      </c>
    </row>
    <row r="8" spans="1:24">
      <c r="A8" t="s">
        <v>1077</v>
      </c>
      <c r="B8" s="8">
        <v>45662</v>
      </c>
      <c r="C8" t="s">
        <v>10</v>
      </c>
      <c r="D8" t="s">
        <v>779</v>
      </c>
      <c r="E8">
        <v>1</v>
      </c>
      <c r="F8">
        <v>150000</v>
      </c>
      <c r="G8">
        <v>150000</v>
      </c>
      <c r="H8" t="s">
        <v>886</v>
      </c>
      <c r="I8">
        <v>15000</v>
      </c>
      <c r="J8">
        <v>25000</v>
      </c>
      <c r="K8">
        <v>160000</v>
      </c>
      <c r="L8" t="s">
        <v>884</v>
      </c>
      <c r="M8" t="s">
        <v>874</v>
      </c>
      <c r="N8" t="s">
        <v>875</v>
      </c>
      <c r="O8" s="9">
        <v>45658</v>
      </c>
      <c r="P8" t="s">
        <v>877</v>
      </c>
      <c r="Q8">
        <v>135000</v>
      </c>
      <c r="R8" t="s">
        <v>780</v>
      </c>
      <c r="S8" t="s">
        <v>739</v>
      </c>
      <c r="T8" t="s">
        <v>740</v>
      </c>
      <c r="U8" t="s">
        <v>11</v>
      </c>
      <c r="V8" t="s">
        <v>7</v>
      </c>
      <c r="W8" t="s">
        <v>12</v>
      </c>
      <c r="X8" t="s">
        <v>9</v>
      </c>
    </row>
    <row r="9" spans="1:24">
      <c r="A9" t="s">
        <v>928</v>
      </c>
      <c r="B9" s="8">
        <v>45827</v>
      </c>
      <c r="C9" t="s">
        <v>234</v>
      </c>
      <c r="D9" t="s">
        <v>729</v>
      </c>
      <c r="E9">
        <v>4</v>
      </c>
      <c r="F9">
        <v>100000</v>
      </c>
      <c r="G9">
        <v>400000</v>
      </c>
      <c r="H9" t="s">
        <v>883</v>
      </c>
      <c r="I9">
        <v>40000</v>
      </c>
      <c r="J9">
        <v>30000</v>
      </c>
      <c r="K9">
        <v>390000</v>
      </c>
      <c r="L9" t="s">
        <v>880</v>
      </c>
      <c r="M9" t="s">
        <v>881</v>
      </c>
      <c r="N9" t="s">
        <v>875</v>
      </c>
      <c r="O9" s="9">
        <v>45809</v>
      </c>
      <c r="P9" t="s">
        <v>877</v>
      </c>
      <c r="Q9">
        <v>360000</v>
      </c>
      <c r="R9" t="s">
        <v>730</v>
      </c>
      <c r="S9" t="s">
        <v>731</v>
      </c>
      <c r="T9" t="s">
        <v>732</v>
      </c>
      <c r="U9" t="s">
        <v>235</v>
      </c>
      <c r="V9" t="s">
        <v>7</v>
      </c>
      <c r="W9" t="s">
        <v>29</v>
      </c>
      <c r="X9" t="s">
        <v>9</v>
      </c>
    </row>
    <row r="10" spans="1:24">
      <c r="A10" t="s">
        <v>1140</v>
      </c>
      <c r="B10" s="8">
        <v>45705</v>
      </c>
      <c r="C10" t="s">
        <v>234</v>
      </c>
      <c r="D10" t="s">
        <v>823</v>
      </c>
      <c r="E10">
        <v>2</v>
      </c>
      <c r="F10">
        <v>500000</v>
      </c>
      <c r="G10">
        <v>1000000</v>
      </c>
      <c r="H10" t="s">
        <v>886</v>
      </c>
      <c r="I10">
        <v>100000</v>
      </c>
      <c r="J10">
        <v>20000</v>
      </c>
      <c r="K10">
        <v>920000</v>
      </c>
      <c r="L10" t="s">
        <v>884</v>
      </c>
      <c r="M10" t="s">
        <v>903</v>
      </c>
      <c r="N10" t="s">
        <v>905</v>
      </c>
      <c r="O10" s="9">
        <v>45689</v>
      </c>
      <c r="P10" t="s">
        <v>892</v>
      </c>
      <c r="Q10">
        <v>900000</v>
      </c>
      <c r="R10" t="s">
        <v>824</v>
      </c>
      <c r="S10" t="s">
        <v>731</v>
      </c>
      <c r="T10" t="s">
        <v>732</v>
      </c>
      <c r="U10" t="s">
        <v>235</v>
      </c>
      <c r="V10" t="s">
        <v>7</v>
      </c>
      <c r="W10" t="s">
        <v>29</v>
      </c>
      <c r="X10" t="s">
        <v>9</v>
      </c>
    </row>
    <row r="11" spans="1:24">
      <c r="A11" t="s">
        <v>931</v>
      </c>
      <c r="B11" s="8">
        <v>45834</v>
      </c>
      <c r="C11" t="s">
        <v>13</v>
      </c>
      <c r="D11" t="s">
        <v>825</v>
      </c>
      <c r="E11">
        <v>3</v>
      </c>
      <c r="F11">
        <v>100000</v>
      </c>
      <c r="G11">
        <v>300000</v>
      </c>
      <c r="H11" t="s">
        <v>872</v>
      </c>
      <c r="I11">
        <v>0</v>
      </c>
      <c r="J11">
        <v>10000</v>
      </c>
      <c r="K11">
        <v>310000</v>
      </c>
      <c r="L11" t="s">
        <v>880</v>
      </c>
      <c r="M11" t="s">
        <v>903</v>
      </c>
      <c r="N11" t="s">
        <v>875</v>
      </c>
      <c r="O11" s="9">
        <v>45809</v>
      </c>
      <c r="P11" t="s">
        <v>877</v>
      </c>
      <c r="Q11">
        <v>300000</v>
      </c>
      <c r="R11" t="s">
        <v>826</v>
      </c>
      <c r="S11" t="s">
        <v>735</v>
      </c>
      <c r="T11" t="s">
        <v>736</v>
      </c>
      <c r="U11" t="s">
        <v>14</v>
      </c>
      <c r="V11" t="s">
        <v>7</v>
      </c>
      <c r="W11" t="s">
        <v>8</v>
      </c>
      <c r="X11" t="s">
        <v>15</v>
      </c>
    </row>
    <row r="12" spans="1:24">
      <c r="A12" t="s">
        <v>968</v>
      </c>
      <c r="B12" s="8">
        <v>45679</v>
      </c>
      <c r="C12" t="s">
        <v>13</v>
      </c>
      <c r="D12" t="s">
        <v>817</v>
      </c>
      <c r="E12">
        <v>2</v>
      </c>
      <c r="F12">
        <v>75000</v>
      </c>
      <c r="G12">
        <v>150000</v>
      </c>
      <c r="H12" t="s">
        <v>886</v>
      </c>
      <c r="I12">
        <v>15000</v>
      </c>
      <c r="J12">
        <v>25000</v>
      </c>
      <c r="K12">
        <v>160000</v>
      </c>
      <c r="L12" t="s">
        <v>889</v>
      </c>
      <c r="M12" t="s">
        <v>903</v>
      </c>
      <c r="N12" t="s">
        <v>890</v>
      </c>
      <c r="O12" s="9">
        <v>45658</v>
      </c>
      <c r="P12" t="s">
        <v>892</v>
      </c>
      <c r="Q12">
        <v>135000</v>
      </c>
      <c r="R12" t="s">
        <v>818</v>
      </c>
      <c r="S12" t="s">
        <v>743</v>
      </c>
      <c r="T12" t="s">
        <v>744</v>
      </c>
      <c r="U12" t="s">
        <v>14</v>
      </c>
      <c r="V12" t="s">
        <v>7</v>
      </c>
      <c r="W12" t="s">
        <v>8</v>
      </c>
      <c r="X12" t="s">
        <v>15</v>
      </c>
    </row>
    <row r="13" spans="1:24">
      <c r="A13" t="s">
        <v>1016</v>
      </c>
      <c r="B13" s="8">
        <v>45793</v>
      </c>
      <c r="C13" t="s">
        <v>13</v>
      </c>
      <c r="D13" t="s">
        <v>767</v>
      </c>
      <c r="E13">
        <v>3</v>
      </c>
      <c r="F13">
        <v>150000</v>
      </c>
      <c r="G13">
        <v>450000</v>
      </c>
      <c r="H13" t="s">
        <v>872</v>
      </c>
      <c r="I13">
        <v>0</v>
      </c>
      <c r="J13">
        <v>25000</v>
      </c>
      <c r="K13">
        <v>475000</v>
      </c>
      <c r="L13" t="s">
        <v>884</v>
      </c>
      <c r="M13" t="s">
        <v>874</v>
      </c>
      <c r="N13" t="s">
        <v>875</v>
      </c>
      <c r="O13" s="9">
        <v>45778</v>
      </c>
      <c r="P13" t="s">
        <v>877</v>
      </c>
      <c r="Q13">
        <v>450000</v>
      </c>
      <c r="R13" t="s">
        <v>768</v>
      </c>
      <c r="S13" t="s">
        <v>739</v>
      </c>
      <c r="T13" t="s">
        <v>740</v>
      </c>
      <c r="U13" t="s">
        <v>14</v>
      </c>
      <c r="V13" t="s">
        <v>7</v>
      </c>
      <c r="W13" t="s">
        <v>8</v>
      </c>
      <c r="X13" t="s">
        <v>15</v>
      </c>
    </row>
    <row r="14" spans="1:24">
      <c r="A14" t="s">
        <v>1167</v>
      </c>
      <c r="B14" s="8">
        <v>45675</v>
      </c>
      <c r="C14" t="s">
        <v>13</v>
      </c>
      <c r="D14" t="s">
        <v>791</v>
      </c>
      <c r="E14">
        <v>3</v>
      </c>
      <c r="F14">
        <v>50000</v>
      </c>
      <c r="G14">
        <v>150000</v>
      </c>
      <c r="H14" t="s">
        <v>886</v>
      </c>
      <c r="I14">
        <v>15000</v>
      </c>
      <c r="J14">
        <v>10000</v>
      </c>
      <c r="K14">
        <v>145000</v>
      </c>
      <c r="L14" t="s">
        <v>884</v>
      </c>
      <c r="M14" t="s">
        <v>874</v>
      </c>
      <c r="N14" t="s">
        <v>875</v>
      </c>
      <c r="O14" s="9">
        <v>45658</v>
      </c>
      <c r="P14" t="s">
        <v>877</v>
      </c>
      <c r="Q14">
        <v>135000</v>
      </c>
      <c r="R14" t="s">
        <v>792</v>
      </c>
      <c r="S14" t="s">
        <v>739</v>
      </c>
      <c r="T14" t="s">
        <v>740</v>
      </c>
      <c r="U14" t="s">
        <v>14</v>
      </c>
      <c r="V14" t="s">
        <v>7</v>
      </c>
      <c r="W14" t="s">
        <v>8</v>
      </c>
      <c r="X14" t="s">
        <v>15</v>
      </c>
    </row>
    <row r="15" spans="1:24">
      <c r="A15" t="s">
        <v>882</v>
      </c>
      <c r="B15" s="8">
        <v>45728</v>
      </c>
      <c r="C15" t="s">
        <v>532</v>
      </c>
      <c r="D15" t="s">
        <v>799</v>
      </c>
      <c r="E15">
        <v>2</v>
      </c>
      <c r="F15">
        <v>35000</v>
      </c>
      <c r="G15">
        <v>70000</v>
      </c>
      <c r="H15" t="s">
        <v>883</v>
      </c>
      <c r="I15">
        <v>7000</v>
      </c>
      <c r="J15">
        <v>30000</v>
      </c>
      <c r="K15">
        <v>93000</v>
      </c>
      <c r="L15" t="s">
        <v>884</v>
      </c>
      <c r="M15" t="s">
        <v>874</v>
      </c>
      <c r="N15" t="s">
        <v>875</v>
      </c>
      <c r="O15" s="9">
        <v>45717</v>
      </c>
      <c r="P15" t="s">
        <v>877</v>
      </c>
      <c r="Q15">
        <v>63000</v>
      </c>
      <c r="R15" t="s">
        <v>800</v>
      </c>
      <c r="S15" t="s">
        <v>731</v>
      </c>
      <c r="T15" t="s">
        <v>732</v>
      </c>
      <c r="U15" t="s">
        <v>533</v>
      </c>
      <c r="V15" t="s">
        <v>7</v>
      </c>
      <c r="W15" t="s">
        <v>12</v>
      </c>
      <c r="X15" t="s">
        <v>24</v>
      </c>
    </row>
    <row r="16" spans="1:24">
      <c r="A16" t="s">
        <v>955</v>
      </c>
      <c r="B16" s="8">
        <v>45788</v>
      </c>
      <c r="C16" t="s">
        <v>532</v>
      </c>
      <c r="D16" t="s">
        <v>851</v>
      </c>
      <c r="E16">
        <v>2</v>
      </c>
      <c r="F16">
        <v>35000</v>
      </c>
      <c r="G16">
        <v>70000</v>
      </c>
      <c r="H16" t="s">
        <v>872</v>
      </c>
      <c r="I16">
        <v>0</v>
      </c>
      <c r="J16">
        <v>10000</v>
      </c>
      <c r="K16">
        <v>80000</v>
      </c>
      <c r="L16" t="s">
        <v>873</v>
      </c>
      <c r="M16" t="s">
        <v>881</v>
      </c>
      <c r="N16" t="s">
        <v>890</v>
      </c>
      <c r="O16" s="9">
        <v>45778</v>
      </c>
      <c r="P16" t="s">
        <v>892</v>
      </c>
      <c r="Q16">
        <v>70000</v>
      </c>
      <c r="R16" t="s">
        <v>852</v>
      </c>
      <c r="S16" t="s">
        <v>739</v>
      </c>
      <c r="T16" t="s">
        <v>740</v>
      </c>
      <c r="U16" t="s">
        <v>533</v>
      </c>
      <c r="V16" t="s">
        <v>7</v>
      </c>
      <c r="W16" t="s">
        <v>12</v>
      </c>
      <c r="X16" t="s">
        <v>24</v>
      </c>
    </row>
    <row r="17" spans="1:24">
      <c r="A17" t="s">
        <v>923</v>
      </c>
      <c r="B17" s="8">
        <v>45683</v>
      </c>
      <c r="C17" t="s">
        <v>111</v>
      </c>
      <c r="D17" t="s">
        <v>799</v>
      </c>
      <c r="E17">
        <v>1</v>
      </c>
      <c r="F17">
        <v>35000</v>
      </c>
      <c r="G17">
        <v>35000</v>
      </c>
      <c r="H17" t="s">
        <v>886</v>
      </c>
      <c r="I17">
        <v>3500</v>
      </c>
      <c r="J17">
        <v>15000</v>
      </c>
      <c r="K17">
        <v>46500</v>
      </c>
      <c r="L17" t="s">
        <v>880</v>
      </c>
      <c r="M17" t="s">
        <v>903</v>
      </c>
      <c r="N17" t="s">
        <v>875</v>
      </c>
      <c r="O17" s="9">
        <v>45658</v>
      </c>
      <c r="P17" t="s">
        <v>877</v>
      </c>
      <c r="Q17">
        <v>31500</v>
      </c>
      <c r="R17" t="s">
        <v>800</v>
      </c>
      <c r="S17" t="s">
        <v>731</v>
      </c>
      <c r="T17" t="s">
        <v>732</v>
      </c>
      <c r="U17" t="s">
        <v>112</v>
      </c>
      <c r="V17" t="s">
        <v>23</v>
      </c>
      <c r="W17" t="s">
        <v>51</v>
      </c>
      <c r="X17" t="s">
        <v>15</v>
      </c>
    </row>
    <row r="18" spans="1:24">
      <c r="A18" t="s">
        <v>1206</v>
      </c>
      <c r="B18" s="8">
        <v>45783</v>
      </c>
      <c r="C18" t="s">
        <v>111</v>
      </c>
      <c r="D18" t="s">
        <v>843</v>
      </c>
      <c r="E18">
        <v>2</v>
      </c>
      <c r="F18">
        <v>100000</v>
      </c>
      <c r="G18">
        <v>200000</v>
      </c>
      <c r="H18" t="s">
        <v>886</v>
      </c>
      <c r="I18">
        <v>20000</v>
      </c>
      <c r="J18">
        <v>10000</v>
      </c>
      <c r="K18">
        <v>190000</v>
      </c>
      <c r="L18" t="s">
        <v>873</v>
      </c>
      <c r="M18" t="s">
        <v>901</v>
      </c>
      <c r="N18" t="s">
        <v>921</v>
      </c>
      <c r="O18" s="9">
        <v>45778</v>
      </c>
      <c r="P18" t="s">
        <v>892</v>
      </c>
      <c r="Q18">
        <v>180000</v>
      </c>
      <c r="R18" t="s">
        <v>844</v>
      </c>
      <c r="S18" t="s">
        <v>747</v>
      </c>
      <c r="T18" t="s">
        <v>748</v>
      </c>
      <c r="U18" t="s">
        <v>112</v>
      </c>
      <c r="V18" t="s">
        <v>23</v>
      </c>
      <c r="W18" t="s">
        <v>51</v>
      </c>
      <c r="X18" t="s">
        <v>15</v>
      </c>
    </row>
    <row r="19" spans="1:24">
      <c r="A19" t="s">
        <v>939</v>
      </c>
      <c r="B19" s="8">
        <v>45686</v>
      </c>
      <c r="C19" t="s">
        <v>292</v>
      </c>
      <c r="D19" t="s">
        <v>733</v>
      </c>
      <c r="E19">
        <v>1</v>
      </c>
      <c r="F19">
        <v>150000</v>
      </c>
      <c r="G19">
        <v>150000</v>
      </c>
      <c r="H19" t="s">
        <v>895</v>
      </c>
      <c r="I19">
        <v>22500</v>
      </c>
      <c r="J19">
        <v>30000</v>
      </c>
      <c r="K19">
        <v>157500</v>
      </c>
      <c r="L19" t="s">
        <v>889</v>
      </c>
      <c r="M19" t="s">
        <v>881</v>
      </c>
      <c r="N19" t="s">
        <v>905</v>
      </c>
      <c r="O19" s="9">
        <v>45658</v>
      </c>
      <c r="P19" t="s">
        <v>892</v>
      </c>
      <c r="Q19">
        <v>127500</v>
      </c>
      <c r="R19" t="s">
        <v>734</v>
      </c>
      <c r="S19" t="s">
        <v>735</v>
      </c>
      <c r="T19" t="s">
        <v>736</v>
      </c>
      <c r="U19" t="s">
        <v>293</v>
      </c>
      <c r="V19" t="s">
        <v>23</v>
      </c>
      <c r="W19" t="s">
        <v>46</v>
      </c>
      <c r="X19" t="s">
        <v>9</v>
      </c>
    </row>
    <row r="20" spans="1:24">
      <c r="A20" t="s">
        <v>942</v>
      </c>
      <c r="B20" s="8">
        <v>45772</v>
      </c>
      <c r="C20" t="s">
        <v>390</v>
      </c>
      <c r="D20" t="s">
        <v>733</v>
      </c>
      <c r="E20">
        <v>1</v>
      </c>
      <c r="F20">
        <v>150000</v>
      </c>
      <c r="G20">
        <v>150000</v>
      </c>
      <c r="H20" t="s">
        <v>883</v>
      </c>
      <c r="I20">
        <v>15000</v>
      </c>
      <c r="J20">
        <v>20000</v>
      </c>
      <c r="K20">
        <v>155000</v>
      </c>
      <c r="L20" t="s">
        <v>880</v>
      </c>
      <c r="M20" t="s">
        <v>901</v>
      </c>
      <c r="N20" t="s">
        <v>875</v>
      </c>
      <c r="O20" s="9">
        <v>45748</v>
      </c>
      <c r="P20" t="s">
        <v>877</v>
      </c>
      <c r="Q20">
        <v>135000</v>
      </c>
      <c r="R20" t="s">
        <v>734</v>
      </c>
      <c r="S20" t="s">
        <v>735</v>
      </c>
      <c r="T20" t="s">
        <v>736</v>
      </c>
      <c r="U20" t="s">
        <v>391</v>
      </c>
      <c r="V20" t="s">
        <v>23</v>
      </c>
      <c r="W20" t="s">
        <v>56</v>
      </c>
      <c r="X20" t="s">
        <v>15</v>
      </c>
    </row>
    <row r="21" spans="1:24">
      <c r="A21" t="s">
        <v>1056</v>
      </c>
      <c r="B21" s="8">
        <v>45758</v>
      </c>
      <c r="C21" t="s">
        <v>390</v>
      </c>
      <c r="D21" t="s">
        <v>737</v>
      </c>
      <c r="E21">
        <v>4</v>
      </c>
      <c r="F21">
        <v>300000</v>
      </c>
      <c r="G21">
        <v>1200000</v>
      </c>
      <c r="H21" t="s">
        <v>872</v>
      </c>
      <c r="I21">
        <v>0</v>
      </c>
      <c r="J21">
        <v>15000</v>
      </c>
      <c r="K21">
        <v>1215000</v>
      </c>
      <c r="L21" t="s">
        <v>873</v>
      </c>
      <c r="N21" t="s">
        <v>875</v>
      </c>
      <c r="O21" s="9">
        <v>45748</v>
      </c>
      <c r="P21" t="s">
        <v>877</v>
      </c>
      <c r="Q21">
        <v>1200000</v>
      </c>
      <c r="R21" t="s">
        <v>738</v>
      </c>
      <c r="S21" t="s">
        <v>739</v>
      </c>
      <c r="T21" t="s">
        <v>740</v>
      </c>
      <c r="U21" t="s">
        <v>391</v>
      </c>
      <c r="V21" t="s">
        <v>23</v>
      </c>
      <c r="W21" t="s">
        <v>56</v>
      </c>
      <c r="X21" t="s">
        <v>15</v>
      </c>
    </row>
    <row r="22" spans="1:24">
      <c r="A22" t="s">
        <v>1161</v>
      </c>
      <c r="B22" s="8">
        <v>45836</v>
      </c>
      <c r="C22" t="s">
        <v>390</v>
      </c>
      <c r="D22" t="s">
        <v>781</v>
      </c>
      <c r="E22">
        <v>1</v>
      </c>
      <c r="F22">
        <v>50000</v>
      </c>
      <c r="G22">
        <v>50000</v>
      </c>
      <c r="H22" t="s">
        <v>895</v>
      </c>
      <c r="I22">
        <v>7500</v>
      </c>
      <c r="J22">
        <v>15000</v>
      </c>
      <c r="K22">
        <v>57500</v>
      </c>
      <c r="L22" t="s">
        <v>880</v>
      </c>
      <c r="M22" t="s">
        <v>901</v>
      </c>
      <c r="N22" t="s">
        <v>875</v>
      </c>
      <c r="O22" s="9">
        <v>45809</v>
      </c>
      <c r="P22" t="s">
        <v>877</v>
      </c>
      <c r="Q22">
        <v>42500</v>
      </c>
      <c r="R22" t="s">
        <v>782</v>
      </c>
      <c r="S22" t="s">
        <v>743</v>
      </c>
      <c r="T22" t="s">
        <v>744</v>
      </c>
      <c r="U22" t="s">
        <v>391</v>
      </c>
      <c r="V22" t="s">
        <v>23</v>
      </c>
      <c r="W22" t="s">
        <v>56</v>
      </c>
      <c r="X22" t="s">
        <v>15</v>
      </c>
    </row>
    <row r="23" spans="1:24">
      <c r="A23" t="s">
        <v>1022</v>
      </c>
      <c r="B23" s="8">
        <v>45737</v>
      </c>
      <c r="C23" t="s">
        <v>25</v>
      </c>
      <c r="D23" t="s">
        <v>839</v>
      </c>
      <c r="E23">
        <v>3</v>
      </c>
      <c r="F23">
        <v>200000</v>
      </c>
      <c r="G23">
        <v>600000</v>
      </c>
      <c r="H23" t="s">
        <v>872</v>
      </c>
      <c r="I23">
        <v>0</v>
      </c>
      <c r="J23">
        <v>20000</v>
      </c>
      <c r="K23">
        <v>620000</v>
      </c>
      <c r="L23" t="s">
        <v>884</v>
      </c>
      <c r="M23" t="s">
        <v>903</v>
      </c>
      <c r="N23" t="s">
        <v>875</v>
      </c>
      <c r="O23" s="9">
        <v>45717</v>
      </c>
      <c r="P23" t="s">
        <v>877</v>
      </c>
      <c r="Q23">
        <v>600000</v>
      </c>
      <c r="R23" t="s">
        <v>840</v>
      </c>
      <c r="S23" t="s">
        <v>739</v>
      </c>
      <c r="T23" t="s">
        <v>740</v>
      </c>
      <c r="U23" t="s">
        <v>26</v>
      </c>
      <c r="V23" t="s">
        <v>23</v>
      </c>
      <c r="W23" t="s">
        <v>20</v>
      </c>
      <c r="X23" t="s">
        <v>9</v>
      </c>
    </row>
    <row r="24" spans="1:24">
      <c r="A24" t="s">
        <v>1126</v>
      </c>
      <c r="B24" s="8">
        <v>45813</v>
      </c>
      <c r="C24" t="s">
        <v>25</v>
      </c>
      <c r="D24" t="s">
        <v>737</v>
      </c>
      <c r="E24">
        <v>2</v>
      </c>
      <c r="F24">
        <v>300000</v>
      </c>
      <c r="G24">
        <v>600000</v>
      </c>
      <c r="H24" t="s">
        <v>872</v>
      </c>
      <c r="I24">
        <v>0</v>
      </c>
      <c r="J24">
        <v>15000</v>
      </c>
      <c r="K24">
        <v>615000</v>
      </c>
      <c r="L24" t="s">
        <v>884</v>
      </c>
      <c r="M24" t="s">
        <v>874</v>
      </c>
      <c r="N24" t="s">
        <v>911</v>
      </c>
      <c r="O24" s="9">
        <v>45809</v>
      </c>
      <c r="P24" t="s">
        <v>892</v>
      </c>
      <c r="Q24">
        <v>600000</v>
      </c>
      <c r="R24" t="s">
        <v>738</v>
      </c>
      <c r="S24" t="s">
        <v>739</v>
      </c>
      <c r="T24" t="s">
        <v>740</v>
      </c>
      <c r="U24" t="s">
        <v>26</v>
      </c>
      <c r="V24" t="s">
        <v>23</v>
      </c>
      <c r="W24" t="s">
        <v>20</v>
      </c>
      <c r="X24" t="s">
        <v>9</v>
      </c>
    </row>
    <row r="25" spans="1:24">
      <c r="A25" t="s">
        <v>885</v>
      </c>
      <c r="B25" s="8">
        <v>45706</v>
      </c>
      <c r="C25" t="s">
        <v>590</v>
      </c>
      <c r="D25" t="s">
        <v>767</v>
      </c>
      <c r="E25">
        <v>1</v>
      </c>
      <c r="F25">
        <v>150000</v>
      </c>
      <c r="G25">
        <v>150000</v>
      </c>
      <c r="H25" t="s">
        <v>886</v>
      </c>
      <c r="I25">
        <v>15000</v>
      </c>
      <c r="J25">
        <v>25000</v>
      </c>
      <c r="K25">
        <v>160000</v>
      </c>
      <c r="L25" t="s">
        <v>873</v>
      </c>
      <c r="M25" t="s">
        <v>881</v>
      </c>
      <c r="N25" t="s">
        <v>875</v>
      </c>
      <c r="O25" s="9">
        <v>45689</v>
      </c>
      <c r="P25" t="s">
        <v>877</v>
      </c>
      <c r="Q25">
        <v>135000</v>
      </c>
      <c r="R25" t="s">
        <v>768</v>
      </c>
      <c r="S25" t="s">
        <v>739</v>
      </c>
      <c r="T25" t="s">
        <v>740</v>
      </c>
      <c r="U25" t="s">
        <v>591</v>
      </c>
      <c r="V25" t="s">
        <v>7</v>
      </c>
      <c r="W25" t="s">
        <v>29</v>
      </c>
      <c r="X25" t="s">
        <v>24</v>
      </c>
    </row>
    <row r="26" spans="1:24">
      <c r="A26" t="s">
        <v>1014</v>
      </c>
      <c r="B26" s="8">
        <v>45692</v>
      </c>
      <c r="C26" t="s">
        <v>590</v>
      </c>
      <c r="D26" t="s">
        <v>839</v>
      </c>
      <c r="E26">
        <v>3</v>
      </c>
      <c r="F26">
        <v>200000</v>
      </c>
      <c r="G26">
        <v>600000</v>
      </c>
      <c r="H26" t="s">
        <v>886</v>
      </c>
      <c r="I26">
        <v>60000</v>
      </c>
      <c r="J26">
        <v>10000</v>
      </c>
      <c r="K26">
        <v>550000</v>
      </c>
      <c r="L26" t="s">
        <v>880</v>
      </c>
      <c r="M26" t="s">
        <v>901</v>
      </c>
      <c r="N26" t="s">
        <v>875</v>
      </c>
      <c r="O26" s="9">
        <v>45689</v>
      </c>
      <c r="P26" t="s">
        <v>877</v>
      </c>
      <c r="Q26">
        <v>540000</v>
      </c>
      <c r="R26" t="s">
        <v>840</v>
      </c>
      <c r="S26" t="s">
        <v>739</v>
      </c>
      <c r="T26" t="s">
        <v>740</v>
      </c>
      <c r="U26" t="s">
        <v>591</v>
      </c>
      <c r="V26" t="s">
        <v>7</v>
      </c>
      <c r="W26" t="s">
        <v>29</v>
      </c>
      <c r="X26" t="s">
        <v>24</v>
      </c>
    </row>
    <row r="27" spans="1:24">
      <c r="A27" t="s">
        <v>1101</v>
      </c>
      <c r="B27" s="8">
        <v>45825</v>
      </c>
      <c r="C27" t="s">
        <v>590</v>
      </c>
      <c r="D27" t="s">
        <v>753</v>
      </c>
      <c r="E27">
        <v>1</v>
      </c>
      <c r="F27">
        <v>300000</v>
      </c>
      <c r="G27">
        <v>300000</v>
      </c>
      <c r="H27" t="s">
        <v>872</v>
      </c>
      <c r="I27">
        <v>0</v>
      </c>
      <c r="J27">
        <v>10000</v>
      </c>
      <c r="K27">
        <v>310000</v>
      </c>
      <c r="L27" t="s">
        <v>884</v>
      </c>
      <c r="M27" t="s">
        <v>881</v>
      </c>
      <c r="N27" t="s">
        <v>875</v>
      </c>
      <c r="O27" s="9">
        <v>45809</v>
      </c>
      <c r="P27" t="s">
        <v>877</v>
      </c>
      <c r="Q27">
        <v>300000</v>
      </c>
      <c r="R27" t="s">
        <v>754</v>
      </c>
      <c r="S27" t="s">
        <v>735</v>
      </c>
      <c r="T27" t="s">
        <v>736</v>
      </c>
      <c r="U27" t="s">
        <v>591</v>
      </c>
      <c r="V27" t="s">
        <v>7</v>
      </c>
      <c r="W27" t="s">
        <v>29</v>
      </c>
      <c r="X27" t="s">
        <v>24</v>
      </c>
    </row>
    <row r="28" spans="1:24">
      <c r="A28" t="s">
        <v>987</v>
      </c>
      <c r="B28" s="8">
        <v>45776</v>
      </c>
      <c r="C28" t="s">
        <v>27</v>
      </c>
      <c r="D28" t="s">
        <v>835</v>
      </c>
      <c r="E28">
        <v>2</v>
      </c>
      <c r="F28">
        <v>200000</v>
      </c>
      <c r="G28">
        <v>400000</v>
      </c>
      <c r="H28" t="s">
        <v>872</v>
      </c>
      <c r="I28">
        <v>0</v>
      </c>
      <c r="J28">
        <v>15000</v>
      </c>
      <c r="K28">
        <v>415000</v>
      </c>
      <c r="L28" t="s">
        <v>873</v>
      </c>
      <c r="M28" t="s">
        <v>874</v>
      </c>
      <c r="N28" t="s">
        <v>875</v>
      </c>
      <c r="O28" s="9">
        <v>45748</v>
      </c>
      <c r="P28" t="s">
        <v>877</v>
      </c>
      <c r="Q28">
        <v>400000</v>
      </c>
      <c r="R28" t="s">
        <v>836</v>
      </c>
      <c r="S28" t="s">
        <v>731</v>
      </c>
      <c r="T28" t="s">
        <v>732</v>
      </c>
      <c r="U28" t="s">
        <v>28</v>
      </c>
      <c r="V28" t="s">
        <v>7</v>
      </c>
      <c r="W28" t="s">
        <v>29</v>
      </c>
      <c r="X28" t="s">
        <v>9</v>
      </c>
    </row>
    <row r="29" spans="1:24">
      <c r="A29" t="s">
        <v>1137</v>
      </c>
      <c r="B29" s="8">
        <v>45742</v>
      </c>
      <c r="C29" t="s">
        <v>27</v>
      </c>
      <c r="D29" t="s">
        <v>791</v>
      </c>
      <c r="E29">
        <v>2</v>
      </c>
      <c r="F29">
        <v>50000</v>
      </c>
      <c r="G29">
        <v>100000</v>
      </c>
      <c r="H29" t="s">
        <v>872</v>
      </c>
      <c r="I29">
        <v>0</v>
      </c>
      <c r="J29">
        <v>20000</v>
      </c>
      <c r="K29">
        <v>120000</v>
      </c>
      <c r="L29" t="s">
        <v>884</v>
      </c>
      <c r="M29" t="s">
        <v>881</v>
      </c>
      <c r="N29" t="s">
        <v>875</v>
      </c>
      <c r="O29" s="9">
        <v>45717</v>
      </c>
      <c r="P29" t="s">
        <v>877</v>
      </c>
      <c r="Q29">
        <v>100000</v>
      </c>
      <c r="R29" t="s">
        <v>792</v>
      </c>
      <c r="S29" t="s">
        <v>739</v>
      </c>
      <c r="T29" t="s">
        <v>740</v>
      </c>
      <c r="U29" t="s">
        <v>28</v>
      </c>
      <c r="V29" t="s">
        <v>7</v>
      </c>
      <c r="W29" t="s">
        <v>29</v>
      </c>
      <c r="X29" t="s">
        <v>9</v>
      </c>
    </row>
    <row r="30" spans="1:24">
      <c r="A30" t="s">
        <v>938</v>
      </c>
      <c r="B30" s="8">
        <v>45746</v>
      </c>
      <c r="C30" t="s">
        <v>676</v>
      </c>
      <c r="D30" t="s">
        <v>737</v>
      </c>
      <c r="E30">
        <v>3</v>
      </c>
      <c r="F30">
        <v>300000</v>
      </c>
      <c r="G30">
        <v>900000</v>
      </c>
      <c r="H30" t="s">
        <v>872</v>
      </c>
      <c r="I30">
        <v>0</v>
      </c>
      <c r="J30">
        <v>25000</v>
      </c>
      <c r="K30">
        <v>925000</v>
      </c>
      <c r="L30" t="s">
        <v>884</v>
      </c>
      <c r="M30" t="s">
        <v>874</v>
      </c>
      <c r="N30" t="s">
        <v>905</v>
      </c>
      <c r="O30" s="9">
        <v>45717</v>
      </c>
      <c r="P30" t="s">
        <v>892</v>
      </c>
      <c r="Q30">
        <v>900000</v>
      </c>
      <c r="R30" t="s">
        <v>738</v>
      </c>
      <c r="S30" t="s">
        <v>739</v>
      </c>
      <c r="T30" t="s">
        <v>740</v>
      </c>
      <c r="U30" t="s">
        <v>677</v>
      </c>
      <c r="V30" t="s">
        <v>7</v>
      </c>
      <c r="W30" t="s">
        <v>29</v>
      </c>
      <c r="X30" t="s">
        <v>15</v>
      </c>
    </row>
    <row r="31" spans="1:24">
      <c r="A31" t="s">
        <v>1143</v>
      </c>
      <c r="B31" s="8">
        <v>45705</v>
      </c>
      <c r="C31" t="s">
        <v>676</v>
      </c>
      <c r="D31" t="s">
        <v>751</v>
      </c>
      <c r="E31">
        <v>2</v>
      </c>
      <c r="F31">
        <v>150000</v>
      </c>
      <c r="G31">
        <v>300000</v>
      </c>
      <c r="H31" t="s">
        <v>883</v>
      </c>
      <c r="I31">
        <v>30000</v>
      </c>
      <c r="J31">
        <v>20000</v>
      </c>
      <c r="K31">
        <v>290000</v>
      </c>
      <c r="L31" t="s">
        <v>873</v>
      </c>
      <c r="M31" t="s">
        <v>901</v>
      </c>
      <c r="N31" t="s">
        <v>875</v>
      </c>
      <c r="O31" s="9">
        <v>45689</v>
      </c>
      <c r="P31" t="s">
        <v>877</v>
      </c>
      <c r="Q31">
        <v>270000</v>
      </c>
      <c r="R31" t="s">
        <v>752</v>
      </c>
      <c r="S31" t="s">
        <v>731</v>
      </c>
      <c r="T31" t="s">
        <v>732</v>
      </c>
      <c r="U31" t="s">
        <v>677</v>
      </c>
      <c r="V31" t="s">
        <v>7</v>
      </c>
      <c r="W31" t="s">
        <v>29</v>
      </c>
      <c r="X31" t="s">
        <v>15</v>
      </c>
    </row>
    <row r="32" spans="1:24">
      <c r="A32" t="s">
        <v>888</v>
      </c>
      <c r="B32" s="8">
        <v>45770</v>
      </c>
      <c r="C32" t="s">
        <v>246</v>
      </c>
      <c r="D32" t="s">
        <v>795</v>
      </c>
      <c r="E32">
        <v>3</v>
      </c>
      <c r="F32">
        <v>100000</v>
      </c>
      <c r="G32">
        <v>300000</v>
      </c>
      <c r="H32" t="s">
        <v>883</v>
      </c>
      <c r="I32">
        <v>30000</v>
      </c>
      <c r="J32">
        <v>20000</v>
      </c>
      <c r="K32">
        <v>290000</v>
      </c>
      <c r="L32" t="s">
        <v>889</v>
      </c>
      <c r="M32" t="s">
        <v>874</v>
      </c>
      <c r="N32" t="s">
        <v>890</v>
      </c>
      <c r="O32" s="9">
        <v>45748</v>
      </c>
      <c r="P32" t="s">
        <v>892</v>
      </c>
      <c r="Q32">
        <v>270000</v>
      </c>
      <c r="R32" t="s">
        <v>796</v>
      </c>
      <c r="S32" t="s">
        <v>747</v>
      </c>
      <c r="T32" t="s">
        <v>748</v>
      </c>
      <c r="U32" t="s">
        <v>247</v>
      </c>
      <c r="V32" t="s">
        <v>23</v>
      </c>
      <c r="W32" t="s">
        <v>46</v>
      </c>
      <c r="X32" t="s">
        <v>9</v>
      </c>
    </row>
    <row r="33" spans="1:24">
      <c r="A33" t="s">
        <v>1037</v>
      </c>
      <c r="B33" s="8">
        <v>45754</v>
      </c>
      <c r="C33" t="s">
        <v>32</v>
      </c>
      <c r="D33" t="s">
        <v>835</v>
      </c>
      <c r="E33">
        <v>1</v>
      </c>
      <c r="F33">
        <v>200000</v>
      </c>
      <c r="G33">
        <v>200000</v>
      </c>
      <c r="H33" t="s">
        <v>886</v>
      </c>
      <c r="I33">
        <v>20000</v>
      </c>
      <c r="J33">
        <v>15000</v>
      </c>
      <c r="K33">
        <v>195000</v>
      </c>
      <c r="L33" t="s">
        <v>873</v>
      </c>
      <c r="M33" t="s">
        <v>874</v>
      </c>
      <c r="N33" t="s">
        <v>875</v>
      </c>
      <c r="O33" s="9">
        <v>45748</v>
      </c>
      <c r="P33" t="s">
        <v>877</v>
      </c>
      <c r="Q33">
        <v>180000</v>
      </c>
      <c r="R33" t="s">
        <v>836</v>
      </c>
      <c r="S33" t="s">
        <v>731</v>
      </c>
      <c r="T33" t="s">
        <v>732</v>
      </c>
      <c r="U33" t="s">
        <v>33</v>
      </c>
      <c r="V33" t="s">
        <v>23</v>
      </c>
      <c r="W33" t="s">
        <v>12</v>
      </c>
      <c r="X33" t="s">
        <v>9</v>
      </c>
    </row>
    <row r="34" spans="1:24">
      <c r="A34" t="s">
        <v>1045</v>
      </c>
      <c r="B34" s="8">
        <v>45668</v>
      </c>
      <c r="C34" t="s">
        <v>32</v>
      </c>
      <c r="D34" t="s">
        <v>765</v>
      </c>
      <c r="E34">
        <v>1</v>
      </c>
      <c r="F34">
        <v>500000</v>
      </c>
      <c r="G34">
        <v>500000</v>
      </c>
      <c r="H34" t="s">
        <v>872</v>
      </c>
      <c r="I34">
        <v>0</v>
      </c>
      <c r="J34">
        <v>25000</v>
      </c>
      <c r="K34">
        <v>525000</v>
      </c>
      <c r="L34" t="s">
        <v>889</v>
      </c>
      <c r="M34" t="s">
        <v>901</v>
      </c>
      <c r="N34" t="s">
        <v>911</v>
      </c>
      <c r="O34" s="9">
        <v>45658</v>
      </c>
      <c r="P34" t="s">
        <v>892</v>
      </c>
      <c r="Q34">
        <v>500000</v>
      </c>
      <c r="R34" t="s">
        <v>766</v>
      </c>
      <c r="S34" t="s">
        <v>735</v>
      </c>
      <c r="T34" t="s">
        <v>736</v>
      </c>
      <c r="U34" t="s">
        <v>33</v>
      </c>
      <c r="V34" t="s">
        <v>23</v>
      </c>
      <c r="W34" t="s">
        <v>12</v>
      </c>
      <c r="X34" t="s">
        <v>9</v>
      </c>
    </row>
    <row r="35" spans="1:24">
      <c r="A35" t="s">
        <v>1208</v>
      </c>
      <c r="B35" s="8">
        <v>45796</v>
      </c>
      <c r="C35" t="s">
        <v>32</v>
      </c>
      <c r="D35" t="s">
        <v>779</v>
      </c>
      <c r="E35">
        <v>1</v>
      </c>
      <c r="F35">
        <v>150000</v>
      </c>
      <c r="G35">
        <v>150000</v>
      </c>
      <c r="H35" t="s">
        <v>895</v>
      </c>
      <c r="I35">
        <v>22500</v>
      </c>
      <c r="J35">
        <v>30000</v>
      </c>
      <c r="K35">
        <v>157500</v>
      </c>
      <c r="L35" t="s">
        <v>880</v>
      </c>
      <c r="M35" t="s">
        <v>881</v>
      </c>
      <c r="N35" t="s">
        <v>875</v>
      </c>
      <c r="O35" s="9">
        <v>45778</v>
      </c>
      <c r="P35" t="s">
        <v>877</v>
      </c>
      <c r="Q35">
        <v>127500</v>
      </c>
      <c r="R35" t="s">
        <v>780</v>
      </c>
      <c r="S35" t="s">
        <v>739</v>
      </c>
      <c r="T35" t="s">
        <v>740</v>
      </c>
      <c r="U35" t="s">
        <v>33</v>
      </c>
      <c r="V35" t="s">
        <v>23</v>
      </c>
      <c r="W35" t="s">
        <v>12</v>
      </c>
      <c r="X35" t="s">
        <v>9</v>
      </c>
    </row>
    <row r="36" spans="1:24">
      <c r="A36" t="s">
        <v>925</v>
      </c>
      <c r="B36" s="8">
        <v>45739</v>
      </c>
      <c r="C36" t="s">
        <v>464</v>
      </c>
      <c r="D36" t="s">
        <v>795</v>
      </c>
      <c r="E36">
        <v>2</v>
      </c>
      <c r="F36">
        <v>100000</v>
      </c>
      <c r="G36">
        <v>200000</v>
      </c>
      <c r="H36" t="s">
        <v>886</v>
      </c>
      <c r="I36">
        <v>20000</v>
      </c>
      <c r="J36">
        <v>20000</v>
      </c>
      <c r="K36">
        <v>200000</v>
      </c>
      <c r="L36" t="s">
        <v>884</v>
      </c>
      <c r="M36" t="s">
        <v>903</v>
      </c>
      <c r="N36" t="s">
        <v>905</v>
      </c>
      <c r="O36" s="9">
        <v>45717</v>
      </c>
      <c r="P36" t="s">
        <v>892</v>
      </c>
      <c r="Q36">
        <v>180000</v>
      </c>
      <c r="R36" t="s">
        <v>796</v>
      </c>
      <c r="S36" t="s">
        <v>747</v>
      </c>
      <c r="T36" t="s">
        <v>748</v>
      </c>
      <c r="U36" t="s">
        <v>465</v>
      </c>
      <c r="V36" t="s">
        <v>23</v>
      </c>
      <c r="W36" t="s">
        <v>12</v>
      </c>
      <c r="X36" t="s">
        <v>9</v>
      </c>
    </row>
    <row r="37" spans="1:24">
      <c r="A37" t="s">
        <v>899</v>
      </c>
      <c r="B37" s="8">
        <v>45799</v>
      </c>
      <c r="C37" t="s">
        <v>464</v>
      </c>
      <c r="D37" t="s">
        <v>845</v>
      </c>
      <c r="E37">
        <v>1</v>
      </c>
      <c r="F37">
        <v>300000</v>
      </c>
      <c r="G37">
        <v>300000</v>
      </c>
      <c r="H37" t="s">
        <v>883</v>
      </c>
      <c r="I37">
        <v>30000</v>
      </c>
      <c r="J37">
        <v>30000</v>
      </c>
      <c r="K37">
        <v>300000</v>
      </c>
      <c r="L37" t="s">
        <v>889</v>
      </c>
      <c r="M37" t="s">
        <v>881</v>
      </c>
      <c r="N37" t="s">
        <v>875</v>
      </c>
      <c r="O37" s="9">
        <v>45778</v>
      </c>
      <c r="P37" t="s">
        <v>877</v>
      </c>
      <c r="Q37">
        <v>270000</v>
      </c>
      <c r="R37" t="s">
        <v>846</v>
      </c>
      <c r="S37" t="s">
        <v>727</v>
      </c>
      <c r="T37" t="s">
        <v>728</v>
      </c>
      <c r="U37" t="s">
        <v>465</v>
      </c>
      <c r="V37" t="s">
        <v>23</v>
      </c>
      <c r="W37" t="s">
        <v>12</v>
      </c>
      <c r="X37" t="s">
        <v>9</v>
      </c>
    </row>
    <row r="38" spans="1:24">
      <c r="A38" t="s">
        <v>947</v>
      </c>
      <c r="B38" s="8">
        <v>45674</v>
      </c>
      <c r="C38" t="s">
        <v>464</v>
      </c>
      <c r="D38" t="s">
        <v>803</v>
      </c>
      <c r="E38">
        <v>2</v>
      </c>
      <c r="F38">
        <v>50000</v>
      </c>
      <c r="G38">
        <v>100000</v>
      </c>
      <c r="H38" t="s">
        <v>872</v>
      </c>
      <c r="I38">
        <v>0</v>
      </c>
      <c r="J38">
        <v>15000</v>
      </c>
      <c r="K38">
        <v>115000</v>
      </c>
      <c r="L38" t="s">
        <v>880</v>
      </c>
      <c r="M38" t="s">
        <v>874</v>
      </c>
      <c r="N38" t="s">
        <v>875</v>
      </c>
      <c r="O38" s="9">
        <v>45658</v>
      </c>
      <c r="P38" t="s">
        <v>877</v>
      </c>
      <c r="Q38">
        <v>100000</v>
      </c>
      <c r="R38" t="s">
        <v>804</v>
      </c>
      <c r="S38" t="s">
        <v>739</v>
      </c>
      <c r="T38" t="s">
        <v>740</v>
      </c>
      <c r="U38" t="s">
        <v>465</v>
      </c>
      <c r="V38" t="s">
        <v>23</v>
      </c>
      <c r="W38" t="s">
        <v>12</v>
      </c>
      <c r="X38" t="s">
        <v>9</v>
      </c>
    </row>
    <row r="39" spans="1:24">
      <c r="A39" t="s">
        <v>893</v>
      </c>
      <c r="B39" s="8">
        <v>45689</v>
      </c>
      <c r="C39" t="s">
        <v>550</v>
      </c>
      <c r="D39" t="s">
        <v>755</v>
      </c>
      <c r="E39">
        <v>1</v>
      </c>
      <c r="F39">
        <v>50000</v>
      </c>
      <c r="G39">
        <v>50000</v>
      </c>
      <c r="H39" t="s">
        <v>879</v>
      </c>
      <c r="I39">
        <v>10000</v>
      </c>
      <c r="J39">
        <v>15000</v>
      </c>
      <c r="K39">
        <v>55000</v>
      </c>
      <c r="L39" t="s">
        <v>884</v>
      </c>
      <c r="M39" t="s">
        <v>881</v>
      </c>
      <c r="N39" t="s">
        <v>875</v>
      </c>
      <c r="O39" s="9">
        <v>45689</v>
      </c>
      <c r="P39" t="s">
        <v>877</v>
      </c>
      <c r="Q39">
        <v>40000</v>
      </c>
      <c r="R39" t="s">
        <v>756</v>
      </c>
      <c r="S39" t="s">
        <v>739</v>
      </c>
      <c r="T39" t="s">
        <v>740</v>
      </c>
      <c r="U39" t="s">
        <v>551</v>
      </c>
      <c r="V39" t="s">
        <v>23</v>
      </c>
      <c r="W39" t="s">
        <v>36</v>
      </c>
      <c r="X39" t="s">
        <v>15</v>
      </c>
    </row>
    <row r="40" spans="1:24">
      <c r="A40" t="s">
        <v>980</v>
      </c>
      <c r="B40" s="8">
        <v>45750</v>
      </c>
      <c r="C40" t="s">
        <v>550</v>
      </c>
      <c r="D40" t="s">
        <v>759</v>
      </c>
      <c r="E40">
        <v>3</v>
      </c>
      <c r="F40">
        <v>300000</v>
      </c>
      <c r="G40">
        <v>900000</v>
      </c>
      <c r="H40" t="s">
        <v>886</v>
      </c>
      <c r="I40">
        <v>90000</v>
      </c>
      <c r="J40">
        <v>10000</v>
      </c>
      <c r="K40">
        <v>820000</v>
      </c>
      <c r="L40" t="s">
        <v>884</v>
      </c>
      <c r="M40" t="s">
        <v>874</v>
      </c>
      <c r="N40" t="s">
        <v>875</v>
      </c>
      <c r="O40" s="9">
        <v>45748</v>
      </c>
      <c r="P40" t="s">
        <v>877</v>
      </c>
      <c r="Q40">
        <v>810000</v>
      </c>
      <c r="R40" t="s">
        <v>760</v>
      </c>
      <c r="S40" t="s">
        <v>747</v>
      </c>
      <c r="T40" t="s">
        <v>748</v>
      </c>
      <c r="U40" t="s">
        <v>551</v>
      </c>
      <c r="V40" t="s">
        <v>23</v>
      </c>
      <c r="W40" t="s">
        <v>36</v>
      </c>
      <c r="X40" t="s">
        <v>15</v>
      </c>
    </row>
    <row r="41" spans="1:24">
      <c r="A41" t="s">
        <v>956</v>
      </c>
      <c r="B41" s="8">
        <v>45681</v>
      </c>
      <c r="C41" t="s">
        <v>37</v>
      </c>
      <c r="D41" t="s">
        <v>771</v>
      </c>
      <c r="E41">
        <v>4</v>
      </c>
      <c r="F41">
        <v>500000</v>
      </c>
      <c r="G41">
        <v>2000000</v>
      </c>
      <c r="H41" t="s">
        <v>872</v>
      </c>
      <c r="I41">
        <v>0</v>
      </c>
      <c r="J41">
        <v>10000</v>
      </c>
      <c r="K41">
        <v>2010000</v>
      </c>
      <c r="L41" t="s">
        <v>884</v>
      </c>
      <c r="M41" t="s">
        <v>874</v>
      </c>
      <c r="N41" t="s">
        <v>875</v>
      </c>
      <c r="O41" s="9">
        <v>45658</v>
      </c>
      <c r="P41" t="s">
        <v>877</v>
      </c>
      <c r="Q41">
        <v>2000000</v>
      </c>
      <c r="R41" t="s">
        <v>772</v>
      </c>
      <c r="S41" t="s">
        <v>747</v>
      </c>
      <c r="T41" t="s">
        <v>748</v>
      </c>
      <c r="U41" t="s">
        <v>38</v>
      </c>
      <c r="V41" t="s">
        <v>23</v>
      </c>
      <c r="W41" t="s">
        <v>39</v>
      </c>
      <c r="X41" t="s">
        <v>9</v>
      </c>
    </row>
    <row r="42" spans="1:24">
      <c r="A42" t="s">
        <v>919</v>
      </c>
      <c r="B42" s="8">
        <v>45759</v>
      </c>
      <c r="C42" t="s">
        <v>37</v>
      </c>
      <c r="D42" t="s">
        <v>773</v>
      </c>
      <c r="E42">
        <v>2</v>
      </c>
      <c r="F42">
        <v>500000</v>
      </c>
      <c r="G42">
        <v>1000000</v>
      </c>
      <c r="H42" t="s">
        <v>895</v>
      </c>
      <c r="I42">
        <v>150000</v>
      </c>
      <c r="J42">
        <v>10000</v>
      </c>
      <c r="K42">
        <v>860000</v>
      </c>
      <c r="L42" t="s">
        <v>880</v>
      </c>
      <c r="M42" t="s">
        <v>901</v>
      </c>
      <c r="N42" t="s">
        <v>875</v>
      </c>
      <c r="O42" s="9">
        <v>45748</v>
      </c>
      <c r="P42" t="s">
        <v>877</v>
      </c>
      <c r="Q42">
        <v>850000</v>
      </c>
      <c r="R42" t="s">
        <v>774</v>
      </c>
      <c r="S42" t="s">
        <v>727</v>
      </c>
      <c r="T42" t="s">
        <v>728</v>
      </c>
      <c r="U42" t="s">
        <v>38</v>
      </c>
      <c r="V42" t="s">
        <v>23</v>
      </c>
      <c r="W42" t="s">
        <v>39</v>
      </c>
      <c r="X42" t="s">
        <v>9</v>
      </c>
    </row>
    <row r="43" spans="1:24">
      <c r="A43" t="s">
        <v>951</v>
      </c>
      <c r="B43" s="8">
        <v>45796</v>
      </c>
      <c r="C43" t="s">
        <v>83</v>
      </c>
      <c r="D43" t="s">
        <v>745</v>
      </c>
      <c r="E43">
        <v>4</v>
      </c>
      <c r="F43">
        <v>500000</v>
      </c>
      <c r="G43">
        <v>2000000</v>
      </c>
      <c r="H43" t="s">
        <v>872</v>
      </c>
      <c r="I43">
        <v>0</v>
      </c>
      <c r="J43">
        <v>15000</v>
      </c>
      <c r="K43">
        <v>2015000</v>
      </c>
      <c r="L43" t="s">
        <v>873</v>
      </c>
      <c r="M43" t="s">
        <v>903</v>
      </c>
      <c r="N43" t="s">
        <v>875</v>
      </c>
      <c r="O43" s="9">
        <v>45778</v>
      </c>
      <c r="P43" t="s">
        <v>877</v>
      </c>
      <c r="Q43">
        <v>2000000</v>
      </c>
      <c r="R43" t="s">
        <v>746</v>
      </c>
      <c r="S43" t="s">
        <v>747</v>
      </c>
      <c r="T43" t="s">
        <v>748</v>
      </c>
      <c r="U43" t="s">
        <v>84</v>
      </c>
      <c r="V43" t="s">
        <v>23</v>
      </c>
      <c r="W43" t="s">
        <v>46</v>
      </c>
      <c r="X43" t="s">
        <v>15</v>
      </c>
    </row>
    <row r="44" spans="1:24">
      <c r="A44" t="s">
        <v>1033</v>
      </c>
      <c r="B44" s="8">
        <v>45722</v>
      </c>
      <c r="C44" t="s">
        <v>40</v>
      </c>
      <c r="D44" t="s">
        <v>777</v>
      </c>
      <c r="E44">
        <v>1</v>
      </c>
      <c r="F44">
        <v>200000</v>
      </c>
      <c r="G44">
        <v>200000</v>
      </c>
      <c r="H44" t="s">
        <v>872</v>
      </c>
      <c r="I44">
        <v>0</v>
      </c>
      <c r="J44">
        <v>25000</v>
      </c>
      <c r="K44">
        <v>225000</v>
      </c>
      <c r="L44" t="s">
        <v>880</v>
      </c>
      <c r="M44" t="s">
        <v>903</v>
      </c>
      <c r="N44" t="s">
        <v>875</v>
      </c>
      <c r="O44" s="9">
        <v>45717</v>
      </c>
      <c r="P44" t="s">
        <v>877</v>
      </c>
      <c r="Q44">
        <v>200000</v>
      </c>
      <c r="R44" t="s">
        <v>778</v>
      </c>
      <c r="S44" t="s">
        <v>735</v>
      </c>
      <c r="T44" t="s">
        <v>736</v>
      </c>
      <c r="U44" t="s">
        <v>41</v>
      </c>
      <c r="V44" t="s">
        <v>7</v>
      </c>
      <c r="W44" t="s">
        <v>36</v>
      </c>
      <c r="X44" t="s">
        <v>15</v>
      </c>
    </row>
    <row r="45" spans="1:24">
      <c r="A45" t="s">
        <v>1165</v>
      </c>
      <c r="B45" s="8">
        <v>45762</v>
      </c>
      <c r="C45" t="s">
        <v>40</v>
      </c>
      <c r="D45" t="s">
        <v>771</v>
      </c>
      <c r="E45">
        <v>2</v>
      </c>
      <c r="F45">
        <v>500000</v>
      </c>
      <c r="G45">
        <v>1000000</v>
      </c>
      <c r="H45" t="s">
        <v>872</v>
      </c>
      <c r="I45">
        <v>0</v>
      </c>
      <c r="J45">
        <v>20000</v>
      </c>
      <c r="K45">
        <v>1020000</v>
      </c>
      <c r="L45" t="s">
        <v>880</v>
      </c>
      <c r="M45" t="s">
        <v>874</v>
      </c>
      <c r="N45" t="s">
        <v>905</v>
      </c>
      <c r="O45" s="9">
        <v>45748</v>
      </c>
      <c r="P45" t="s">
        <v>892</v>
      </c>
      <c r="Q45">
        <v>1000000</v>
      </c>
      <c r="R45" t="s">
        <v>772</v>
      </c>
      <c r="S45" t="s">
        <v>747</v>
      </c>
      <c r="T45" t="s">
        <v>748</v>
      </c>
      <c r="U45" t="s">
        <v>41</v>
      </c>
      <c r="V45" t="s">
        <v>7</v>
      </c>
      <c r="W45" t="s">
        <v>36</v>
      </c>
      <c r="X45" t="s">
        <v>15</v>
      </c>
    </row>
    <row r="46" spans="1:24">
      <c r="A46" t="s">
        <v>894</v>
      </c>
      <c r="B46" s="8">
        <v>45792</v>
      </c>
      <c r="C46" t="s">
        <v>716</v>
      </c>
      <c r="D46" t="s">
        <v>751</v>
      </c>
      <c r="E46">
        <v>1</v>
      </c>
      <c r="F46">
        <v>150000</v>
      </c>
      <c r="G46">
        <v>150000</v>
      </c>
      <c r="H46" t="s">
        <v>895</v>
      </c>
      <c r="I46">
        <v>22500</v>
      </c>
      <c r="J46">
        <v>30000</v>
      </c>
      <c r="K46">
        <v>157500</v>
      </c>
      <c r="L46" t="s">
        <v>884</v>
      </c>
      <c r="M46" t="s">
        <v>881</v>
      </c>
      <c r="N46" t="s">
        <v>875</v>
      </c>
      <c r="O46" s="9">
        <v>45778</v>
      </c>
      <c r="P46" t="s">
        <v>877</v>
      </c>
      <c r="Q46">
        <v>127500</v>
      </c>
      <c r="R46" t="s">
        <v>752</v>
      </c>
      <c r="S46" t="s">
        <v>731</v>
      </c>
      <c r="T46" t="s">
        <v>732</v>
      </c>
      <c r="U46" t="s">
        <v>717</v>
      </c>
      <c r="V46" t="s">
        <v>23</v>
      </c>
      <c r="W46" t="s">
        <v>8</v>
      </c>
      <c r="X46" t="s">
        <v>9</v>
      </c>
    </row>
    <row r="47" spans="1:24">
      <c r="A47" t="s">
        <v>1145</v>
      </c>
      <c r="B47" s="8">
        <v>45679</v>
      </c>
      <c r="C47" t="s">
        <v>716</v>
      </c>
      <c r="D47" t="s">
        <v>779</v>
      </c>
      <c r="E47">
        <v>1</v>
      </c>
      <c r="F47">
        <v>150000</v>
      </c>
      <c r="G47">
        <v>150000</v>
      </c>
      <c r="H47" t="s">
        <v>872</v>
      </c>
      <c r="I47">
        <v>0</v>
      </c>
      <c r="J47">
        <v>25000</v>
      </c>
      <c r="K47">
        <v>175000</v>
      </c>
      <c r="L47" t="s">
        <v>884</v>
      </c>
      <c r="M47" t="s">
        <v>874</v>
      </c>
      <c r="N47" t="s">
        <v>905</v>
      </c>
      <c r="O47" s="9">
        <v>45658</v>
      </c>
      <c r="P47" t="s">
        <v>892</v>
      </c>
      <c r="Q47">
        <v>150000</v>
      </c>
      <c r="R47" t="s">
        <v>780</v>
      </c>
      <c r="S47" t="s">
        <v>739</v>
      </c>
      <c r="T47" t="s">
        <v>740</v>
      </c>
      <c r="U47" t="s">
        <v>717</v>
      </c>
      <c r="V47" t="s">
        <v>23</v>
      </c>
      <c r="W47" t="s">
        <v>8</v>
      </c>
      <c r="X47" t="s">
        <v>9</v>
      </c>
    </row>
    <row r="48" spans="1:24">
      <c r="A48" t="s">
        <v>1194</v>
      </c>
      <c r="B48" s="8">
        <v>45773</v>
      </c>
      <c r="C48" t="s">
        <v>716</v>
      </c>
      <c r="D48" t="s">
        <v>775</v>
      </c>
      <c r="E48">
        <v>2</v>
      </c>
      <c r="F48">
        <v>75000</v>
      </c>
      <c r="G48">
        <v>150000</v>
      </c>
      <c r="H48" t="s">
        <v>879</v>
      </c>
      <c r="I48">
        <v>30000</v>
      </c>
      <c r="J48">
        <v>15000</v>
      </c>
      <c r="K48">
        <v>135000</v>
      </c>
      <c r="L48" t="s">
        <v>873</v>
      </c>
      <c r="M48" t="s">
        <v>903</v>
      </c>
      <c r="N48" t="s">
        <v>875</v>
      </c>
      <c r="O48" s="9">
        <v>45748</v>
      </c>
      <c r="P48" t="s">
        <v>877</v>
      </c>
      <c r="Q48">
        <v>120000</v>
      </c>
      <c r="R48" t="s">
        <v>776</v>
      </c>
      <c r="S48" t="s">
        <v>731</v>
      </c>
      <c r="T48" t="s">
        <v>732</v>
      </c>
      <c r="U48" t="s">
        <v>717</v>
      </c>
      <c r="V48" t="s">
        <v>23</v>
      </c>
      <c r="W48" t="s">
        <v>8</v>
      </c>
      <c r="X48" t="s">
        <v>9</v>
      </c>
    </row>
    <row r="49" spans="1:24">
      <c r="A49" t="s">
        <v>922</v>
      </c>
      <c r="B49" s="8">
        <v>45775</v>
      </c>
      <c r="C49" t="s">
        <v>414</v>
      </c>
      <c r="D49" t="s">
        <v>751</v>
      </c>
      <c r="E49">
        <v>1</v>
      </c>
      <c r="F49">
        <v>150000</v>
      </c>
      <c r="G49">
        <v>150000</v>
      </c>
      <c r="H49" t="s">
        <v>879</v>
      </c>
      <c r="I49">
        <v>30000</v>
      </c>
      <c r="J49">
        <v>30000</v>
      </c>
      <c r="K49">
        <v>150000</v>
      </c>
      <c r="L49" t="s">
        <v>873</v>
      </c>
      <c r="M49" t="s">
        <v>881</v>
      </c>
      <c r="N49" t="s">
        <v>911</v>
      </c>
      <c r="O49" s="9">
        <v>45748</v>
      </c>
      <c r="P49" t="s">
        <v>892</v>
      </c>
      <c r="Q49">
        <v>120000</v>
      </c>
      <c r="R49" t="s">
        <v>752</v>
      </c>
      <c r="S49" t="s">
        <v>731</v>
      </c>
      <c r="T49" t="s">
        <v>732</v>
      </c>
      <c r="U49" t="s">
        <v>415</v>
      </c>
      <c r="V49" t="s">
        <v>23</v>
      </c>
      <c r="W49" t="s">
        <v>39</v>
      </c>
      <c r="X49" t="s">
        <v>24</v>
      </c>
    </row>
    <row r="50" spans="1:24">
      <c r="A50" t="s">
        <v>1063</v>
      </c>
      <c r="B50" s="8">
        <v>45800</v>
      </c>
      <c r="C50" t="s">
        <v>414</v>
      </c>
      <c r="D50" t="s">
        <v>829</v>
      </c>
      <c r="E50">
        <v>3</v>
      </c>
      <c r="F50">
        <v>500000</v>
      </c>
      <c r="G50">
        <v>1500000</v>
      </c>
      <c r="H50" t="s">
        <v>886</v>
      </c>
      <c r="I50">
        <v>150000</v>
      </c>
      <c r="J50">
        <v>10000</v>
      </c>
      <c r="K50">
        <v>1360000</v>
      </c>
      <c r="L50" t="s">
        <v>873</v>
      </c>
      <c r="M50" t="s">
        <v>903</v>
      </c>
      <c r="N50" t="s">
        <v>890</v>
      </c>
      <c r="O50" s="9">
        <v>45778</v>
      </c>
      <c r="P50" t="s">
        <v>892</v>
      </c>
      <c r="Q50">
        <v>1350000</v>
      </c>
      <c r="R50" t="s">
        <v>830</v>
      </c>
      <c r="S50" t="s">
        <v>743</v>
      </c>
      <c r="T50" t="s">
        <v>744</v>
      </c>
      <c r="U50" t="s">
        <v>415</v>
      </c>
      <c r="V50" t="s">
        <v>23</v>
      </c>
      <c r="W50" t="s">
        <v>39</v>
      </c>
      <c r="X50" t="s">
        <v>24</v>
      </c>
    </row>
    <row r="51" spans="1:24">
      <c r="A51" t="s">
        <v>927</v>
      </c>
      <c r="B51" s="8">
        <v>45696</v>
      </c>
      <c r="C51" t="s">
        <v>44</v>
      </c>
      <c r="D51" t="s">
        <v>847</v>
      </c>
      <c r="E51">
        <v>1</v>
      </c>
      <c r="F51">
        <v>100000</v>
      </c>
      <c r="G51">
        <v>100000</v>
      </c>
      <c r="H51" t="s">
        <v>886</v>
      </c>
      <c r="I51">
        <v>10000</v>
      </c>
      <c r="J51">
        <v>30000</v>
      </c>
      <c r="K51">
        <v>120000</v>
      </c>
      <c r="L51" t="s">
        <v>873</v>
      </c>
      <c r="M51" t="s">
        <v>901</v>
      </c>
      <c r="N51" t="s">
        <v>875</v>
      </c>
      <c r="O51" s="9">
        <v>45689</v>
      </c>
      <c r="P51" t="s">
        <v>877</v>
      </c>
      <c r="Q51">
        <v>90000</v>
      </c>
      <c r="R51" t="s">
        <v>848</v>
      </c>
      <c r="S51" t="s">
        <v>731</v>
      </c>
      <c r="T51" t="s">
        <v>732</v>
      </c>
      <c r="U51" t="s">
        <v>45</v>
      </c>
      <c r="V51" t="s">
        <v>7</v>
      </c>
      <c r="W51" t="s">
        <v>46</v>
      </c>
      <c r="X51" t="s">
        <v>24</v>
      </c>
    </row>
    <row r="52" spans="1:24">
      <c r="A52" t="s">
        <v>957</v>
      </c>
      <c r="B52" s="8">
        <v>45750</v>
      </c>
      <c r="C52" t="s">
        <v>636</v>
      </c>
      <c r="D52" t="s">
        <v>751</v>
      </c>
      <c r="E52">
        <v>4</v>
      </c>
      <c r="F52">
        <v>150000</v>
      </c>
      <c r="G52">
        <v>600000</v>
      </c>
      <c r="H52" t="s">
        <v>886</v>
      </c>
      <c r="I52">
        <v>60000</v>
      </c>
      <c r="J52">
        <v>25000</v>
      </c>
      <c r="K52">
        <v>565000</v>
      </c>
      <c r="L52" t="s">
        <v>884</v>
      </c>
      <c r="M52" t="s">
        <v>881</v>
      </c>
      <c r="N52" t="s">
        <v>875</v>
      </c>
      <c r="O52" s="9">
        <v>45748</v>
      </c>
      <c r="P52" t="s">
        <v>877</v>
      </c>
      <c r="Q52">
        <v>540000</v>
      </c>
      <c r="R52" t="s">
        <v>752</v>
      </c>
      <c r="S52" t="s">
        <v>731</v>
      </c>
      <c r="T52" t="s">
        <v>732</v>
      </c>
      <c r="U52" t="s">
        <v>637</v>
      </c>
      <c r="V52" t="s">
        <v>7</v>
      </c>
      <c r="W52" t="s">
        <v>29</v>
      </c>
      <c r="X52" t="s">
        <v>9</v>
      </c>
    </row>
    <row r="53" spans="1:24">
      <c r="A53" t="s">
        <v>970</v>
      </c>
      <c r="B53" s="8">
        <v>45776</v>
      </c>
      <c r="C53" t="s">
        <v>636</v>
      </c>
      <c r="D53" t="s">
        <v>845</v>
      </c>
      <c r="E53">
        <v>1</v>
      </c>
      <c r="F53">
        <v>300000</v>
      </c>
      <c r="G53">
        <v>300000</v>
      </c>
      <c r="H53" t="s">
        <v>872</v>
      </c>
      <c r="I53">
        <v>0</v>
      </c>
      <c r="J53">
        <v>10000</v>
      </c>
      <c r="K53">
        <v>310000</v>
      </c>
      <c r="L53" t="s">
        <v>889</v>
      </c>
      <c r="M53" t="s">
        <v>881</v>
      </c>
      <c r="N53" t="s">
        <v>875</v>
      </c>
      <c r="O53" s="9">
        <v>45748</v>
      </c>
      <c r="P53" t="s">
        <v>877</v>
      </c>
      <c r="Q53">
        <v>300000</v>
      </c>
      <c r="R53" t="s">
        <v>846</v>
      </c>
      <c r="S53" t="s">
        <v>727</v>
      </c>
      <c r="T53" t="s">
        <v>728</v>
      </c>
      <c r="U53" t="s">
        <v>637</v>
      </c>
      <c r="V53" t="s">
        <v>7</v>
      </c>
      <c r="W53" t="s">
        <v>29</v>
      </c>
      <c r="X53" t="s">
        <v>9</v>
      </c>
    </row>
    <row r="54" spans="1:24">
      <c r="A54" t="s">
        <v>1151</v>
      </c>
      <c r="B54" s="8">
        <v>45780</v>
      </c>
      <c r="C54" t="s">
        <v>47</v>
      </c>
      <c r="D54" t="s">
        <v>729</v>
      </c>
      <c r="E54">
        <v>1</v>
      </c>
      <c r="F54">
        <v>100000</v>
      </c>
      <c r="G54">
        <v>100000</v>
      </c>
      <c r="H54" t="s">
        <v>886</v>
      </c>
      <c r="I54">
        <v>10000</v>
      </c>
      <c r="J54">
        <v>15000</v>
      </c>
      <c r="K54">
        <v>105000</v>
      </c>
      <c r="L54" t="s">
        <v>873</v>
      </c>
      <c r="M54" t="s">
        <v>874</v>
      </c>
      <c r="N54" t="s">
        <v>875</v>
      </c>
      <c r="O54" s="9">
        <v>45778</v>
      </c>
      <c r="P54" t="s">
        <v>877</v>
      </c>
      <c r="Q54">
        <v>90000</v>
      </c>
      <c r="R54" t="s">
        <v>730</v>
      </c>
      <c r="S54" t="s">
        <v>731</v>
      </c>
      <c r="T54" t="s">
        <v>732</v>
      </c>
      <c r="U54" t="s">
        <v>48</v>
      </c>
      <c r="V54" t="s">
        <v>23</v>
      </c>
      <c r="W54" t="s">
        <v>36</v>
      </c>
      <c r="X54" t="s">
        <v>9</v>
      </c>
    </row>
    <row r="55" spans="1:24">
      <c r="A55" t="s">
        <v>897</v>
      </c>
      <c r="B55" s="8">
        <v>45729</v>
      </c>
      <c r="C55" t="s">
        <v>125</v>
      </c>
      <c r="D55" t="s">
        <v>849</v>
      </c>
      <c r="E55">
        <v>4</v>
      </c>
      <c r="F55">
        <v>500000</v>
      </c>
      <c r="G55">
        <v>2000000</v>
      </c>
      <c r="H55" t="s">
        <v>872</v>
      </c>
      <c r="I55">
        <v>0</v>
      </c>
      <c r="J55">
        <v>15000</v>
      </c>
      <c r="K55">
        <v>2015000</v>
      </c>
      <c r="L55" t="s">
        <v>880</v>
      </c>
      <c r="M55" t="s">
        <v>874</v>
      </c>
      <c r="N55" t="s">
        <v>875</v>
      </c>
      <c r="O55" s="9">
        <v>45717</v>
      </c>
      <c r="P55" t="s">
        <v>877</v>
      </c>
      <c r="Q55">
        <v>2000000</v>
      </c>
      <c r="R55" t="s">
        <v>850</v>
      </c>
      <c r="S55" t="s">
        <v>735</v>
      </c>
      <c r="T55" t="s">
        <v>736</v>
      </c>
      <c r="U55" t="s">
        <v>126</v>
      </c>
      <c r="V55" t="s">
        <v>23</v>
      </c>
      <c r="W55" t="s">
        <v>56</v>
      </c>
      <c r="X55" t="s">
        <v>9</v>
      </c>
    </row>
    <row r="56" spans="1:24">
      <c r="A56" t="s">
        <v>936</v>
      </c>
      <c r="B56" s="8">
        <v>45662</v>
      </c>
      <c r="C56" t="s">
        <v>125</v>
      </c>
      <c r="D56" t="s">
        <v>829</v>
      </c>
      <c r="E56">
        <v>4</v>
      </c>
      <c r="F56">
        <v>500000</v>
      </c>
      <c r="G56">
        <v>2000000</v>
      </c>
      <c r="H56" t="s">
        <v>886</v>
      </c>
      <c r="I56">
        <v>200000</v>
      </c>
      <c r="J56">
        <v>20000</v>
      </c>
      <c r="K56">
        <v>1820000</v>
      </c>
      <c r="L56" t="s">
        <v>880</v>
      </c>
      <c r="M56" t="s">
        <v>903</v>
      </c>
      <c r="N56" t="s">
        <v>911</v>
      </c>
      <c r="O56" s="9">
        <v>45658</v>
      </c>
      <c r="P56" t="s">
        <v>892</v>
      </c>
      <c r="Q56">
        <v>1800000</v>
      </c>
      <c r="R56" t="s">
        <v>830</v>
      </c>
      <c r="S56" t="s">
        <v>743</v>
      </c>
      <c r="T56" t="s">
        <v>744</v>
      </c>
      <c r="U56" t="s">
        <v>126</v>
      </c>
      <c r="V56" t="s">
        <v>23</v>
      </c>
      <c r="W56" t="s">
        <v>56</v>
      </c>
      <c r="X56" t="s">
        <v>9</v>
      </c>
    </row>
    <row r="57" spans="1:24">
      <c r="A57" t="s">
        <v>1155</v>
      </c>
      <c r="B57" s="8">
        <v>45667</v>
      </c>
      <c r="C57" t="s">
        <v>125</v>
      </c>
      <c r="D57" t="s">
        <v>839</v>
      </c>
      <c r="E57">
        <v>2</v>
      </c>
      <c r="F57">
        <v>200000</v>
      </c>
      <c r="G57">
        <v>400000</v>
      </c>
      <c r="H57" t="s">
        <v>872</v>
      </c>
      <c r="I57">
        <v>0</v>
      </c>
      <c r="J57">
        <v>30000</v>
      </c>
      <c r="K57">
        <v>430000</v>
      </c>
      <c r="L57" t="s">
        <v>889</v>
      </c>
      <c r="M57" t="s">
        <v>874</v>
      </c>
      <c r="N57" t="s">
        <v>890</v>
      </c>
      <c r="O57" s="9">
        <v>45658</v>
      </c>
      <c r="P57" t="s">
        <v>892</v>
      </c>
      <c r="Q57">
        <v>400000</v>
      </c>
      <c r="R57" t="s">
        <v>840</v>
      </c>
      <c r="S57" t="s">
        <v>739</v>
      </c>
      <c r="T57" t="s">
        <v>740</v>
      </c>
      <c r="U57" t="s">
        <v>126</v>
      </c>
      <c r="V57" t="s">
        <v>23</v>
      </c>
      <c r="W57" t="s">
        <v>56</v>
      </c>
      <c r="X57" t="s">
        <v>9</v>
      </c>
    </row>
    <row r="58" spans="1:24">
      <c r="A58" t="s">
        <v>1040</v>
      </c>
      <c r="B58" s="8">
        <v>45809</v>
      </c>
      <c r="C58" t="s">
        <v>49</v>
      </c>
      <c r="D58" t="s">
        <v>741</v>
      </c>
      <c r="E58">
        <v>2</v>
      </c>
      <c r="F58">
        <v>75000</v>
      </c>
      <c r="G58">
        <v>150000</v>
      </c>
      <c r="H58" t="s">
        <v>879</v>
      </c>
      <c r="I58">
        <v>30000</v>
      </c>
      <c r="J58">
        <v>25000</v>
      </c>
      <c r="K58">
        <v>145000</v>
      </c>
      <c r="L58" t="s">
        <v>884</v>
      </c>
      <c r="M58" t="s">
        <v>903</v>
      </c>
      <c r="N58" t="s">
        <v>890</v>
      </c>
      <c r="O58" s="9">
        <v>45809</v>
      </c>
      <c r="P58" t="s">
        <v>892</v>
      </c>
      <c r="Q58">
        <v>120000</v>
      </c>
      <c r="R58" t="s">
        <v>742</v>
      </c>
      <c r="S58" t="s">
        <v>743</v>
      </c>
      <c r="T58" t="s">
        <v>744</v>
      </c>
      <c r="U58" t="s">
        <v>50</v>
      </c>
      <c r="V58" t="s">
        <v>23</v>
      </c>
      <c r="W58" t="s">
        <v>51</v>
      </c>
      <c r="X58" t="s">
        <v>9</v>
      </c>
    </row>
    <row r="59" spans="1:24">
      <c r="A59" t="s">
        <v>898</v>
      </c>
      <c r="B59" s="8">
        <v>45692</v>
      </c>
      <c r="C59" t="s">
        <v>210</v>
      </c>
      <c r="D59" t="s">
        <v>783</v>
      </c>
      <c r="E59">
        <v>3</v>
      </c>
      <c r="F59">
        <v>500000</v>
      </c>
      <c r="G59">
        <v>1500000</v>
      </c>
      <c r="H59" t="s">
        <v>872</v>
      </c>
      <c r="I59">
        <v>0</v>
      </c>
      <c r="J59">
        <v>30000</v>
      </c>
      <c r="K59">
        <v>1530000</v>
      </c>
      <c r="L59" t="s">
        <v>880</v>
      </c>
      <c r="M59" t="s">
        <v>874</v>
      </c>
      <c r="N59" t="s">
        <v>875</v>
      </c>
      <c r="O59" s="9">
        <v>45689</v>
      </c>
      <c r="P59" t="s">
        <v>877</v>
      </c>
      <c r="Q59">
        <v>1500000</v>
      </c>
      <c r="R59" t="s">
        <v>784</v>
      </c>
      <c r="S59" t="s">
        <v>747</v>
      </c>
      <c r="T59" t="s">
        <v>748</v>
      </c>
      <c r="U59" t="s">
        <v>211</v>
      </c>
      <c r="V59" t="s">
        <v>23</v>
      </c>
      <c r="W59" t="s">
        <v>56</v>
      </c>
      <c r="X59" t="s">
        <v>15</v>
      </c>
    </row>
    <row r="60" spans="1:24">
      <c r="A60" t="s">
        <v>929</v>
      </c>
      <c r="B60" s="8">
        <v>45675</v>
      </c>
      <c r="C60" t="s">
        <v>210</v>
      </c>
      <c r="D60" t="s">
        <v>805</v>
      </c>
      <c r="E60">
        <v>1</v>
      </c>
      <c r="F60">
        <v>200000</v>
      </c>
      <c r="G60">
        <v>200000</v>
      </c>
      <c r="H60" t="s">
        <v>872</v>
      </c>
      <c r="I60">
        <v>0</v>
      </c>
      <c r="J60">
        <v>30000</v>
      </c>
      <c r="K60">
        <v>230000</v>
      </c>
      <c r="L60" t="s">
        <v>884</v>
      </c>
      <c r="M60" t="s">
        <v>903</v>
      </c>
      <c r="N60" t="s">
        <v>921</v>
      </c>
      <c r="O60" s="9">
        <v>45658</v>
      </c>
      <c r="P60" t="s">
        <v>892</v>
      </c>
      <c r="Q60">
        <v>200000</v>
      </c>
      <c r="R60" t="s">
        <v>806</v>
      </c>
      <c r="S60" t="s">
        <v>743</v>
      </c>
      <c r="T60" t="s">
        <v>744</v>
      </c>
      <c r="U60" t="s">
        <v>211</v>
      </c>
      <c r="V60" t="s">
        <v>23</v>
      </c>
      <c r="W60" t="s">
        <v>56</v>
      </c>
      <c r="X60" t="s">
        <v>15</v>
      </c>
    </row>
    <row r="61" spans="1:24">
      <c r="A61" t="s">
        <v>940</v>
      </c>
      <c r="B61" s="8">
        <v>45796</v>
      </c>
      <c r="C61" t="s">
        <v>470</v>
      </c>
      <c r="D61" t="s">
        <v>783</v>
      </c>
      <c r="E61">
        <v>2</v>
      </c>
      <c r="F61">
        <v>500000</v>
      </c>
      <c r="G61">
        <v>1000000</v>
      </c>
      <c r="H61" t="s">
        <v>872</v>
      </c>
      <c r="I61">
        <v>0</v>
      </c>
      <c r="J61">
        <v>15000</v>
      </c>
      <c r="K61">
        <v>1015000</v>
      </c>
      <c r="L61" t="s">
        <v>884</v>
      </c>
      <c r="M61" t="s">
        <v>901</v>
      </c>
      <c r="N61" t="s">
        <v>875</v>
      </c>
      <c r="O61" s="9">
        <v>45778</v>
      </c>
      <c r="P61" t="s">
        <v>877</v>
      </c>
      <c r="Q61">
        <v>1000000</v>
      </c>
      <c r="R61" t="s">
        <v>784</v>
      </c>
      <c r="S61" t="s">
        <v>747</v>
      </c>
      <c r="T61" t="s">
        <v>748</v>
      </c>
      <c r="U61" t="s">
        <v>471</v>
      </c>
      <c r="V61" t="s">
        <v>7</v>
      </c>
      <c r="W61" t="s">
        <v>36</v>
      </c>
      <c r="X61" t="s">
        <v>24</v>
      </c>
    </row>
    <row r="62" spans="1:24">
      <c r="A62" t="s">
        <v>952</v>
      </c>
      <c r="B62" s="8">
        <v>45831</v>
      </c>
      <c r="C62" t="s">
        <v>470</v>
      </c>
      <c r="D62" t="s">
        <v>793</v>
      </c>
      <c r="E62">
        <v>2</v>
      </c>
      <c r="F62">
        <v>500000</v>
      </c>
      <c r="G62">
        <v>1000000</v>
      </c>
      <c r="H62" t="s">
        <v>886</v>
      </c>
      <c r="I62">
        <v>100000</v>
      </c>
      <c r="J62">
        <v>30000</v>
      </c>
      <c r="K62">
        <v>930000</v>
      </c>
      <c r="L62" t="s">
        <v>884</v>
      </c>
      <c r="M62" t="s">
        <v>881</v>
      </c>
      <c r="N62" t="s">
        <v>875</v>
      </c>
      <c r="O62" s="9">
        <v>45809</v>
      </c>
      <c r="P62" t="s">
        <v>877</v>
      </c>
      <c r="Q62">
        <v>900000</v>
      </c>
      <c r="R62" t="s">
        <v>794</v>
      </c>
      <c r="S62" t="s">
        <v>743</v>
      </c>
      <c r="T62" t="s">
        <v>744</v>
      </c>
      <c r="U62" t="s">
        <v>471</v>
      </c>
      <c r="V62" t="s">
        <v>7</v>
      </c>
      <c r="W62" t="s">
        <v>36</v>
      </c>
      <c r="X62" t="s">
        <v>24</v>
      </c>
    </row>
    <row r="63" spans="1:24">
      <c r="A63" t="s">
        <v>1182</v>
      </c>
      <c r="B63" s="8">
        <v>45835</v>
      </c>
      <c r="C63" t="s">
        <v>470</v>
      </c>
      <c r="D63" t="s">
        <v>765</v>
      </c>
      <c r="E63">
        <v>2</v>
      </c>
      <c r="F63">
        <v>500000</v>
      </c>
      <c r="G63">
        <v>1000000</v>
      </c>
      <c r="H63" t="s">
        <v>872</v>
      </c>
      <c r="I63">
        <v>0</v>
      </c>
      <c r="J63">
        <v>15000</v>
      </c>
      <c r="K63">
        <v>1015000</v>
      </c>
      <c r="L63" t="s">
        <v>880</v>
      </c>
      <c r="M63" t="s">
        <v>903</v>
      </c>
      <c r="N63" t="s">
        <v>911</v>
      </c>
      <c r="O63" s="9">
        <v>45809</v>
      </c>
      <c r="P63" t="s">
        <v>892</v>
      </c>
      <c r="Q63">
        <v>1000000</v>
      </c>
      <c r="R63" t="s">
        <v>766</v>
      </c>
      <c r="S63" t="s">
        <v>735</v>
      </c>
      <c r="T63" t="s">
        <v>736</v>
      </c>
      <c r="U63" t="s">
        <v>471</v>
      </c>
      <c r="V63" t="s">
        <v>7</v>
      </c>
      <c r="W63" t="s">
        <v>36</v>
      </c>
      <c r="X63" t="s">
        <v>24</v>
      </c>
    </row>
    <row r="64" spans="1:24">
      <c r="A64" t="s">
        <v>1010</v>
      </c>
      <c r="B64" s="8">
        <v>45703</v>
      </c>
      <c r="C64" t="s">
        <v>54</v>
      </c>
      <c r="D64" t="s">
        <v>737</v>
      </c>
      <c r="E64">
        <v>1</v>
      </c>
      <c r="F64">
        <v>300000</v>
      </c>
      <c r="G64">
        <v>300000</v>
      </c>
      <c r="H64" t="s">
        <v>872</v>
      </c>
      <c r="I64">
        <v>0</v>
      </c>
      <c r="J64">
        <v>30000</v>
      </c>
      <c r="K64">
        <v>330000</v>
      </c>
      <c r="L64" t="s">
        <v>880</v>
      </c>
      <c r="M64" t="s">
        <v>901</v>
      </c>
      <c r="N64" t="s">
        <v>875</v>
      </c>
      <c r="O64" s="9">
        <v>45689</v>
      </c>
      <c r="P64" t="s">
        <v>877</v>
      </c>
      <c r="Q64">
        <v>300000</v>
      </c>
      <c r="R64" t="s">
        <v>738</v>
      </c>
      <c r="S64" t="s">
        <v>739</v>
      </c>
      <c r="T64" t="s">
        <v>740</v>
      </c>
      <c r="U64" t="s">
        <v>55</v>
      </c>
      <c r="V64" t="s">
        <v>7</v>
      </c>
      <c r="W64" t="s">
        <v>56</v>
      </c>
      <c r="X64" t="s">
        <v>24</v>
      </c>
    </row>
    <row r="65" spans="1:24">
      <c r="A65" t="s">
        <v>973</v>
      </c>
      <c r="B65" s="8">
        <v>45765</v>
      </c>
      <c r="C65" t="s">
        <v>57</v>
      </c>
      <c r="D65" t="s">
        <v>855</v>
      </c>
      <c r="E65">
        <v>1</v>
      </c>
      <c r="F65">
        <v>150000</v>
      </c>
      <c r="G65">
        <v>150000</v>
      </c>
      <c r="H65" t="s">
        <v>872</v>
      </c>
      <c r="I65">
        <v>0</v>
      </c>
      <c r="J65">
        <v>15000</v>
      </c>
      <c r="K65">
        <v>165000</v>
      </c>
      <c r="L65" t="s">
        <v>884</v>
      </c>
      <c r="M65" t="s">
        <v>874</v>
      </c>
      <c r="N65" t="s">
        <v>905</v>
      </c>
      <c r="O65" s="9">
        <v>45748</v>
      </c>
      <c r="P65" t="s">
        <v>892</v>
      </c>
      <c r="Q65">
        <v>150000</v>
      </c>
      <c r="R65" t="s">
        <v>856</v>
      </c>
      <c r="S65" t="s">
        <v>747</v>
      </c>
      <c r="T65" t="s">
        <v>748</v>
      </c>
      <c r="U65" t="s">
        <v>58</v>
      </c>
      <c r="V65" t="s">
        <v>23</v>
      </c>
      <c r="W65" t="s">
        <v>8</v>
      </c>
      <c r="X65" t="s">
        <v>9</v>
      </c>
    </row>
    <row r="66" spans="1:24">
      <c r="A66" t="s">
        <v>1058</v>
      </c>
      <c r="B66" s="8">
        <v>45714</v>
      </c>
      <c r="C66" t="s">
        <v>57</v>
      </c>
      <c r="D66" t="s">
        <v>769</v>
      </c>
      <c r="E66">
        <v>4</v>
      </c>
      <c r="F66">
        <v>100000</v>
      </c>
      <c r="G66">
        <v>400000</v>
      </c>
      <c r="H66" t="s">
        <v>872</v>
      </c>
      <c r="I66">
        <v>0</v>
      </c>
      <c r="J66">
        <v>15000</v>
      </c>
      <c r="K66">
        <v>415000</v>
      </c>
      <c r="L66" t="s">
        <v>884</v>
      </c>
      <c r="M66" t="s">
        <v>881</v>
      </c>
      <c r="N66" t="s">
        <v>905</v>
      </c>
      <c r="O66" s="9">
        <v>45689</v>
      </c>
      <c r="P66" t="s">
        <v>892</v>
      </c>
      <c r="Q66">
        <v>400000</v>
      </c>
      <c r="R66" t="s">
        <v>770</v>
      </c>
      <c r="S66" t="s">
        <v>743</v>
      </c>
      <c r="T66" t="s">
        <v>744</v>
      </c>
      <c r="U66" t="s">
        <v>58</v>
      </c>
      <c r="V66" t="s">
        <v>23</v>
      </c>
      <c r="W66" t="s">
        <v>8</v>
      </c>
      <c r="X66" t="s">
        <v>9</v>
      </c>
    </row>
    <row r="67" spans="1:24">
      <c r="A67" t="s">
        <v>900</v>
      </c>
      <c r="B67" s="8">
        <v>45804</v>
      </c>
      <c r="C67" t="s">
        <v>89</v>
      </c>
      <c r="D67" t="s">
        <v>793</v>
      </c>
      <c r="E67">
        <v>2</v>
      </c>
      <c r="F67">
        <v>500000</v>
      </c>
      <c r="G67">
        <v>1000000</v>
      </c>
      <c r="H67" t="s">
        <v>872</v>
      </c>
      <c r="I67">
        <v>0</v>
      </c>
      <c r="J67">
        <v>15000</v>
      </c>
      <c r="K67">
        <v>1015000</v>
      </c>
      <c r="L67" t="s">
        <v>880</v>
      </c>
      <c r="M67" t="s">
        <v>901</v>
      </c>
      <c r="N67" t="s">
        <v>890</v>
      </c>
      <c r="O67" s="9">
        <v>45778</v>
      </c>
      <c r="P67" t="s">
        <v>892</v>
      </c>
      <c r="Q67">
        <v>1000000</v>
      </c>
      <c r="R67" t="s">
        <v>794</v>
      </c>
      <c r="S67" t="s">
        <v>743</v>
      </c>
      <c r="T67" t="s">
        <v>744</v>
      </c>
      <c r="U67" t="s">
        <v>90</v>
      </c>
      <c r="V67" t="s">
        <v>23</v>
      </c>
      <c r="W67" t="s">
        <v>46</v>
      </c>
      <c r="X67" t="s">
        <v>9</v>
      </c>
    </row>
    <row r="68" spans="1:24">
      <c r="A68" t="s">
        <v>1168</v>
      </c>
      <c r="B68" s="8">
        <v>45757</v>
      </c>
      <c r="C68" t="s">
        <v>59</v>
      </c>
      <c r="D68" t="s">
        <v>855</v>
      </c>
      <c r="E68">
        <v>1</v>
      </c>
      <c r="F68">
        <v>150000</v>
      </c>
      <c r="G68">
        <v>150000</v>
      </c>
      <c r="H68" t="s">
        <v>895</v>
      </c>
      <c r="I68">
        <v>22500</v>
      </c>
      <c r="J68">
        <v>30000</v>
      </c>
      <c r="K68">
        <v>157500</v>
      </c>
      <c r="L68" t="s">
        <v>889</v>
      </c>
      <c r="M68" t="s">
        <v>903</v>
      </c>
      <c r="N68" t="s">
        <v>875</v>
      </c>
      <c r="O68" s="9">
        <v>45748</v>
      </c>
      <c r="P68" t="s">
        <v>877</v>
      </c>
      <c r="Q68">
        <v>127500</v>
      </c>
      <c r="R68" t="s">
        <v>856</v>
      </c>
      <c r="S68" t="s">
        <v>747</v>
      </c>
      <c r="T68" t="s">
        <v>748</v>
      </c>
      <c r="U68" t="s">
        <v>60</v>
      </c>
      <c r="V68" t="s">
        <v>7</v>
      </c>
      <c r="W68" t="s">
        <v>39</v>
      </c>
      <c r="X68" t="s">
        <v>15</v>
      </c>
    </row>
    <row r="69" spans="1:24">
      <c r="A69" t="s">
        <v>1243</v>
      </c>
      <c r="B69" s="8">
        <v>45749</v>
      </c>
      <c r="C69" t="s">
        <v>59</v>
      </c>
      <c r="D69" t="s">
        <v>835</v>
      </c>
      <c r="E69">
        <v>4</v>
      </c>
      <c r="F69">
        <v>200000</v>
      </c>
      <c r="G69">
        <v>800000</v>
      </c>
      <c r="H69" t="s">
        <v>872</v>
      </c>
      <c r="I69">
        <v>0</v>
      </c>
      <c r="J69">
        <v>30000</v>
      </c>
      <c r="K69">
        <v>830000</v>
      </c>
      <c r="L69" t="s">
        <v>880</v>
      </c>
      <c r="M69" t="s">
        <v>881</v>
      </c>
      <c r="N69" t="s">
        <v>890</v>
      </c>
      <c r="O69" s="9">
        <v>45748</v>
      </c>
      <c r="P69" t="s">
        <v>892</v>
      </c>
      <c r="Q69">
        <v>800000</v>
      </c>
      <c r="R69" t="s">
        <v>836</v>
      </c>
      <c r="S69" t="s">
        <v>731</v>
      </c>
      <c r="T69" t="s">
        <v>732</v>
      </c>
      <c r="U69" t="s">
        <v>60</v>
      </c>
      <c r="V69" t="s">
        <v>7</v>
      </c>
      <c r="W69" t="s">
        <v>39</v>
      </c>
      <c r="X69" t="s">
        <v>15</v>
      </c>
    </row>
    <row r="70" spans="1:24">
      <c r="A70" t="s">
        <v>1049</v>
      </c>
      <c r="B70" s="8">
        <v>45746</v>
      </c>
      <c r="C70" t="s">
        <v>61</v>
      </c>
      <c r="D70" t="s">
        <v>791</v>
      </c>
      <c r="E70">
        <v>2</v>
      </c>
      <c r="F70">
        <v>50000</v>
      </c>
      <c r="G70">
        <v>100000</v>
      </c>
      <c r="H70" t="s">
        <v>895</v>
      </c>
      <c r="I70">
        <v>15000</v>
      </c>
      <c r="J70">
        <v>20000</v>
      </c>
      <c r="K70">
        <v>105000</v>
      </c>
      <c r="L70" t="s">
        <v>889</v>
      </c>
      <c r="M70" t="s">
        <v>901</v>
      </c>
      <c r="N70" t="s">
        <v>890</v>
      </c>
      <c r="O70" s="9">
        <v>45717</v>
      </c>
      <c r="P70" t="s">
        <v>892</v>
      </c>
      <c r="Q70">
        <v>85000</v>
      </c>
      <c r="R70" t="s">
        <v>792</v>
      </c>
      <c r="S70" t="s">
        <v>739</v>
      </c>
      <c r="T70" t="s">
        <v>740</v>
      </c>
      <c r="U70" t="s">
        <v>62</v>
      </c>
      <c r="V70" t="s">
        <v>23</v>
      </c>
      <c r="W70" t="s">
        <v>39</v>
      </c>
      <c r="X70" t="s">
        <v>24</v>
      </c>
    </row>
    <row r="71" spans="1:24">
      <c r="A71" t="s">
        <v>1217</v>
      </c>
      <c r="B71" s="8">
        <v>45777</v>
      </c>
      <c r="C71" t="s">
        <v>61</v>
      </c>
      <c r="D71" t="s">
        <v>837</v>
      </c>
      <c r="E71">
        <v>1</v>
      </c>
      <c r="F71">
        <v>300000</v>
      </c>
      <c r="G71">
        <v>300000</v>
      </c>
      <c r="H71" t="s">
        <v>879</v>
      </c>
      <c r="I71">
        <v>60000</v>
      </c>
      <c r="J71">
        <v>15000</v>
      </c>
      <c r="K71">
        <v>255000</v>
      </c>
      <c r="L71" t="s">
        <v>884</v>
      </c>
      <c r="M71" t="s">
        <v>874</v>
      </c>
      <c r="N71" t="s">
        <v>890</v>
      </c>
      <c r="O71" s="9">
        <v>45748</v>
      </c>
      <c r="P71" t="s">
        <v>892</v>
      </c>
      <c r="Q71">
        <v>240000</v>
      </c>
      <c r="R71" t="s">
        <v>838</v>
      </c>
      <c r="S71" t="s">
        <v>735</v>
      </c>
      <c r="T71" t="s">
        <v>736</v>
      </c>
      <c r="U71" t="s">
        <v>62</v>
      </c>
      <c r="V71" t="s">
        <v>23</v>
      </c>
      <c r="W71" t="s">
        <v>39</v>
      </c>
      <c r="X71" t="s">
        <v>24</v>
      </c>
    </row>
    <row r="72" spans="1:24">
      <c r="A72" t="s">
        <v>902</v>
      </c>
      <c r="B72" s="8">
        <v>45787</v>
      </c>
      <c r="C72" t="s">
        <v>408</v>
      </c>
      <c r="D72" t="s">
        <v>781</v>
      </c>
      <c r="E72">
        <v>4</v>
      </c>
      <c r="F72">
        <v>50000</v>
      </c>
      <c r="G72">
        <v>200000</v>
      </c>
      <c r="H72" t="s">
        <v>895</v>
      </c>
      <c r="I72">
        <v>30000</v>
      </c>
      <c r="J72">
        <v>10000</v>
      </c>
      <c r="K72">
        <v>180000</v>
      </c>
      <c r="L72" t="s">
        <v>873</v>
      </c>
      <c r="M72" t="s">
        <v>903</v>
      </c>
      <c r="N72" t="s">
        <v>875</v>
      </c>
      <c r="O72" s="9">
        <v>45778</v>
      </c>
      <c r="P72" t="s">
        <v>877</v>
      </c>
      <c r="Q72">
        <v>170000</v>
      </c>
      <c r="R72" t="s">
        <v>782</v>
      </c>
      <c r="S72" t="s">
        <v>743</v>
      </c>
      <c r="T72" t="s">
        <v>744</v>
      </c>
      <c r="U72" t="s">
        <v>409</v>
      </c>
      <c r="V72" t="s">
        <v>7</v>
      </c>
      <c r="W72" t="s">
        <v>8</v>
      </c>
      <c r="X72" t="s">
        <v>24</v>
      </c>
    </row>
    <row r="73" spans="1:24">
      <c r="A73" t="s">
        <v>1200</v>
      </c>
      <c r="B73" s="8">
        <v>45822</v>
      </c>
      <c r="C73" t="s">
        <v>408</v>
      </c>
      <c r="D73" t="s">
        <v>829</v>
      </c>
      <c r="E73">
        <v>1</v>
      </c>
      <c r="F73">
        <v>500000</v>
      </c>
      <c r="G73">
        <v>500000</v>
      </c>
      <c r="H73" t="s">
        <v>895</v>
      </c>
      <c r="I73">
        <v>75000</v>
      </c>
      <c r="J73">
        <v>15000</v>
      </c>
      <c r="K73">
        <v>440000</v>
      </c>
      <c r="L73" t="s">
        <v>884</v>
      </c>
      <c r="M73" t="s">
        <v>903</v>
      </c>
      <c r="N73" t="s">
        <v>905</v>
      </c>
      <c r="O73" s="9">
        <v>45809</v>
      </c>
      <c r="P73" t="s">
        <v>892</v>
      </c>
      <c r="Q73">
        <v>425000</v>
      </c>
      <c r="R73" t="s">
        <v>830</v>
      </c>
      <c r="S73" t="s">
        <v>743</v>
      </c>
      <c r="T73" t="s">
        <v>744</v>
      </c>
      <c r="U73" t="s">
        <v>409</v>
      </c>
      <c r="V73" t="s">
        <v>7</v>
      </c>
      <c r="W73" t="s">
        <v>8</v>
      </c>
      <c r="X73" t="s">
        <v>24</v>
      </c>
    </row>
    <row r="74" spans="1:24">
      <c r="A74" t="s">
        <v>945</v>
      </c>
      <c r="B74" s="8">
        <v>45688</v>
      </c>
      <c r="C74" t="s">
        <v>63</v>
      </c>
      <c r="D74" t="s">
        <v>819</v>
      </c>
      <c r="E74">
        <v>1</v>
      </c>
      <c r="F74">
        <v>300000</v>
      </c>
      <c r="G74">
        <v>300000</v>
      </c>
      <c r="H74" t="s">
        <v>872</v>
      </c>
      <c r="I74">
        <v>0</v>
      </c>
      <c r="J74">
        <v>25000</v>
      </c>
      <c r="K74">
        <v>325000</v>
      </c>
      <c r="L74" t="s">
        <v>889</v>
      </c>
      <c r="M74" t="s">
        <v>881</v>
      </c>
      <c r="N74" t="s">
        <v>905</v>
      </c>
      <c r="O74" s="9">
        <v>45658</v>
      </c>
      <c r="P74" t="s">
        <v>892</v>
      </c>
      <c r="Q74">
        <v>300000</v>
      </c>
      <c r="R74" t="s">
        <v>820</v>
      </c>
      <c r="S74" t="s">
        <v>747</v>
      </c>
      <c r="T74" t="s">
        <v>748</v>
      </c>
      <c r="U74" t="s">
        <v>64</v>
      </c>
      <c r="V74" t="s">
        <v>7</v>
      </c>
      <c r="W74" t="s">
        <v>8</v>
      </c>
      <c r="X74" t="s">
        <v>15</v>
      </c>
    </row>
    <row r="75" spans="1:24">
      <c r="A75" t="s">
        <v>1149</v>
      </c>
      <c r="B75" s="8">
        <v>45761</v>
      </c>
      <c r="C75" t="s">
        <v>63</v>
      </c>
      <c r="D75" t="s">
        <v>753</v>
      </c>
      <c r="E75">
        <v>1</v>
      </c>
      <c r="F75">
        <v>300000</v>
      </c>
      <c r="G75">
        <v>300000</v>
      </c>
      <c r="H75" t="s">
        <v>872</v>
      </c>
      <c r="I75">
        <v>0</v>
      </c>
      <c r="J75">
        <v>20000</v>
      </c>
      <c r="K75">
        <v>320000</v>
      </c>
      <c r="L75" t="s">
        <v>884</v>
      </c>
      <c r="M75" t="s">
        <v>903</v>
      </c>
      <c r="N75" t="s">
        <v>875</v>
      </c>
      <c r="O75" s="9">
        <v>45748</v>
      </c>
      <c r="P75" t="s">
        <v>877</v>
      </c>
      <c r="Q75">
        <v>300000</v>
      </c>
      <c r="R75" t="s">
        <v>754</v>
      </c>
      <c r="S75" t="s">
        <v>735</v>
      </c>
      <c r="T75" t="s">
        <v>736</v>
      </c>
      <c r="U75" t="s">
        <v>64</v>
      </c>
      <c r="V75" t="s">
        <v>7</v>
      </c>
      <c r="W75" t="s">
        <v>8</v>
      </c>
      <c r="X75" t="s">
        <v>15</v>
      </c>
    </row>
    <row r="76" spans="1:24">
      <c r="A76" t="s">
        <v>1162</v>
      </c>
      <c r="B76" s="8">
        <v>45832</v>
      </c>
      <c r="C76" t="s">
        <v>63</v>
      </c>
      <c r="D76" t="s">
        <v>777</v>
      </c>
      <c r="E76">
        <v>2</v>
      </c>
      <c r="F76">
        <v>200000</v>
      </c>
      <c r="G76">
        <v>400000</v>
      </c>
      <c r="H76" t="s">
        <v>895</v>
      </c>
      <c r="I76">
        <v>60000</v>
      </c>
      <c r="J76">
        <v>10000</v>
      </c>
      <c r="K76">
        <v>350000</v>
      </c>
      <c r="L76" t="s">
        <v>889</v>
      </c>
      <c r="M76" t="s">
        <v>874</v>
      </c>
      <c r="N76" t="s">
        <v>905</v>
      </c>
      <c r="O76" s="9">
        <v>45809</v>
      </c>
      <c r="P76" t="s">
        <v>892</v>
      </c>
      <c r="Q76">
        <v>340000</v>
      </c>
      <c r="R76" t="s">
        <v>778</v>
      </c>
      <c r="S76" t="s">
        <v>735</v>
      </c>
      <c r="T76" t="s">
        <v>736</v>
      </c>
      <c r="U76" t="s">
        <v>64</v>
      </c>
      <c r="V76" t="s">
        <v>7</v>
      </c>
      <c r="W76" t="s">
        <v>8</v>
      </c>
      <c r="X76" t="s">
        <v>15</v>
      </c>
    </row>
    <row r="77" spans="1:24">
      <c r="A77" t="s">
        <v>920</v>
      </c>
      <c r="B77" s="8">
        <v>45712</v>
      </c>
      <c r="C77" t="s">
        <v>624</v>
      </c>
      <c r="D77" t="s">
        <v>759</v>
      </c>
      <c r="E77">
        <v>3</v>
      </c>
      <c r="F77">
        <v>300000</v>
      </c>
      <c r="G77">
        <v>900000</v>
      </c>
      <c r="H77" t="s">
        <v>883</v>
      </c>
      <c r="I77">
        <v>90000</v>
      </c>
      <c r="J77">
        <v>30000</v>
      </c>
      <c r="K77">
        <v>840000</v>
      </c>
      <c r="L77" t="s">
        <v>873</v>
      </c>
      <c r="M77" t="s">
        <v>881</v>
      </c>
      <c r="N77" t="s">
        <v>921</v>
      </c>
      <c r="O77" s="9">
        <v>45689</v>
      </c>
      <c r="P77" t="s">
        <v>892</v>
      </c>
      <c r="Q77">
        <v>810000</v>
      </c>
      <c r="R77" t="s">
        <v>760</v>
      </c>
      <c r="S77" t="s">
        <v>747</v>
      </c>
      <c r="T77" t="s">
        <v>748</v>
      </c>
      <c r="U77" t="s">
        <v>625</v>
      </c>
      <c r="V77" t="s">
        <v>7</v>
      </c>
      <c r="W77" t="s">
        <v>56</v>
      </c>
      <c r="X77" t="s">
        <v>9</v>
      </c>
    </row>
    <row r="78" spans="1:24">
      <c r="A78" t="s">
        <v>1169</v>
      </c>
      <c r="B78" s="8">
        <v>45701</v>
      </c>
      <c r="C78" t="s">
        <v>624</v>
      </c>
      <c r="D78" t="s">
        <v>841</v>
      </c>
      <c r="E78">
        <v>1</v>
      </c>
      <c r="F78">
        <v>75000</v>
      </c>
      <c r="G78">
        <v>75000</v>
      </c>
      <c r="H78" t="s">
        <v>883</v>
      </c>
      <c r="I78">
        <v>7500</v>
      </c>
      <c r="J78">
        <v>10000</v>
      </c>
      <c r="K78">
        <v>77500</v>
      </c>
      <c r="L78" t="s">
        <v>884</v>
      </c>
      <c r="M78" t="s">
        <v>874</v>
      </c>
      <c r="N78" t="s">
        <v>875</v>
      </c>
      <c r="O78" s="9">
        <v>45689</v>
      </c>
      <c r="P78" t="s">
        <v>877</v>
      </c>
      <c r="Q78">
        <v>67500</v>
      </c>
      <c r="R78" t="s">
        <v>842</v>
      </c>
      <c r="S78" t="s">
        <v>743</v>
      </c>
      <c r="T78" t="s">
        <v>744</v>
      </c>
      <c r="U78" t="s">
        <v>625</v>
      </c>
      <c r="V78" t="s">
        <v>7</v>
      </c>
      <c r="W78" t="s">
        <v>56</v>
      </c>
      <c r="X78" t="s">
        <v>9</v>
      </c>
    </row>
    <row r="79" spans="1:24">
      <c r="A79" t="s">
        <v>1204</v>
      </c>
      <c r="B79" s="8">
        <v>45743</v>
      </c>
      <c r="C79" t="s">
        <v>624</v>
      </c>
      <c r="D79" t="s">
        <v>737</v>
      </c>
      <c r="E79">
        <v>2</v>
      </c>
      <c r="F79">
        <v>300000</v>
      </c>
      <c r="G79">
        <v>600000</v>
      </c>
      <c r="H79" t="s">
        <v>895</v>
      </c>
      <c r="I79">
        <v>90000</v>
      </c>
      <c r="J79">
        <v>30000</v>
      </c>
      <c r="K79">
        <v>540000</v>
      </c>
      <c r="L79" t="s">
        <v>873</v>
      </c>
      <c r="M79" t="s">
        <v>874</v>
      </c>
      <c r="N79" t="s">
        <v>875</v>
      </c>
      <c r="O79" s="9">
        <v>45717</v>
      </c>
      <c r="P79" t="s">
        <v>877</v>
      </c>
      <c r="Q79">
        <v>510000</v>
      </c>
      <c r="R79" t="s">
        <v>738</v>
      </c>
      <c r="S79" t="s">
        <v>739</v>
      </c>
      <c r="T79" t="s">
        <v>740</v>
      </c>
      <c r="U79" t="s">
        <v>625</v>
      </c>
      <c r="V79" t="s">
        <v>7</v>
      </c>
      <c r="W79" t="s">
        <v>56</v>
      </c>
      <c r="X79" t="s">
        <v>9</v>
      </c>
    </row>
    <row r="80" spans="1:24">
      <c r="A80" t="s">
        <v>958</v>
      </c>
      <c r="B80" s="8">
        <v>45838</v>
      </c>
      <c r="C80" t="s">
        <v>65</v>
      </c>
      <c r="D80" t="s">
        <v>855</v>
      </c>
      <c r="E80">
        <v>1</v>
      </c>
      <c r="F80">
        <v>150000</v>
      </c>
      <c r="G80">
        <v>150000</v>
      </c>
      <c r="H80" t="s">
        <v>872</v>
      </c>
      <c r="I80">
        <v>0</v>
      </c>
      <c r="J80">
        <v>10000</v>
      </c>
      <c r="K80">
        <v>160000</v>
      </c>
      <c r="L80" t="s">
        <v>873</v>
      </c>
      <c r="M80" t="s">
        <v>901</v>
      </c>
      <c r="N80" t="s">
        <v>875</v>
      </c>
      <c r="O80" s="9">
        <v>45809</v>
      </c>
      <c r="P80" t="s">
        <v>877</v>
      </c>
      <c r="Q80">
        <v>150000</v>
      </c>
      <c r="R80" t="s">
        <v>856</v>
      </c>
      <c r="S80" t="s">
        <v>747</v>
      </c>
      <c r="T80" t="s">
        <v>748</v>
      </c>
      <c r="U80" t="s">
        <v>66</v>
      </c>
      <c r="V80" t="s">
        <v>23</v>
      </c>
      <c r="W80" t="s">
        <v>29</v>
      </c>
      <c r="X80" t="s">
        <v>24</v>
      </c>
    </row>
    <row r="81" spans="1:24">
      <c r="A81" t="s">
        <v>904</v>
      </c>
      <c r="B81" s="8">
        <v>45710</v>
      </c>
      <c r="C81" t="s">
        <v>702</v>
      </c>
      <c r="D81" t="s">
        <v>823</v>
      </c>
      <c r="E81">
        <v>1</v>
      </c>
      <c r="F81">
        <v>500000</v>
      </c>
      <c r="G81">
        <v>500000</v>
      </c>
      <c r="H81" t="s">
        <v>886</v>
      </c>
      <c r="I81">
        <v>50000</v>
      </c>
      <c r="J81">
        <v>10000</v>
      </c>
      <c r="K81">
        <v>460000</v>
      </c>
      <c r="L81" t="s">
        <v>884</v>
      </c>
      <c r="M81" t="s">
        <v>903</v>
      </c>
      <c r="N81" t="s">
        <v>905</v>
      </c>
      <c r="O81" s="9">
        <v>45689</v>
      </c>
      <c r="P81" t="s">
        <v>892</v>
      </c>
      <c r="Q81">
        <v>450000</v>
      </c>
      <c r="R81" t="s">
        <v>824</v>
      </c>
      <c r="S81" t="s">
        <v>731</v>
      </c>
      <c r="T81" t="s">
        <v>732</v>
      </c>
      <c r="U81" t="s">
        <v>703</v>
      </c>
      <c r="V81" t="s">
        <v>23</v>
      </c>
      <c r="W81" t="s">
        <v>20</v>
      </c>
      <c r="X81" t="s">
        <v>9</v>
      </c>
    </row>
    <row r="82" spans="1:24">
      <c r="A82" t="s">
        <v>910</v>
      </c>
      <c r="B82" s="8">
        <v>45763</v>
      </c>
      <c r="C82" t="s">
        <v>702</v>
      </c>
      <c r="D82" t="s">
        <v>777</v>
      </c>
      <c r="E82">
        <v>1</v>
      </c>
      <c r="F82">
        <v>200000</v>
      </c>
      <c r="G82">
        <v>200000</v>
      </c>
      <c r="H82" t="s">
        <v>872</v>
      </c>
      <c r="I82">
        <v>0</v>
      </c>
      <c r="J82">
        <v>30000</v>
      </c>
      <c r="K82">
        <v>230000</v>
      </c>
      <c r="L82" t="s">
        <v>880</v>
      </c>
      <c r="M82" t="s">
        <v>874</v>
      </c>
      <c r="N82" t="s">
        <v>911</v>
      </c>
      <c r="O82" s="9">
        <v>45748</v>
      </c>
      <c r="P82" t="s">
        <v>892</v>
      </c>
      <c r="Q82">
        <v>200000</v>
      </c>
      <c r="R82" t="s">
        <v>778</v>
      </c>
      <c r="S82" t="s">
        <v>735</v>
      </c>
      <c r="T82" t="s">
        <v>736</v>
      </c>
      <c r="U82" t="s">
        <v>703</v>
      </c>
      <c r="V82" t="s">
        <v>23</v>
      </c>
      <c r="W82" t="s">
        <v>20</v>
      </c>
      <c r="X82" t="s">
        <v>9</v>
      </c>
    </row>
    <row r="83" spans="1:24">
      <c r="A83" t="s">
        <v>969</v>
      </c>
      <c r="B83" s="8">
        <v>45798</v>
      </c>
      <c r="C83" t="s">
        <v>67</v>
      </c>
      <c r="D83" t="s">
        <v>825</v>
      </c>
      <c r="E83">
        <v>1</v>
      </c>
      <c r="F83">
        <v>100000</v>
      </c>
      <c r="G83">
        <v>100000</v>
      </c>
      <c r="H83" t="s">
        <v>895</v>
      </c>
      <c r="I83">
        <v>15000</v>
      </c>
      <c r="J83">
        <v>30000</v>
      </c>
      <c r="K83">
        <v>115000</v>
      </c>
      <c r="L83" t="s">
        <v>880</v>
      </c>
      <c r="M83" t="s">
        <v>874</v>
      </c>
      <c r="N83" t="s">
        <v>875</v>
      </c>
      <c r="O83" s="9">
        <v>45778</v>
      </c>
      <c r="P83" t="s">
        <v>877</v>
      </c>
      <c r="Q83">
        <v>85000</v>
      </c>
      <c r="R83" t="s">
        <v>826</v>
      </c>
      <c r="S83" t="s">
        <v>735</v>
      </c>
      <c r="T83" t="s">
        <v>736</v>
      </c>
      <c r="U83" t="s">
        <v>68</v>
      </c>
      <c r="V83" t="s">
        <v>7</v>
      </c>
      <c r="W83" t="s">
        <v>56</v>
      </c>
      <c r="X83" t="s">
        <v>24</v>
      </c>
    </row>
    <row r="84" spans="1:24">
      <c r="A84" t="s">
        <v>1025</v>
      </c>
      <c r="B84" s="8">
        <v>45774</v>
      </c>
      <c r="C84" t="s">
        <v>67</v>
      </c>
      <c r="D84" t="s">
        <v>765</v>
      </c>
      <c r="E84">
        <v>2</v>
      </c>
      <c r="F84">
        <v>500000</v>
      </c>
      <c r="G84">
        <v>1000000</v>
      </c>
      <c r="H84" t="s">
        <v>872</v>
      </c>
      <c r="I84">
        <v>0</v>
      </c>
      <c r="J84">
        <v>30000</v>
      </c>
      <c r="K84">
        <v>1030000</v>
      </c>
      <c r="L84" t="s">
        <v>873</v>
      </c>
      <c r="M84" t="s">
        <v>874</v>
      </c>
      <c r="N84" t="s">
        <v>875</v>
      </c>
      <c r="O84" s="9">
        <v>45748</v>
      </c>
      <c r="P84" t="s">
        <v>877</v>
      </c>
      <c r="Q84">
        <v>1000000</v>
      </c>
      <c r="R84" t="s">
        <v>766</v>
      </c>
      <c r="S84" t="s">
        <v>735</v>
      </c>
      <c r="T84" t="s">
        <v>736</v>
      </c>
      <c r="U84" t="s">
        <v>68</v>
      </c>
      <c r="V84" t="s">
        <v>7</v>
      </c>
      <c r="W84" t="s">
        <v>56</v>
      </c>
      <c r="X84" t="s">
        <v>24</v>
      </c>
    </row>
    <row r="85" spans="1:24">
      <c r="A85" t="s">
        <v>946</v>
      </c>
      <c r="B85" s="8">
        <v>45659</v>
      </c>
      <c r="C85" t="s">
        <v>430</v>
      </c>
      <c r="D85" t="s">
        <v>761</v>
      </c>
      <c r="E85">
        <v>2</v>
      </c>
      <c r="F85">
        <v>75000</v>
      </c>
      <c r="G85">
        <v>150000</v>
      </c>
      <c r="H85" t="s">
        <v>886</v>
      </c>
      <c r="I85">
        <v>15000</v>
      </c>
      <c r="J85">
        <v>10000</v>
      </c>
      <c r="K85">
        <v>145000</v>
      </c>
      <c r="L85" t="s">
        <v>889</v>
      </c>
      <c r="M85" t="s">
        <v>901</v>
      </c>
      <c r="N85" t="s">
        <v>875</v>
      </c>
      <c r="O85" s="9">
        <v>45658</v>
      </c>
      <c r="P85" t="s">
        <v>877</v>
      </c>
      <c r="Q85">
        <v>135000</v>
      </c>
      <c r="R85" t="s">
        <v>762</v>
      </c>
      <c r="S85" t="s">
        <v>727</v>
      </c>
      <c r="T85" t="s">
        <v>728</v>
      </c>
      <c r="U85" t="s">
        <v>431</v>
      </c>
      <c r="V85" t="s">
        <v>23</v>
      </c>
      <c r="W85" t="s">
        <v>56</v>
      </c>
      <c r="X85" t="s">
        <v>9</v>
      </c>
    </row>
    <row r="86" spans="1:24">
      <c r="A86" t="s">
        <v>1004</v>
      </c>
      <c r="B86" s="8">
        <v>45794</v>
      </c>
      <c r="C86" t="s">
        <v>69</v>
      </c>
      <c r="D86" t="s">
        <v>753</v>
      </c>
      <c r="E86">
        <v>4</v>
      </c>
      <c r="F86">
        <v>300000</v>
      </c>
      <c r="G86">
        <v>1200000</v>
      </c>
      <c r="H86" t="s">
        <v>879</v>
      </c>
      <c r="I86">
        <v>240000</v>
      </c>
      <c r="J86">
        <v>10000</v>
      </c>
      <c r="K86">
        <v>970000</v>
      </c>
      <c r="L86" t="s">
        <v>884</v>
      </c>
      <c r="M86" t="s">
        <v>901</v>
      </c>
      <c r="N86" t="s">
        <v>875</v>
      </c>
      <c r="O86" s="9">
        <v>45778</v>
      </c>
      <c r="P86" t="s">
        <v>877</v>
      </c>
      <c r="Q86">
        <v>960000</v>
      </c>
      <c r="R86" t="s">
        <v>754</v>
      </c>
      <c r="S86" t="s">
        <v>735</v>
      </c>
      <c r="T86" t="s">
        <v>736</v>
      </c>
      <c r="U86" t="s">
        <v>70</v>
      </c>
      <c r="V86" t="s">
        <v>7</v>
      </c>
      <c r="W86" t="s">
        <v>29</v>
      </c>
      <c r="X86" t="s">
        <v>9</v>
      </c>
    </row>
    <row r="87" spans="1:24">
      <c r="A87" t="s">
        <v>906</v>
      </c>
      <c r="B87" s="8">
        <v>45771</v>
      </c>
      <c r="C87" t="s">
        <v>248</v>
      </c>
      <c r="D87" t="s">
        <v>769</v>
      </c>
      <c r="E87">
        <v>3</v>
      </c>
      <c r="F87">
        <v>100000</v>
      </c>
      <c r="G87">
        <v>300000</v>
      </c>
      <c r="H87" t="s">
        <v>872</v>
      </c>
      <c r="I87">
        <v>0</v>
      </c>
      <c r="J87">
        <v>20000</v>
      </c>
      <c r="K87">
        <v>320000</v>
      </c>
      <c r="L87" t="s">
        <v>873</v>
      </c>
      <c r="M87" t="s">
        <v>901</v>
      </c>
      <c r="N87" t="s">
        <v>890</v>
      </c>
      <c r="O87" s="9">
        <v>45748</v>
      </c>
      <c r="P87" t="s">
        <v>892</v>
      </c>
      <c r="Q87">
        <v>300000</v>
      </c>
      <c r="R87" t="s">
        <v>770</v>
      </c>
      <c r="S87" t="s">
        <v>743</v>
      </c>
      <c r="T87" t="s">
        <v>744</v>
      </c>
      <c r="U87" t="s">
        <v>249</v>
      </c>
      <c r="V87" t="s">
        <v>23</v>
      </c>
      <c r="W87" t="s">
        <v>56</v>
      </c>
      <c r="X87" t="s">
        <v>9</v>
      </c>
    </row>
    <row r="88" spans="1:24">
      <c r="A88" t="s">
        <v>912</v>
      </c>
      <c r="B88" s="8">
        <v>45710</v>
      </c>
      <c r="C88" t="s">
        <v>364</v>
      </c>
      <c r="D88" t="s">
        <v>769</v>
      </c>
      <c r="E88">
        <v>1</v>
      </c>
      <c r="F88">
        <v>100000</v>
      </c>
      <c r="G88">
        <v>100000</v>
      </c>
      <c r="H88" t="s">
        <v>872</v>
      </c>
      <c r="I88">
        <v>0</v>
      </c>
      <c r="J88">
        <v>25000</v>
      </c>
      <c r="K88">
        <v>125000</v>
      </c>
      <c r="L88" t="s">
        <v>873</v>
      </c>
      <c r="M88" t="s">
        <v>903</v>
      </c>
      <c r="N88" t="s">
        <v>875</v>
      </c>
      <c r="O88" s="9">
        <v>45689</v>
      </c>
      <c r="P88" t="s">
        <v>877</v>
      </c>
      <c r="Q88">
        <v>100000</v>
      </c>
      <c r="R88" t="s">
        <v>770</v>
      </c>
      <c r="S88" t="s">
        <v>743</v>
      </c>
      <c r="T88" t="s">
        <v>744</v>
      </c>
      <c r="U88" t="s">
        <v>365</v>
      </c>
      <c r="V88" t="s">
        <v>23</v>
      </c>
      <c r="W88" t="s">
        <v>46</v>
      </c>
      <c r="X88" t="s">
        <v>24</v>
      </c>
    </row>
    <row r="89" spans="1:24">
      <c r="A89" t="s">
        <v>1003</v>
      </c>
      <c r="B89" s="8">
        <v>45829</v>
      </c>
      <c r="C89" t="s">
        <v>364</v>
      </c>
      <c r="D89" t="s">
        <v>819</v>
      </c>
      <c r="E89">
        <v>4</v>
      </c>
      <c r="F89">
        <v>300000</v>
      </c>
      <c r="G89">
        <v>1200000</v>
      </c>
      <c r="H89" t="s">
        <v>886</v>
      </c>
      <c r="I89">
        <v>120000</v>
      </c>
      <c r="J89">
        <v>25000</v>
      </c>
      <c r="K89">
        <v>1105000</v>
      </c>
      <c r="L89" t="s">
        <v>873</v>
      </c>
      <c r="M89" t="s">
        <v>903</v>
      </c>
      <c r="N89" t="s">
        <v>921</v>
      </c>
      <c r="O89" s="9">
        <v>45809</v>
      </c>
      <c r="P89" t="s">
        <v>892</v>
      </c>
      <c r="Q89">
        <v>1080000</v>
      </c>
      <c r="R89" t="s">
        <v>820</v>
      </c>
      <c r="S89" t="s">
        <v>747</v>
      </c>
      <c r="T89" t="s">
        <v>748</v>
      </c>
      <c r="U89" t="s">
        <v>365</v>
      </c>
      <c r="V89" t="s">
        <v>23</v>
      </c>
      <c r="W89" t="s">
        <v>46</v>
      </c>
      <c r="X89" t="s">
        <v>24</v>
      </c>
    </row>
    <row r="90" spans="1:24">
      <c r="A90" t="s">
        <v>1061</v>
      </c>
      <c r="B90" s="8">
        <v>45833</v>
      </c>
      <c r="C90" t="s">
        <v>364</v>
      </c>
      <c r="D90" t="s">
        <v>807</v>
      </c>
      <c r="E90">
        <v>3</v>
      </c>
      <c r="F90">
        <v>150000</v>
      </c>
      <c r="G90">
        <v>450000</v>
      </c>
      <c r="H90" t="s">
        <v>872</v>
      </c>
      <c r="I90">
        <v>0</v>
      </c>
      <c r="J90">
        <v>10000</v>
      </c>
      <c r="K90">
        <v>460000</v>
      </c>
      <c r="L90" t="s">
        <v>884</v>
      </c>
      <c r="M90" t="s">
        <v>903</v>
      </c>
      <c r="N90" t="s">
        <v>875</v>
      </c>
      <c r="O90" s="9">
        <v>45809</v>
      </c>
      <c r="P90" t="s">
        <v>877</v>
      </c>
      <c r="Q90">
        <v>450000</v>
      </c>
      <c r="R90" t="s">
        <v>808</v>
      </c>
      <c r="S90" t="s">
        <v>747</v>
      </c>
      <c r="T90" t="s">
        <v>748</v>
      </c>
      <c r="U90" t="s">
        <v>365</v>
      </c>
      <c r="V90" t="s">
        <v>23</v>
      </c>
      <c r="W90" t="s">
        <v>46</v>
      </c>
      <c r="X90" t="s">
        <v>24</v>
      </c>
    </row>
    <row r="91" spans="1:24">
      <c r="A91" t="s">
        <v>949</v>
      </c>
      <c r="B91" s="8">
        <v>45725</v>
      </c>
      <c r="C91" t="s">
        <v>456</v>
      </c>
      <c r="D91" t="s">
        <v>769</v>
      </c>
      <c r="E91">
        <v>2</v>
      </c>
      <c r="F91">
        <v>100000</v>
      </c>
      <c r="G91">
        <v>200000</v>
      </c>
      <c r="H91" t="s">
        <v>872</v>
      </c>
      <c r="I91">
        <v>0</v>
      </c>
      <c r="J91">
        <v>20000</v>
      </c>
      <c r="K91">
        <v>220000</v>
      </c>
      <c r="L91" t="s">
        <v>884</v>
      </c>
      <c r="M91" t="s">
        <v>901</v>
      </c>
      <c r="N91" t="s">
        <v>875</v>
      </c>
      <c r="O91" s="9">
        <v>45717</v>
      </c>
      <c r="P91" t="s">
        <v>877</v>
      </c>
      <c r="Q91">
        <v>200000</v>
      </c>
      <c r="R91" t="s">
        <v>770</v>
      </c>
      <c r="S91" t="s">
        <v>743</v>
      </c>
      <c r="T91" t="s">
        <v>744</v>
      </c>
      <c r="U91" t="s">
        <v>457</v>
      </c>
      <c r="V91" t="s">
        <v>7</v>
      </c>
      <c r="W91" t="s">
        <v>46</v>
      </c>
      <c r="X91" t="s">
        <v>9</v>
      </c>
    </row>
    <row r="92" spans="1:24">
      <c r="A92" t="s">
        <v>1032</v>
      </c>
      <c r="B92" s="8">
        <v>45719</v>
      </c>
      <c r="C92" t="s">
        <v>456</v>
      </c>
      <c r="D92" t="s">
        <v>777</v>
      </c>
      <c r="E92">
        <v>3</v>
      </c>
      <c r="F92">
        <v>200000</v>
      </c>
      <c r="G92">
        <v>600000</v>
      </c>
      <c r="H92" t="s">
        <v>872</v>
      </c>
      <c r="I92">
        <v>0</v>
      </c>
      <c r="J92">
        <v>30000</v>
      </c>
      <c r="K92">
        <v>630000</v>
      </c>
      <c r="L92" t="s">
        <v>884</v>
      </c>
      <c r="M92" t="s">
        <v>881</v>
      </c>
      <c r="N92" t="s">
        <v>890</v>
      </c>
      <c r="O92" s="9">
        <v>45717</v>
      </c>
      <c r="P92" t="s">
        <v>892</v>
      </c>
      <c r="Q92">
        <v>600000</v>
      </c>
      <c r="R92" t="s">
        <v>778</v>
      </c>
      <c r="S92" t="s">
        <v>735</v>
      </c>
      <c r="T92" t="s">
        <v>736</v>
      </c>
      <c r="U92" t="s">
        <v>457</v>
      </c>
      <c r="V92" t="s">
        <v>7</v>
      </c>
      <c r="W92" t="s">
        <v>46</v>
      </c>
      <c r="X92" t="s">
        <v>9</v>
      </c>
    </row>
    <row r="93" spans="1:24">
      <c r="A93" t="s">
        <v>1142</v>
      </c>
      <c r="B93" s="8">
        <v>45838</v>
      </c>
      <c r="C93" t="s">
        <v>456</v>
      </c>
      <c r="D93" t="s">
        <v>771</v>
      </c>
      <c r="E93">
        <v>2</v>
      </c>
      <c r="F93">
        <v>500000</v>
      </c>
      <c r="G93">
        <v>1000000</v>
      </c>
      <c r="H93" t="s">
        <v>883</v>
      </c>
      <c r="I93">
        <v>100000</v>
      </c>
      <c r="J93">
        <v>20000</v>
      </c>
      <c r="K93">
        <v>920000</v>
      </c>
      <c r="L93" t="s">
        <v>873</v>
      </c>
      <c r="M93" t="s">
        <v>874</v>
      </c>
      <c r="N93" t="s">
        <v>905</v>
      </c>
      <c r="O93" s="9">
        <v>45809</v>
      </c>
      <c r="P93" t="s">
        <v>892</v>
      </c>
      <c r="Q93">
        <v>900000</v>
      </c>
      <c r="R93" t="s">
        <v>772</v>
      </c>
      <c r="S93" t="s">
        <v>747</v>
      </c>
      <c r="T93" t="s">
        <v>748</v>
      </c>
      <c r="U93" t="s">
        <v>457</v>
      </c>
      <c r="V93" t="s">
        <v>7</v>
      </c>
      <c r="W93" t="s">
        <v>46</v>
      </c>
      <c r="X93" t="s">
        <v>9</v>
      </c>
    </row>
    <row r="94" spans="1:24">
      <c r="A94" t="s">
        <v>1224</v>
      </c>
      <c r="B94" s="8">
        <v>45826</v>
      </c>
      <c r="C94" t="s">
        <v>456</v>
      </c>
      <c r="D94" t="s">
        <v>833</v>
      </c>
      <c r="E94">
        <v>2</v>
      </c>
      <c r="F94">
        <v>200000</v>
      </c>
      <c r="G94">
        <v>400000</v>
      </c>
      <c r="H94" t="s">
        <v>886</v>
      </c>
      <c r="I94">
        <v>40000</v>
      </c>
      <c r="J94">
        <v>15000</v>
      </c>
      <c r="K94">
        <v>375000</v>
      </c>
      <c r="L94" t="s">
        <v>873</v>
      </c>
      <c r="M94" t="s">
        <v>903</v>
      </c>
      <c r="N94" t="s">
        <v>875</v>
      </c>
      <c r="O94" s="9">
        <v>45809</v>
      </c>
      <c r="P94" t="s">
        <v>877</v>
      </c>
      <c r="Q94">
        <v>360000</v>
      </c>
      <c r="R94" t="s">
        <v>834</v>
      </c>
      <c r="S94" t="s">
        <v>727</v>
      </c>
      <c r="T94" t="s">
        <v>728</v>
      </c>
      <c r="U94" t="s">
        <v>457</v>
      </c>
      <c r="V94" t="s">
        <v>7</v>
      </c>
      <c r="W94" t="s">
        <v>46</v>
      </c>
      <c r="X94" t="s">
        <v>9</v>
      </c>
    </row>
    <row r="95" spans="1:24">
      <c r="A95" t="s">
        <v>1222</v>
      </c>
      <c r="B95" s="8">
        <v>45805</v>
      </c>
      <c r="C95" t="s">
        <v>75</v>
      </c>
      <c r="D95" t="s">
        <v>783</v>
      </c>
      <c r="E95">
        <v>1</v>
      </c>
      <c r="F95">
        <v>500000</v>
      </c>
      <c r="G95">
        <v>500000</v>
      </c>
      <c r="H95" t="s">
        <v>872</v>
      </c>
      <c r="I95">
        <v>0</v>
      </c>
      <c r="J95">
        <v>30000</v>
      </c>
      <c r="K95">
        <v>530000</v>
      </c>
      <c r="L95" t="s">
        <v>880</v>
      </c>
      <c r="M95" t="s">
        <v>874</v>
      </c>
      <c r="N95" t="s">
        <v>911</v>
      </c>
      <c r="O95" s="9">
        <v>45778</v>
      </c>
      <c r="P95" t="s">
        <v>892</v>
      </c>
      <c r="Q95">
        <v>500000</v>
      </c>
      <c r="R95" t="s">
        <v>784</v>
      </c>
      <c r="S95" t="s">
        <v>747</v>
      </c>
      <c r="T95" t="s">
        <v>748</v>
      </c>
      <c r="U95" t="s">
        <v>76</v>
      </c>
      <c r="V95" t="s">
        <v>23</v>
      </c>
      <c r="W95" t="s">
        <v>8</v>
      </c>
      <c r="X95" t="s">
        <v>9</v>
      </c>
    </row>
    <row r="96" spans="1:24">
      <c r="A96" t="s">
        <v>907</v>
      </c>
      <c r="B96" s="8">
        <v>45661</v>
      </c>
      <c r="C96" t="s">
        <v>326</v>
      </c>
      <c r="D96" t="s">
        <v>851</v>
      </c>
      <c r="E96">
        <v>2</v>
      </c>
      <c r="F96">
        <v>35000</v>
      </c>
      <c r="G96">
        <v>70000</v>
      </c>
      <c r="H96" t="s">
        <v>883</v>
      </c>
      <c r="I96">
        <v>7000</v>
      </c>
      <c r="J96">
        <v>30000</v>
      </c>
      <c r="K96">
        <v>93000</v>
      </c>
      <c r="L96" t="s">
        <v>884</v>
      </c>
      <c r="M96" t="s">
        <v>881</v>
      </c>
      <c r="N96" t="s">
        <v>875</v>
      </c>
      <c r="O96" s="9">
        <v>45658</v>
      </c>
      <c r="P96" t="s">
        <v>877</v>
      </c>
      <c r="Q96">
        <v>63000</v>
      </c>
      <c r="R96" t="s">
        <v>852</v>
      </c>
      <c r="S96" t="s">
        <v>739</v>
      </c>
      <c r="T96" t="s">
        <v>740</v>
      </c>
      <c r="U96" t="s">
        <v>327</v>
      </c>
      <c r="V96" t="s">
        <v>7</v>
      </c>
      <c r="W96" t="s">
        <v>8</v>
      </c>
      <c r="X96" t="s">
        <v>9</v>
      </c>
    </row>
    <row r="97" spans="1:24">
      <c r="A97" t="s">
        <v>1079</v>
      </c>
      <c r="B97" s="8">
        <v>45677</v>
      </c>
      <c r="C97" t="s">
        <v>326</v>
      </c>
      <c r="D97" t="s">
        <v>737</v>
      </c>
      <c r="E97">
        <v>3</v>
      </c>
      <c r="F97">
        <v>300000</v>
      </c>
      <c r="G97">
        <v>900000</v>
      </c>
      <c r="H97" t="s">
        <v>883</v>
      </c>
      <c r="I97">
        <v>90000</v>
      </c>
      <c r="J97">
        <v>25000</v>
      </c>
      <c r="K97">
        <v>835000</v>
      </c>
      <c r="L97" t="s">
        <v>889</v>
      </c>
      <c r="M97" t="s">
        <v>874</v>
      </c>
      <c r="N97" t="s">
        <v>890</v>
      </c>
      <c r="O97" s="9">
        <v>45658</v>
      </c>
      <c r="P97" t="s">
        <v>892</v>
      </c>
      <c r="Q97">
        <v>810000</v>
      </c>
      <c r="R97" t="s">
        <v>738</v>
      </c>
      <c r="S97" t="s">
        <v>739</v>
      </c>
      <c r="T97" t="s">
        <v>740</v>
      </c>
      <c r="U97" t="s">
        <v>327</v>
      </c>
      <c r="V97" t="s">
        <v>7</v>
      </c>
      <c r="W97" t="s">
        <v>8</v>
      </c>
      <c r="X97" t="s">
        <v>9</v>
      </c>
    </row>
    <row r="98" spans="1:24">
      <c r="A98" t="s">
        <v>1089</v>
      </c>
      <c r="B98" s="8">
        <v>45682</v>
      </c>
      <c r="C98" t="s">
        <v>326</v>
      </c>
      <c r="D98" t="s">
        <v>741</v>
      </c>
      <c r="E98">
        <v>1</v>
      </c>
      <c r="F98">
        <v>75000</v>
      </c>
      <c r="G98">
        <v>75000</v>
      </c>
      <c r="H98" t="s">
        <v>879</v>
      </c>
      <c r="I98">
        <v>15000</v>
      </c>
      <c r="J98">
        <v>20000</v>
      </c>
      <c r="K98">
        <v>80000</v>
      </c>
      <c r="L98" t="s">
        <v>880</v>
      </c>
      <c r="M98" t="s">
        <v>874</v>
      </c>
      <c r="N98" t="s">
        <v>875</v>
      </c>
      <c r="O98" s="9">
        <v>45658</v>
      </c>
      <c r="P98" t="s">
        <v>877</v>
      </c>
      <c r="Q98">
        <v>60000</v>
      </c>
      <c r="R98" t="s">
        <v>742</v>
      </c>
      <c r="S98" t="s">
        <v>743</v>
      </c>
      <c r="T98" t="s">
        <v>744</v>
      </c>
      <c r="U98" t="s">
        <v>327</v>
      </c>
      <c r="V98" t="s">
        <v>7</v>
      </c>
      <c r="W98" t="s">
        <v>8</v>
      </c>
      <c r="X98" t="s">
        <v>9</v>
      </c>
    </row>
    <row r="99" spans="1:24">
      <c r="A99" t="s">
        <v>1158</v>
      </c>
      <c r="B99" s="8">
        <v>45750</v>
      </c>
      <c r="C99" t="s">
        <v>326</v>
      </c>
      <c r="D99" t="s">
        <v>771</v>
      </c>
      <c r="E99">
        <v>3</v>
      </c>
      <c r="F99">
        <v>500000</v>
      </c>
      <c r="G99">
        <v>1500000</v>
      </c>
      <c r="H99" t="s">
        <v>886</v>
      </c>
      <c r="I99">
        <v>150000</v>
      </c>
      <c r="J99">
        <v>30000</v>
      </c>
      <c r="K99">
        <v>1380000</v>
      </c>
      <c r="L99" t="s">
        <v>889</v>
      </c>
      <c r="M99" t="s">
        <v>903</v>
      </c>
      <c r="N99" t="s">
        <v>890</v>
      </c>
      <c r="O99" s="9">
        <v>45748</v>
      </c>
      <c r="P99" t="s">
        <v>892</v>
      </c>
      <c r="Q99">
        <v>1350000</v>
      </c>
      <c r="R99" t="s">
        <v>772</v>
      </c>
      <c r="S99" t="s">
        <v>747</v>
      </c>
      <c r="T99" t="s">
        <v>748</v>
      </c>
      <c r="U99" t="s">
        <v>327</v>
      </c>
      <c r="V99" t="s">
        <v>7</v>
      </c>
      <c r="W99" t="s">
        <v>8</v>
      </c>
      <c r="X99" t="s">
        <v>9</v>
      </c>
    </row>
    <row r="100" spans="1:24">
      <c r="A100" t="s">
        <v>916</v>
      </c>
      <c r="B100" s="8">
        <v>45713</v>
      </c>
      <c r="C100" t="s">
        <v>596</v>
      </c>
      <c r="D100" t="s">
        <v>851</v>
      </c>
      <c r="E100">
        <v>2</v>
      </c>
      <c r="F100">
        <v>35000</v>
      </c>
      <c r="G100">
        <v>70000</v>
      </c>
      <c r="H100" t="s">
        <v>872</v>
      </c>
      <c r="I100">
        <v>0</v>
      </c>
      <c r="J100">
        <v>20000</v>
      </c>
      <c r="K100">
        <v>90000</v>
      </c>
      <c r="L100" t="s">
        <v>889</v>
      </c>
      <c r="M100" t="s">
        <v>874</v>
      </c>
      <c r="N100" t="s">
        <v>875</v>
      </c>
      <c r="O100" s="9">
        <v>45689</v>
      </c>
      <c r="P100" t="s">
        <v>877</v>
      </c>
      <c r="Q100">
        <v>70000</v>
      </c>
      <c r="R100" t="s">
        <v>852</v>
      </c>
      <c r="S100" t="s">
        <v>739</v>
      </c>
      <c r="T100" t="s">
        <v>740</v>
      </c>
      <c r="U100" t="s">
        <v>597</v>
      </c>
      <c r="V100" t="s">
        <v>23</v>
      </c>
      <c r="W100" t="s">
        <v>137</v>
      </c>
      <c r="X100" t="s">
        <v>24</v>
      </c>
    </row>
    <row r="101" spans="1:24">
      <c r="A101" t="s">
        <v>1093</v>
      </c>
      <c r="B101" s="8">
        <v>45820</v>
      </c>
      <c r="C101" t="s">
        <v>596</v>
      </c>
      <c r="D101" t="s">
        <v>775</v>
      </c>
      <c r="E101">
        <v>2</v>
      </c>
      <c r="F101">
        <v>75000</v>
      </c>
      <c r="G101">
        <v>150000</v>
      </c>
      <c r="H101" t="s">
        <v>872</v>
      </c>
      <c r="I101">
        <v>0</v>
      </c>
      <c r="J101">
        <v>10000</v>
      </c>
      <c r="K101">
        <v>160000</v>
      </c>
      <c r="L101" t="s">
        <v>884</v>
      </c>
      <c r="M101" t="s">
        <v>874</v>
      </c>
      <c r="N101" t="s">
        <v>875</v>
      </c>
      <c r="O101" s="9">
        <v>45809</v>
      </c>
      <c r="P101" t="s">
        <v>877</v>
      </c>
      <c r="Q101">
        <v>150000</v>
      </c>
      <c r="R101" t="s">
        <v>776</v>
      </c>
      <c r="S101" t="s">
        <v>731</v>
      </c>
      <c r="T101" t="s">
        <v>732</v>
      </c>
      <c r="U101" t="s">
        <v>597</v>
      </c>
      <c r="V101" t="s">
        <v>23</v>
      </c>
      <c r="W101" t="s">
        <v>137</v>
      </c>
      <c r="X101" t="s">
        <v>24</v>
      </c>
    </row>
    <row r="102" spans="1:24">
      <c r="A102" t="s">
        <v>1128</v>
      </c>
      <c r="B102" s="8">
        <v>45722</v>
      </c>
      <c r="C102" t="s">
        <v>79</v>
      </c>
      <c r="D102" t="s">
        <v>737</v>
      </c>
      <c r="E102">
        <v>1</v>
      </c>
      <c r="F102">
        <v>300000</v>
      </c>
      <c r="G102">
        <v>300000</v>
      </c>
      <c r="H102" t="s">
        <v>879</v>
      </c>
      <c r="I102">
        <v>60000</v>
      </c>
      <c r="J102">
        <v>20000</v>
      </c>
      <c r="K102">
        <v>260000</v>
      </c>
      <c r="L102" t="s">
        <v>884</v>
      </c>
      <c r="M102" t="s">
        <v>874</v>
      </c>
      <c r="N102" t="s">
        <v>875</v>
      </c>
      <c r="O102" s="9">
        <v>45717</v>
      </c>
      <c r="P102" t="s">
        <v>877</v>
      </c>
      <c r="Q102">
        <v>240000</v>
      </c>
      <c r="R102" t="s">
        <v>738</v>
      </c>
      <c r="S102" t="s">
        <v>739</v>
      </c>
      <c r="T102" t="s">
        <v>740</v>
      </c>
      <c r="U102" t="s">
        <v>80</v>
      </c>
      <c r="V102" t="s">
        <v>23</v>
      </c>
      <c r="W102" t="s">
        <v>51</v>
      </c>
      <c r="X102" t="s">
        <v>9</v>
      </c>
    </row>
    <row r="103" spans="1:24">
      <c r="A103" t="s">
        <v>1047</v>
      </c>
      <c r="B103" s="8">
        <v>45779</v>
      </c>
      <c r="C103" t="s">
        <v>81</v>
      </c>
      <c r="D103" t="s">
        <v>795</v>
      </c>
      <c r="E103">
        <v>4</v>
      </c>
      <c r="F103">
        <v>100000</v>
      </c>
      <c r="G103">
        <v>400000</v>
      </c>
      <c r="H103" t="s">
        <v>872</v>
      </c>
      <c r="I103">
        <v>0</v>
      </c>
      <c r="J103">
        <v>30000</v>
      </c>
      <c r="K103">
        <v>430000</v>
      </c>
      <c r="L103" t="s">
        <v>884</v>
      </c>
      <c r="M103" t="s">
        <v>881</v>
      </c>
      <c r="N103" t="s">
        <v>905</v>
      </c>
      <c r="O103" s="9">
        <v>45778</v>
      </c>
      <c r="P103" t="s">
        <v>892</v>
      </c>
      <c r="Q103">
        <v>400000</v>
      </c>
      <c r="R103" t="s">
        <v>796</v>
      </c>
      <c r="S103" t="s">
        <v>747</v>
      </c>
      <c r="T103" t="s">
        <v>748</v>
      </c>
      <c r="U103" t="s">
        <v>82</v>
      </c>
      <c r="V103" t="s">
        <v>23</v>
      </c>
      <c r="W103" t="s">
        <v>20</v>
      </c>
      <c r="X103" t="s">
        <v>24</v>
      </c>
    </row>
    <row r="104" spans="1:24">
      <c r="A104" t="s">
        <v>924</v>
      </c>
      <c r="B104" s="8">
        <v>45792</v>
      </c>
      <c r="C104" t="s">
        <v>558</v>
      </c>
      <c r="D104" t="s">
        <v>765</v>
      </c>
      <c r="E104">
        <v>2</v>
      </c>
      <c r="F104">
        <v>500000</v>
      </c>
      <c r="G104">
        <v>1000000</v>
      </c>
      <c r="H104" t="s">
        <v>879</v>
      </c>
      <c r="I104">
        <v>200000</v>
      </c>
      <c r="J104">
        <v>30000</v>
      </c>
      <c r="K104">
        <v>830000</v>
      </c>
      <c r="L104" t="s">
        <v>889</v>
      </c>
      <c r="M104" t="s">
        <v>874</v>
      </c>
      <c r="N104" t="s">
        <v>890</v>
      </c>
      <c r="O104" s="9">
        <v>45778</v>
      </c>
      <c r="P104" t="s">
        <v>892</v>
      </c>
      <c r="Q104">
        <v>800000</v>
      </c>
      <c r="R104" t="s">
        <v>766</v>
      </c>
      <c r="S104" t="s">
        <v>735</v>
      </c>
      <c r="T104" t="s">
        <v>736</v>
      </c>
      <c r="U104" t="s">
        <v>559</v>
      </c>
      <c r="V104" t="s">
        <v>23</v>
      </c>
      <c r="W104" t="s">
        <v>56</v>
      </c>
      <c r="X104" t="s">
        <v>24</v>
      </c>
    </row>
    <row r="105" spans="1:24">
      <c r="A105" t="s">
        <v>950</v>
      </c>
      <c r="B105" s="8">
        <v>45707</v>
      </c>
      <c r="C105" t="s">
        <v>558</v>
      </c>
      <c r="D105" t="s">
        <v>829</v>
      </c>
      <c r="E105">
        <v>2</v>
      </c>
      <c r="F105">
        <v>500000</v>
      </c>
      <c r="G105">
        <v>1000000</v>
      </c>
      <c r="H105" t="s">
        <v>895</v>
      </c>
      <c r="I105">
        <v>150000</v>
      </c>
      <c r="J105">
        <v>30000</v>
      </c>
      <c r="K105">
        <v>880000</v>
      </c>
      <c r="L105" t="s">
        <v>873</v>
      </c>
      <c r="M105" t="s">
        <v>874</v>
      </c>
      <c r="N105" t="s">
        <v>875</v>
      </c>
      <c r="O105" s="9">
        <v>45689</v>
      </c>
      <c r="P105" t="s">
        <v>877</v>
      </c>
      <c r="Q105">
        <v>850000</v>
      </c>
      <c r="R105" t="s">
        <v>830</v>
      </c>
      <c r="S105" t="s">
        <v>743</v>
      </c>
      <c r="T105" t="s">
        <v>744</v>
      </c>
      <c r="U105" t="s">
        <v>559</v>
      </c>
      <c r="V105" t="s">
        <v>23</v>
      </c>
      <c r="W105" t="s">
        <v>56</v>
      </c>
      <c r="X105" t="s">
        <v>24</v>
      </c>
    </row>
    <row r="106" spans="1:24">
      <c r="A106" t="s">
        <v>1080</v>
      </c>
      <c r="B106" s="8">
        <v>45749</v>
      </c>
      <c r="C106" t="s">
        <v>558</v>
      </c>
      <c r="D106" t="s">
        <v>789</v>
      </c>
      <c r="E106">
        <v>2</v>
      </c>
      <c r="F106">
        <v>200000</v>
      </c>
      <c r="G106">
        <v>400000</v>
      </c>
      <c r="H106" t="s">
        <v>886</v>
      </c>
      <c r="I106">
        <v>40000</v>
      </c>
      <c r="J106">
        <v>15000</v>
      </c>
      <c r="K106">
        <v>375000</v>
      </c>
      <c r="L106" t="s">
        <v>880</v>
      </c>
      <c r="M106" t="s">
        <v>903</v>
      </c>
      <c r="N106" t="s">
        <v>875</v>
      </c>
      <c r="O106" s="9">
        <v>45748</v>
      </c>
      <c r="P106" t="s">
        <v>877</v>
      </c>
      <c r="Q106">
        <v>360000</v>
      </c>
      <c r="R106" t="s">
        <v>790</v>
      </c>
      <c r="S106" t="s">
        <v>735</v>
      </c>
      <c r="T106" t="s">
        <v>736</v>
      </c>
      <c r="U106" t="s">
        <v>559</v>
      </c>
      <c r="V106" t="s">
        <v>23</v>
      </c>
      <c r="W106" t="s">
        <v>56</v>
      </c>
      <c r="X106" t="s">
        <v>24</v>
      </c>
    </row>
    <row r="107" spans="1:24">
      <c r="A107" t="s">
        <v>1214</v>
      </c>
      <c r="B107" s="8">
        <v>45690</v>
      </c>
      <c r="C107" t="s">
        <v>558</v>
      </c>
      <c r="D107" t="s">
        <v>803</v>
      </c>
      <c r="E107">
        <v>2</v>
      </c>
      <c r="F107">
        <v>50000</v>
      </c>
      <c r="G107">
        <v>100000</v>
      </c>
      <c r="H107" t="s">
        <v>883</v>
      </c>
      <c r="I107">
        <v>10000</v>
      </c>
      <c r="J107">
        <v>10000</v>
      </c>
      <c r="K107">
        <v>100000</v>
      </c>
      <c r="L107" t="s">
        <v>884</v>
      </c>
      <c r="M107" t="s">
        <v>901</v>
      </c>
      <c r="N107" t="s">
        <v>875</v>
      </c>
      <c r="O107" s="9">
        <v>45689</v>
      </c>
      <c r="P107" t="s">
        <v>877</v>
      </c>
      <c r="Q107">
        <v>90000</v>
      </c>
      <c r="R107" t="s">
        <v>804</v>
      </c>
      <c r="S107" t="s">
        <v>739</v>
      </c>
      <c r="T107" t="s">
        <v>740</v>
      </c>
      <c r="U107" t="s">
        <v>559</v>
      </c>
      <c r="V107" t="s">
        <v>23</v>
      </c>
      <c r="W107" t="s">
        <v>56</v>
      </c>
      <c r="X107" t="s">
        <v>24</v>
      </c>
    </row>
    <row r="108" spans="1:24">
      <c r="A108" t="s">
        <v>948</v>
      </c>
      <c r="B108" s="8">
        <v>45720</v>
      </c>
      <c r="C108" t="s">
        <v>138</v>
      </c>
      <c r="D108" t="s">
        <v>765</v>
      </c>
      <c r="E108">
        <v>3</v>
      </c>
      <c r="F108">
        <v>500000</v>
      </c>
      <c r="G108">
        <v>1500000</v>
      </c>
      <c r="H108" t="s">
        <v>895</v>
      </c>
      <c r="I108">
        <v>225000</v>
      </c>
      <c r="J108">
        <v>15000</v>
      </c>
      <c r="K108">
        <v>1290000</v>
      </c>
      <c r="L108" t="s">
        <v>873</v>
      </c>
      <c r="M108" t="s">
        <v>874</v>
      </c>
      <c r="N108" t="s">
        <v>890</v>
      </c>
      <c r="O108" s="9">
        <v>45717</v>
      </c>
      <c r="P108" t="s">
        <v>892</v>
      </c>
      <c r="Q108">
        <v>1275000</v>
      </c>
      <c r="R108" t="s">
        <v>766</v>
      </c>
      <c r="S108" t="s">
        <v>735</v>
      </c>
      <c r="T108" t="s">
        <v>736</v>
      </c>
      <c r="U108" t="s">
        <v>139</v>
      </c>
      <c r="V108" t="s">
        <v>7</v>
      </c>
      <c r="W108" t="s">
        <v>29</v>
      </c>
      <c r="X108" t="s">
        <v>9</v>
      </c>
    </row>
    <row r="109" spans="1:24">
      <c r="A109" t="s">
        <v>1192</v>
      </c>
      <c r="B109" s="8">
        <v>45812</v>
      </c>
      <c r="C109" t="s">
        <v>85</v>
      </c>
      <c r="D109" t="s">
        <v>837</v>
      </c>
      <c r="E109">
        <v>1</v>
      </c>
      <c r="F109">
        <v>300000</v>
      </c>
      <c r="G109">
        <v>300000</v>
      </c>
      <c r="H109" t="s">
        <v>886</v>
      </c>
      <c r="I109">
        <v>30000</v>
      </c>
      <c r="J109">
        <v>25000</v>
      </c>
      <c r="K109">
        <v>295000</v>
      </c>
      <c r="L109" t="s">
        <v>873</v>
      </c>
      <c r="M109" t="s">
        <v>901</v>
      </c>
      <c r="N109" t="s">
        <v>875</v>
      </c>
      <c r="O109" s="9">
        <v>45809</v>
      </c>
      <c r="P109" t="s">
        <v>877</v>
      </c>
      <c r="Q109">
        <v>270000</v>
      </c>
      <c r="R109" t="s">
        <v>838</v>
      </c>
      <c r="S109" t="s">
        <v>735</v>
      </c>
      <c r="T109" t="s">
        <v>736</v>
      </c>
      <c r="U109" t="s">
        <v>86</v>
      </c>
      <c r="V109" t="s">
        <v>23</v>
      </c>
      <c r="W109" t="s">
        <v>39</v>
      </c>
      <c r="X109" t="s">
        <v>9</v>
      </c>
    </row>
    <row r="110" spans="1:24">
      <c r="A110" t="s">
        <v>909</v>
      </c>
      <c r="B110" s="8">
        <v>45699</v>
      </c>
      <c r="C110" t="s">
        <v>99</v>
      </c>
      <c r="D110" t="s">
        <v>811</v>
      </c>
      <c r="E110">
        <v>1</v>
      </c>
      <c r="F110">
        <v>35000</v>
      </c>
      <c r="G110">
        <v>35000</v>
      </c>
      <c r="H110" t="s">
        <v>895</v>
      </c>
      <c r="I110">
        <v>5250</v>
      </c>
      <c r="J110">
        <v>30000</v>
      </c>
      <c r="K110">
        <v>59750</v>
      </c>
      <c r="L110" t="s">
        <v>873</v>
      </c>
      <c r="M110" t="s">
        <v>903</v>
      </c>
      <c r="N110" t="s">
        <v>875</v>
      </c>
      <c r="O110" s="9">
        <v>45689</v>
      </c>
      <c r="P110" t="s">
        <v>877</v>
      </c>
      <c r="Q110">
        <v>29750</v>
      </c>
      <c r="R110" t="s">
        <v>812</v>
      </c>
      <c r="S110" t="s">
        <v>731</v>
      </c>
      <c r="T110" t="s">
        <v>732</v>
      </c>
      <c r="U110" t="s">
        <v>100</v>
      </c>
      <c r="V110" t="s">
        <v>7</v>
      </c>
      <c r="W110" t="s">
        <v>39</v>
      </c>
      <c r="X110" t="s">
        <v>9</v>
      </c>
    </row>
    <row r="111" spans="1:24">
      <c r="A111" t="s">
        <v>937</v>
      </c>
      <c r="B111" s="8">
        <v>45820</v>
      </c>
      <c r="C111" t="s">
        <v>374</v>
      </c>
      <c r="D111" t="s">
        <v>771</v>
      </c>
      <c r="E111">
        <v>3</v>
      </c>
      <c r="F111">
        <v>500000</v>
      </c>
      <c r="G111">
        <v>1500000</v>
      </c>
      <c r="H111" t="s">
        <v>872</v>
      </c>
      <c r="I111">
        <v>0</v>
      </c>
      <c r="J111">
        <v>30000</v>
      </c>
      <c r="K111">
        <v>1530000</v>
      </c>
      <c r="L111" t="s">
        <v>880</v>
      </c>
      <c r="M111" t="s">
        <v>881</v>
      </c>
      <c r="N111" t="s">
        <v>921</v>
      </c>
      <c r="O111" s="9">
        <v>45809</v>
      </c>
      <c r="P111" t="s">
        <v>892</v>
      </c>
      <c r="Q111">
        <v>1500000</v>
      </c>
      <c r="R111" t="s">
        <v>772</v>
      </c>
      <c r="S111" t="s">
        <v>747</v>
      </c>
      <c r="T111" t="s">
        <v>748</v>
      </c>
      <c r="U111" t="s">
        <v>375</v>
      </c>
      <c r="V111" t="s">
        <v>23</v>
      </c>
      <c r="W111" t="s">
        <v>137</v>
      </c>
      <c r="X111" t="s">
        <v>9</v>
      </c>
    </row>
    <row r="112" spans="1:24">
      <c r="A112" t="s">
        <v>1082</v>
      </c>
      <c r="B112" s="8">
        <v>45780</v>
      </c>
      <c r="C112" t="s">
        <v>374</v>
      </c>
      <c r="D112" t="s">
        <v>821</v>
      </c>
      <c r="E112">
        <v>1</v>
      </c>
      <c r="F112">
        <v>50000</v>
      </c>
      <c r="G112">
        <v>50000</v>
      </c>
      <c r="H112" t="s">
        <v>886</v>
      </c>
      <c r="I112">
        <v>5000</v>
      </c>
      <c r="J112">
        <v>25000</v>
      </c>
      <c r="K112">
        <v>70000</v>
      </c>
      <c r="L112" t="s">
        <v>889</v>
      </c>
      <c r="M112" t="s">
        <v>874</v>
      </c>
      <c r="N112" t="s">
        <v>875</v>
      </c>
      <c r="O112" s="9">
        <v>45778</v>
      </c>
      <c r="P112" t="s">
        <v>877</v>
      </c>
      <c r="Q112">
        <v>45000</v>
      </c>
      <c r="R112" t="s">
        <v>822</v>
      </c>
      <c r="S112" t="s">
        <v>727</v>
      </c>
      <c r="T112" t="s">
        <v>728</v>
      </c>
      <c r="U112" t="s">
        <v>375</v>
      </c>
      <c r="V112" t="s">
        <v>23</v>
      </c>
      <c r="W112" t="s">
        <v>137</v>
      </c>
      <c r="X112" t="s">
        <v>9</v>
      </c>
    </row>
    <row r="113" spans="1:24">
      <c r="A113" t="s">
        <v>1018</v>
      </c>
      <c r="B113" s="8">
        <v>45673</v>
      </c>
      <c r="C113" t="s">
        <v>93</v>
      </c>
      <c r="D113" t="s">
        <v>839</v>
      </c>
      <c r="E113">
        <v>1</v>
      </c>
      <c r="F113">
        <v>200000</v>
      </c>
      <c r="G113">
        <v>200000</v>
      </c>
      <c r="H113" t="s">
        <v>872</v>
      </c>
      <c r="I113">
        <v>0</v>
      </c>
      <c r="J113">
        <v>15000</v>
      </c>
      <c r="K113">
        <v>215000</v>
      </c>
      <c r="L113" t="s">
        <v>889</v>
      </c>
      <c r="M113" t="s">
        <v>881</v>
      </c>
      <c r="N113" t="s">
        <v>875</v>
      </c>
      <c r="O113" s="9">
        <v>45658</v>
      </c>
      <c r="P113" t="s">
        <v>877</v>
      </c>
      <c r="Q113">
        <v>200000</v>
      </c>
      <c r="R113" t="s">
        <v>840</v>
      </c>
      <c r="S113" t="s">
        <v>739</v>
      </c>
      <c r="T113" t="s">
        <v>740</v>
      </c>
      <c r="U113" t="s">
        <v>94</v>
      </c>
      <c r="V113" t="s">
        <v>23</v>
      </c>
      <c r="W113" t="s">
        <v>36</v>
      </c>
      <c r="X113" t="s">
        <v>24</v>
      </c>
    </row>
    <row r="114" spans="1:24">
      <c r="A114" t="s">
        <v>1107</v>
      </c>
      <c r="B114" s="8">
        <v>45708</v>
      </c>
      <c r="C114" t="s">
        <v>93</v>
      </c>
      <c r="D114" t="s">
        <v>775</v>
      </c>
      <c r="E114">
        <v>1</v>
      </c>
      <c r="F114">
        <v>75000</v>
      </c>
      <c r="G114">
        <v>75000</v>
      </c>
      <c r="H114" t="s">
        <v>872</v>
      </c>
      <c r="I114">
        <v>0</v>
      </c>
      <c r="J114">
        <v>25000</v>
      </c>
      <c r="K114">
        <v>100000</v>
      </c>
      <c r="L114" t="s">
        <v>889</v>
      </c>
      <c r="M114" t="s">
        <v>881</v>
      </c>
      <c r="N114" t="s">
        <v>890</v>
      </c>
      <c r="O114" s="9">
        <v>45689</v>
      </c>
      <c r="P114" t="s">
        <v>892</v>
      </c>
      <c r="Q114">
        <v>75000</v>
      </c>
      <c r="R114" t="s">
        <v>776</v>
      </c>
      <c r="S114" t="s">
        <v>731</v>
      </c>
      <c r="T114" t="s">
        <v>732</v>
      </c>
      <c r="U114" t="s">
        <v>94</v>
      </c>
      <c r="V114" t="s">
        <v>23</v>
      </c>
      <c r="W114" t="s">
        <v>36</v>
      </c>
      <c r="X114" t="s">
        <v>24</v>
      </c>
    </row>
    <row r="115" spans="1:24">
      <c r="A115" t="s">
        <v>913</v>
      </c>
      <c r="B115" s="8">
        <v>45711</v>
      </c>
      <c r="C115" t="s">
        <v>404</v>
      </c>
      <c r="D115" t="s">
        <v>837</v>
      </c>
      <c r="E115">
        <v>2</v>
      </c>
      <c r="F115">
        <v>300000</v>
      </c>
      <c r="G115">
        <v>600000</v>
      </c>
      <c r="H115" t="s">
        <v>883</v>
      </c>
      <c r="I115">
        <v>60000</v>
      </c>
      <c r="J115">
        <v>20000</v>
      </c>
      <c r="K115">
        <v>560000</v>
      </c>
      <c r="L115" t="s">
        <v>889</v>
      </c>
      <c r="M115" t="s">
        <v>901</v>
      </c>
      <c r="N115" t="s">
        <v>875</v>
      </c>
      <c r="O115" s="9">
        <v>45689</v>
      </c>
      <c r="P115" t="s">
        <v>877</v>
      </c>
      <c r="Q115">
        <v>540000</v>
      </c>
      <c r="R115" t="s">
        <v>838</v>
      </c>
      <c r="S115" t="s">
        <v>735</v>
      </c>
      <c r="T115" t="s">
        <v>736</v>
      </c>
      <c r="U115" t="s">
        <v>405</v>
      </c>
      <c r="V115" t="s">
        <v>23</v>
      </c>
      <c r="W115" t="s">
        <v>39</v>
      </c>
      <c r="X115" t="s">
        <v>15</v>
      </c>
    </row>
    <row r="116" spans="1:24">
      <c r="A116" t="s">
        <v>932</v>
      </c>
      <c r="B116" s="8">
        <v>45833</v>
      </c>
      <c r="C116" t="s">
        <v>404</v>
      </c>
      <c r="D116" t="s">
        <v>841</v>
      </c>
      <c r="E116">
        <v>3</v>
      </c>
      <c r="F116">
        <v>75000</v>
      </c>
      <c r="G116">
        <v>225000</v>
      </c>
      <c r="H116" t="s">
        <v>895</v>
      </c>
      <c r="I116">
        <v>33750</v>
      </c>
      <c r="J116">
        <v>25000</v>
      </c>
      <c r="K116">
        <v>216250</v>
      </c>
      <c r="L116" t="s">
        <v>889</v>
      </c>
      <c r="M116" t="s">
        <v>901</v>
      </c>
      <c r="N116" t="s">
        <v>875</v>
      </c>
      <c r="O116" s="9">
        <v>45809</v>
      </c>
      <c r="P116" t="s">
        <v>877</v>
      </c>
      <c r="Q116">
        <v>191250</v>
      </c>
      <c r="R116" t="s">
        <v>842</v>
      </c>
      <c r="S116" t="s">
        <v>743</v>
      </c>
      <c r="T116" t="s">
        <v>744</v>
      </c>
      <c r="U116" t="s">
        <v>405</v>
      </c>
      <c r="V116" t="s">
        <v>23</v>
      </c>
      <c r="W116" t="s">
        <v>39</v>
      </c>
      <c r="X116" t="s">
        <v>15</v>
      </c>
    </row>
    <row r="117" spans="1:24">
      <c r="A117" t="s">
        <v>1120</v>
      </c>
      <c r="B117" s="8">
        <v>45778</v>
      </c>
      <c r="C117" t="s">
        <v>95</v>
      </c>
      <c r="D117" t="s">
        <v>791</v>
      </c>
      <c r="E117">
        <v>1</v>
      </c>
      <c r="F117">
        <v>50000</v>
      </c>
      <c r="G117">
        <v>50000</v>
      </c>
      <c r="H117" t="s">
        <v>886</v>
      </c>
      <c r="I117">
        <v>5000</v>
      </c>
      <c r="J117">
        <v>20000</v>
      </c>
      <c r="K117">
        <v>65000</v>
      </c>
      <c r="L117" t="s">
        <v>889</v>
      </c>
      <c r="M117" t="s">
        <v>903</v>
      </c>
      <c r="N117" t="s">
        <v>890</v>
      </c>
      <c r="O117" s="9">
        <v>45778</v>
      </c>
      <c r="P117" t="s">
        <v>892</v>
      </c>
      <c r="Q117">
        <v>45000</v>
      </c>
      <c r="R117" t="s">
        <v>792</v>
      </c>
      <c r="S117" t="s">
        <v>739</v>
      </c>
      <c r="T117" t="s">
        <v>740</v>
      </c>
      <c r="U117" t="s">
        <v>96</v>
      </c>
      <c r="V117" t="s">
        <v>23</v>
      </c>
      <c r="W117" t="s">
        <v>8</v>
      </c>
      <c r="X117" t="s">
        <v>24</v>
      </c>
    </row>
    <row r="118" spans="1:24">
      <c r="A118" t="s">
        <v>1085</v>
      </c>
      <c r="B118" s="8">
        <v>45771</v>
      </c>
      <c r="C118" t="s">
        <v>97</v>
      </c>
      <c r="D118" t="s">
        <v>811</v>
      </c>
      <c r="E118">
        <v>1</v>
      </c>
      <c r="F118">
        <v>35000</v>
      </c>
      <c r="G118">
        <v>35000</v>
      </c>
      <c r="H118" t="s">
        <v>883</v>
      </c>
      <c r="I118">
        <v>3500</v>
      </c>
      <c r="J118">
        <v>25000</v>
      </c>
      <c r="K118">
        <v>56500</v>
      </c>
      <c r="L118" t="s">
        <v>889</v>
      </c>
      <c r="M118" t="s">
        <v>874</v>
      </c>
      <c r="N118" t="s">
        <v>875</v>
      </c>
      <c r="O118" s="9">
        <v>45748</v>
      </c>
      <c r="P118" t="s">
        <v>877</v>
      </c>
      <c r="Q118">
        <v>31500</v>
      </c>
      <c r="R118" t="s">
        <v>812</v>
      </c>
      <c r="S118" t="s">
        <v>731</v>
      </c>
      <c r="T118" t="s">
        <v>732</v>
      </c>
      <c r="U118" t="s">
        <v>98</v>
      </c>
      <c r="V118" t="s">
        <v>7</v>
      </c>
      <c r="W118" t="s">
        <v>39</v>
      </c>
      <c r="X118" t="s">
        <v>9</v>
      </c>
    </row>
    <row r="119" spans="1:24">
      <c r="A119" t="s">
        <v>914</v>
      </c>
      <c r="B119" s="8">
        <v>45821</v>
      </c>
      <c r="C119" t="s">
        <v>244</v>
      </c>
      <c r="D119" t="s">
        <v>853</v>
      </c>
      <c r="E119">
        <v>4</v>
      </c>
      <c r="F119">
        <v>75000</v>
      </c>
      <c r="G119">
        <v>300000</v>
      </c>
      <c r="H119" t="s">
        <v>895</v>
      </c>
      <c r="I119">
        <v>45000</v>
      </c>
      <c r="J119">
        <v>30000</v>
      </c>
      <c r="K119">
        <v>285000</v>
      </c>
      <c r="L119" t="s">
        <v>880</v>
      </c>
      <c r="M119" t="s">
        <v>881</v>
      </c>
      <c r="N119" t="s">
        <v>875</v>
      </c>
      <c r="O119" s="9">
        <v>45809</v>
      </c>
      <c r="P119" t="s">
        <v>877</v>
      </c>
      <c r="Q119">
        <v>255000</v>
      </c>
      <c r="R119" t="s">
        <v>854</v>
      </c>
      <c r="S119" t="s">
        <v>743</v>
      </c>
      <c r="T119" t="s">
        <v>744</v>
      </c>
      <c r="U119" t="s">
        <v>245</v>
      </c>
      <c r="V119" t="s">
        <v>7</v>
      </c>
      <c r="W119" t="s">
        <v>46</v>
      </c>
      <c r="X119" t="s">
        <v>9</v>
      </c>
    </row>
    <row r="120" spans="1:24">
      <c r="A120" t="s">
        <v>1036</v>
      </c>
      <c r="B120" s="8">
        <v>45798</v>
      </c>
      <c r="C120" t="s">
        <v>244</v>
      </c>
      <c r="D120" t="s">
        <v>817</v>
      </c>
      <c r="E120">
        <v>1</v>
      </c>
      <c r="F120">
        <v>75000</v>
      </c>
      <c r="G120">
        <v>75000</v>
      </c>
      <c r="H120" t="s">
        <v>872</v>
      </c>
      <c r="I120">
        <v>0</v>
      </c>
      <c r="J120">
        <v>30000</v>
      </c>
      <c r="K120">
        <v>105000</v>
      </c>
      <c r="L120" t="s">
        <v>880</v>
      </c>
      <c r="M120" t="s">
        <v>903</v>
      </c>
      <c r="N120" t="s">
        <v>875</v>
      </c>
      <c r="O120" s="9">
        <v>45778</v>
      </c>
      <c r="P120" t="s">
        <v>877</v>
      </c>
      <c r="Q120">
        <v>75000</v>
      </c>
      <c r="R120" t="s">
        <v>818</v>
      </c>
      <c r="S120" t="s">
        <v>743</v>
      </c>
      <c r="T120" t="s">
        <v>744</v>
      </c>
      <c r="U120" t="s">
        <v>245</v>
      </c>
      <c r="V120" t="s">
        <v>7</v>
      </c>
      <c r="W120" t="s">
        <v>46</v>
      </c>
      <c r="X120" t="s">
        <v>9</v>
      </c>
    </row>
    <row r="121" spans="1:24">
      <c r="A121" t="s">
        <v>917</v>
      </c>
      <c r="B121" s="8">
        <v>45766</v>
      </c>
      <c r="C121" t="s">
        <v>420</v>
      </c>
      <c r="D121" t="s">
        <v>787</v>
      </c>
      <c r="E121">
        <v>1</v>
      </c>
      <c r="F121">
        <v>200000</v>
      </c>
      <c r="G121">
        <v>200000</v>
      </c>
      <c r="H121" t="s">
        <v>872</v>
      </c>
      <c r="I121">
        <v>0</v>
      </c>
      <c r="J121">
        <v>30000</v>
      </c>
      <c r="K121">
        <v>230000</v>
      </c>
      <c r="L121" t="s">
        <v>889</v>
      </c>
      <c r="M121" t="s">
        <v>901</v>
      </c>
      <c r="N121" t="s">
        <v>875</v>
      </c>
      <c r="O121" s="9">
        <v>45748</v>
      </c>
      <c r="P121" t="s">
        <v>877</v>
      </c>
      <c r="Q121">
        <v>200000</v>
      </c>
      <c r="R121" t="s">
        <v>788</v>
      </c>
      <c r="S121" t="s">
        <v>731</v>
      </c>
      <c r="T121" t="s">
        <v>732</v>
      </c>
      <c r="U121" t="s">
        <v>421</v>
      </c>
      <c r="V121" t="s">
        <v>7</v>
      </c>
      <c r="W121" t="s">
        <v>137</v>
      </c>
      <c r="X121" t="s">
        <v>24</v>
      </c>
    </row>
    <row r="122" spans="1:24">
      <c r="A122" t="s">
        <v>1021</v>
      </c>
      <c r="B122" s="8">
        <v>45706</v>
      </c>
      <c r="C122" t="s">
        <v>101</v>
      </c>
      <c r="D122" t="s">
        <v>811</v>
      </c>
      <c r="E122">
        <v>1</v>
      </c>
      <c r="F122">
        <v>35000</v>
      </c>
      <c r="G122">
        <v>35000</v>
      </c>
      <c r="I122">
        <v>3500</v>
      </c>
      <c r="J122">
        <v>20000</v>
      </c>
      <c r="K122">
        <v>51500</v>
      </c>
      <c r="L122" t="s">
        <v>873</v>
      </c>
      <c r="M122" t="s">
        <v>903</v>
      </c>
      <c r="N122" t="s">
        <v>875</v>
      </c>
      <c r="O122" s="9">
        <v>45689</v>
      </c>
      <c r="P122" t="s">
        <v>877</v>
      </c>
      <c r="Q122">
        <v>31500</v>
      </c>
      <c r="R122" t="s">
        <v>812</v>
      </c>
      <c r="S122" t="s">
        <v>731</v>
      </c>
      <c r="T122" t="s">
        <v>732</v>
      </c>
      <c r="U122" t="s">
        <v>102</v>
      </c>
      <c r="V122" t="s">
        <v>23</v>
      </c>
      <c r="W122" t="s">
        <v>46</v>
      </c>
      <c r="X122" t="s">
        <v>9</v>
      </c>
    </row>
    <row r="123" spans="1:24">
      <c r="A123" t="s">
        <v>918</v>
      </c>
      <c r="B123" s="8">
        <v>45828</v>
      </c>
      <c r="C123" t="s">
        <v>226</v>
      </c>
      <c r="D123" t="s">
        <v>819</v>
      </c>
      <c r="E123">
        <v>1</v>
      </c>
      <c r="F123">
        <v>300000</v>
      </c>
      <c r="G123">
        <v>300000</v>
      </c>
      <c r="H123" t="s">
        <v>872</v>
      </c>
      <c r="I123">
        <v>0</v>
      </c>
      <c r="J123">
        <v>20000</v>
      </c>
      <c r="K123">
        <v>320000</v>
      </c>
      <c r="L123" t="s">
        <v>880</v>
      </c>
      <c r="M123" t="s">
        <v>901</v>
      </c>
      <c r="N123" t="s">
        <v>875</v>
      </c>
      <c r="O123" s="9">
        <v>45809</v>
      </c>
      <c r="P123" t="s">
        <v>877</v>
      </c>
      <c r="Q123">
        <v>300000</v>
      </c>
      <c r="R123" t="s">
        <v>820</v>
      </c>
      <c r="S123" t="s">
        <v>747</v>
      </c>
      <c r="T123" t="s">
        <v>748</v>
      </c>
      <c r="U123" t="s">
        <v>227</v>
      </c>
      <c r="V123" t="s">
        <v>23</v>
      </c>
      <c r="W123" t="s">
        <v>29</v>
      </c>
      <c r="X123" t="s">
        <v>9</v>
      </c>
    </row>
    <row r="124" spans="1:24">
      <c r="A124" t="s">
        <v>1053</v>
      </c>
      <c r="B124" s="8">
        <v>45789</v>
      </c>
      <c r="C124" t="s">
        <v>226</v>
      </c>
      <c r="D124" t="s">
        <v>805</v>
      </c>
      <c r="E124">
        <v>1</v>
      </c>
      <c r="F124">
        <v>200000</v>
      </c>
      <c r="G124">
        <v>200000</v>
      </c>
      <c r="H124" t="s">
        <v>895</v>
      </c>
      <c r="I124">
        <v>30000</v>
      </c>
      <c r="J124">
        <v>20000</v>
      </c>
      <c r="K124">
        <v>190000</v>
      </c>
      <c r="L124" t="s">
        <v>884</v>
      </c>
      <c r="M124" t="s">
        <v>901</v>
      </c>
      <c r="N124" t="s">
        <v>875</v>
      </c>
      <c r="O124" s="9">
        <v>45778</v>
      </c>
      <c r="P124" t="s">
        <v>877</v>
      </c>
      <c r="Q124">
        <v>170000</v>
      </c>
      <c r="R124" t="s">
        <v>806</v>
      </c>
      <c r="S124" t="s">
        <v>743</v>
      </c>
      <c r="T124" t="s">
        <v>744</v>
      </c>
      <c r="U124" t="s">
        <v>227</v>
      </c>
      <c r="V124" t="s">
        <v>23</v>
      </c>
      <c r="W124" t="s">
        <v>29</v>
      </c>
      <c r="X124" t="s">
        <v>9</v>
      </c>
    </row>
    <row r="125" spans="1:24">
      <c r="A125" t="s">
        <v>1177</v>
      </c>
      <c r="B125" s="8">
        <v>45747</v>
      </c>
      <c r="C125" t="s">
        <v>226</v>
      </c>
      <c r="D125" t="s">
        <v>753</v>
      </c>
      <c r="E125">
        <v>4</v>
      </c>
      <c r="F125">
        <v>300000</v>
      </c>
      <c r="G125">
        <v>1200000</v>
      </c>
      <c r="H125" t="s">
        <v>886</v>
      </c>
      <c r="I125">
        <v>120000</v>
      </c>
      <c r="J125">
        <v>25000</v>
      </c>
      <c r="K125">
        <v>1105000</v>
      </c>
      <c r="L125" t="s">
        <v>880</v>
      </c>
      <c r="M125" t="s">
        <v>903</v>
      </c>
      <c r="N125" t="s">
        <v>890</v>
      </c>
      <c r="O125" s="9">
        <v>45717</v>
      </c>
      <c r="P125" t="s">
        <v>892</v>
      </c>
      <c r="Q125">
        <v>1080000</v>
      </c>
      <c r="R125" t="s">
        <v>754</v>
      </c>
      <c r="S125" t="s">
        <v>735</v>
      </c>
      <c r="T125" t="s">
        <v>736</v>
      </c>
      <c r="U125" t="s">
        <v>227</v>
      </c>
      <c r="V125" t="s">
        <v>23</v>
      </c>
      <c r="W125" t="s">
        <v>29</v>
      </c>
      <c r="X125" t="s">
        <v>9</v>
      </c>
    </row>
    <row r="126" spans="1:24">
      <c r="A126" t="s">
        <v>997</v>
      </c>
      <c r="B126" s="8">
        <v>45672</v>
      </c>
      <c r="C126" t="s">
        <v>103</v>
      </c>
      <c r="D126" t="s">
        <v>831</v>
      </c>
      <c r="E126">
        <v>4</v>
      </c>
      <c r="F126">
        <v>300000</v>
      </c>
      <c r="G126">
        <v>1200000</v>
      </c>
      <c r="H126" t="s">
        <v>886</v>
      </c>
      <c r="I126">
        <v>120000</v>
      </c>
      <c r="J126">
        <v>30000</v>
      </c>
      <c r="K126">
        <v>1110000</v>
      </c>
      <c r="L126" t="s">
        <v>873</v>
      </c>
      <c r="M126" t="s">
        <v>881</v>
      </c>
      <c r="N126" t="s">
        <v>905</v>
      </c>
      <c r="O126" s="9">
        <v>45658</v>
      </c>
      <c r="P126" t="s">
        <v>892</v>
      </c>
      <c r="Q126">
        <v>1080000</v>
      </c>
      <c r="R126" t="s">
        <v>832</v>
      </c>
      <c r="S126" t="s">
        <v>747</v>
      </c>
      <c r="T126" t="s">
        <v>748</v>
      </c>
      <c r="U126" t="s">
        <v>104</v>
      </c>
      <c r="V126" t="s">
        <v>23</v>
      </c>
      <c r="W126" t="s">
        <v>29</v>
      </c>
      <c r="X126" t="s">
        <v>9</v>
      </c>
    </row>
    <row r="127" spans="1:24">
      <c r="A127" t="s">
        <v>1070</v>
      </c>
      <c r="B127" s="8">
        <v>45727</v>
      </c>
      <c r="C127" t="s">
        <v>105</v>
      </c>
      <c r="D127" t="s">
        <v>753</v>
      </c>
      <c r="E127">
        <v>2</v>
      </c>
      <c r="F127">
        <v>300000</v>
      </c>
      <c r="G127">
        <v>600000</v>
      </c>
      <c r="H127" t="s">
        <v>879</v>
      </c>
      <c r="I127">
        <v>120000</v>
      </c>
      <c r="J127">
        <v>10000</v>
      </c>
      <c r="K127">
        <v>490000</v>
      </c>
      <c r="L127" t="s">
        <v>889</v>
      </c>
      <c r="M127" t="s">
        <v>903</v>
      </c>
      <c r="N127" t="s">
        <v>905</v>
      </c>
      <c r="O127" s="9">
        <v>45717</v>
      </c>
      <c r="P127" t="s">
        <v>892</v>
      </c>
      <c r="Q127">
        <v>480000</v>
      </c>
      <c r="R127" t="s">
        <v>754</v>
      </c>
      <c r="S127" t="s">
        <v>735</v>
      </c>
      <c r="T127" t="s">
        <v>736</v>
      </c>
      <c r="U127" t="s">
        <v>106</v>
      </c>
      <c r="V127" t="s">
        <v>23</v>
      </c>
      <c r="W127" t="s">
        <v>8</v>
      </c>
      <c r="X127" t="s">
        <v>15</v>
      </c>
    </row>
    <row r="128" spans="1:24">
      <c r="A128" t="s">
        <v>943</v>
      </c>
      <c r="B128" s="8">
        <v>45737</v>
      </c>
      <c r="C128" t="s">
        <v>354</v>
      </c>
      <c r="D128" t="s">
        <v>791</v>
      </c>
      <c r="E128">
        <v>1</v>
      </c>
      <c r="F128">
        <v>50000</v>
      </c>
      <c r="G128">
        <v>50000</v>
      </c>
      <c r="H128" t="s">
        <v>883</v>
      </c>
      <c r="I128">
        <v>5000</v>
      </c>
      <c r="J128">
        <v>10000</v>
      </c>
      <c r="K128">
        <v>55000</v>
      </c>
      <c r="L128" t="s">
        <v>889</v>
      </c>
      <c r="M128" t="s">
        <v>901</v>
      </c>
      <c r="N128" t="s">
        <v>875</v>
      </c>
      <c r="O128" s="9">
        <v>45717</v>
      </c>
      <c r="P128" t="s">
        <v>877</v>
      </c>
      <c r="Q128">
        <v>45000</v>
      </c>
      <c r="R128" t="s">
        <v>792</v>
      </c>
      <c r="S128" t="s">
        <v>739</v>
      </c>
      <c r="T128" t="s">
        <v>740</v>
      </c>
      <c r="U128" t="s">
        <v>355</v>
      </c>
      <c r="V128" t="s">
        <v>23</v>
      </c>
      <c r="W128" t="s">
        <v>46</v>
      </c>
      <c r="X128" t="s">
        <v>24</v>
      </c>
    </row>
    <row r="129" spans="1:24">
      <c r="A129" t="s">
        <v>1215</v>
      </c>
      <c r="B129" s="8">
        <v>45834</v>
      </c>
      <c r="C129" t="s">
        <v>354</v>
      </c>
      <c r="D129" t="s">
        <v>773</v>
      </c>
      <c r="E129">
        <v>2</v>
      </c>
      <c r="F129">
        <v>500000</v>
      </c>
      <c r="G129">
        <v>1000000</v>
      </c>
      <c r="H129" t="s">
        <v>872</v>
      </c>
      <c r="I129">
        <v>0</v>
      </c>
      <c r="J129">
        <v>20000</v>
      </c>
      <c r="K129">
        <v>1020000</v>
      </c>
      <c r="L129" t="s">
        <v>873</v>
      </c>
      <c r="M129" t="s">
        <v>903</v>
      </c>
      <c r="N129" t="s">
        <v>875</v>
      </c>
      <c r="O129" s="9">
        <v>45809</v>
      </c>
      <c r="P129" t="s">
        <v>877</v>
      </c>
      <c r="Q129">
        <v>1000000</v>
      </c>
      <c r="R129" t="s">
        <v>774</v>
      </c>
      <c r="S129" t="s">
        <v>727</v>
      </c>
      <c r="T129" t="s">
        <v>728</v>
      </c>
      <c r="U129" t="s">
        <v>355</v>
      </c>
      <c r="V129" t="s">
        <v>23</v>
      </c>
      <c r="W129" t="s">
        <v>46</v>
      </c>
      <c r="X129" t="s">
        <v>24</v>
      </c>
    </row>
    <row r="130" spans="1:24">
      <c r="A130" t="s">
        <v>1129</v>
      </c>
      <c r="B130" s="8">
        <v>45732</v>
      </c>
      <c r="C130" t="s">
        <v>107</v>
      </c>
      <c r="D130" t="s">
        <v>737</v>
      </c>
      <c r="E130">
        <v>1</v>
      </c>
      <c r="F130">
        <v>300000</v>
      </c>
      <c r="G130">
        <v>300000</v>
      </c>
      <c r="H130" t="s">
        <v>872</v>
      </c>
      <c r="I130">
        <v>0</v>
      </c>
      <c r="J130">
        <v>20000</v>
      </c>
      <c r="K130">
        <v>320000</v>
      </c>
      <c r="L130" t="s">
        <v>889</v>
      </c>
      <c r="M130" t="s">
        <v>874</v>
      </c>
      <c r="N130" t="s">
        <v>875</v>
      </c>
      <c r="O130" s="9">
        <v>45717</v>
      </c>
      <c r="P130" t="s">
        <v>877</v>
      </c>
      <c r="Q130">
        <v>300000</v>
      </c>
      <c r="R130" t="s">
        <v>738</v>
      </c>
      <c r="S130" t="s">
        <v>739</v>
      </c>
      <c r="T130" t="s">
        <v>740</v>
      </c>
      <c r="U130" t="s">
        <v>108</v>
      </c>
      <c r="V130" t="s">
        <v>23</v>
      </c>
      <c r="W130" t="s">
        <v>12</v>
      </c>
      <c r="X130" t="s">
        <v>24</v>
      </c>
    </row>
    <row r="131" spans="1:24">
      <c r="A131" t="s">
        <v>926</v>
      </c>
      <c r="B131" s="8">
        <v>45765</v>
      </c>
      <c r="C131" t="s">
        <v>394</v>
      </c>
      <c r="D131" t="s">
        <v>825</v>
      </c>
      <c r="E131">
        <v>1</v>
      </c>
      <c r="F131">
        <v>100000</v>
      </c>
      <c r="G131">
        <v>100000</v>
      </c>
      <c r="H131" t="s">
        <v>895</v>
      </c>
      <c r="I131">
        <v>15000</v>
      </c>
      <c r="J131">
        <v>25000</v>
      </c>
      <c r="K131">
        <v>110000</v>
      </c>
      <c r="L131" t="s">
        <v>884</v>
      </c>
      <c r="M131" t="s">
        <v>903</v>
      </c>
      <c r="N131" t="s">
        <v>911</v>
      </c>
      <c r="O131" s="9">
        <v>45748</v>
      </c>
      <c r="P131" t="s">
        <v>892</v>
      </c>
      <c r="Q131">
        <v>85000</v>
      </c>
      <c r="R131" t="s">
        <v>826</v>
      </c>
      <c r="S131" t="s">
        <v>735</v>
      </c>
      <c r="T131" t="s">
        <v>736</v>
      </c>
      <c r="U131" t="s">
        <v>395</v>
      </c>
      <c r="V131" t="s">
        <v>7</v>
      </c>
      <c r="W131" t="s">
        <v>39</v>
      </c>
      <c r="X131" t="s">
        <v>9</v>
      </c>
    </row>
    <row r="132" spans="1:24">
      <c r="A132" t="s">
        <v>1097</v>
      </c>
      <c r="B132" s="8">
        <v>45777</v>
      </c>
      <c r="C132" t="s">
        <v>109</v>
      </c>
      <c r="D132" t="s">
        <v>811</v>
      </c>
      <c r="E132">
        <v>3</v>
      </c>
      <c r="F132">
        <v>35000</v>
      </c>
      <c r="G132">
        <v>105000</v>
      </c>
      <c r="H132" t="s">
        <v>872</v>
      </c>
      <c r="I132">
        <v>0</v>
      </c>
      <c r="J132">
        <v>20000</v>
      </c>
      <c r="K132">
        <v>125000</v>
      </c>
      <c r="L132" t="s">
        <v>884</v>
      </c>
      <c r="M132" t="s">
        <v>881</v>
      </c>
      <c r="N132" t="s">
        <v>905</v>
      </c>
      <c r="O132" s="9">
        <v>45748</v>
      </c>
      <c r="P132" t="s">
        <v>892</v>
      </c>
      <c r="Q132">
        <v>105000</v>
      </c>
      <c r="R132" t="s">
        <v>812</v>
      </c>
      <c r="S132" t="s">
        <v>731</v>
      </c>
      <c r="T132" t="s">
        <v>732</v>
      </c>
      <c r="U132" t="s">
        <v>110</v>
      </c>
      <c r="V132" t="s">
        <v>23</v>
      </c>
      <c r="W132" t="s">
        <v>46</v>
      </c>
      <c r="X132" t="s">
        <v>15</v>
      </c>
    </row>
    <row r="133" spans="1:24">
      <c r="A133" t="s">
        <v>1229</v>
      </c>
      <c r="B133" s="8">
        <v>45807</v>
      </c>
      <c r="C133" t="s">
        <v>113</v>
      </c>
      <c r="D133" t="s">
        <v>777</v>
      </c>
      <c r="E133">
        <v>1</v>
      </c>
      <c r="F133">
        <v>200000</v>
      </c>
      <c r="G133">
        <v>200000</v>
      </c>
      <c r="H133" t="s">
        <v>895</v>
      </c>
      <c r="I133">
        <v>30000</v>
      </c>
      <c r="J133">
        <v>25000</v>
      </c>
      <c r="K133">
        <v>195000</v>
      </c>
      <c r="L133" t="s">
        <v>873</v>
      </c>
      <c r="M133" t="s">
        <v>903</v>
      </c>
      <c r="N133" t="s">
        <v>890</v>
      </c>
      <c r="O133" s="9">
        <v>45778</v>
      </c>
      <c r="P133" t="s">
        <v>892</v>
      </c>
      <c r="Q133">
        <v>170000</v>
      </c>
      <c r="R133" t="s">
        <v>778</v>
      </c>
      <c r="S133" t="s">
        <v>735</v>
      </c>
      <c r="T133" t="s">
        <v>736</v>
      </c>
      <c r="U133" t="s">
        <v>114</v>
      </c>
      <c r="V133" t="s">
        <v>23</v>
      </c>
      <c r="W133" t="s">
        <v>39</v>
      </c>
      <c r="X133" t="s">
        <v>24</v>
      </c>
    </row>
    <row r="134" spans="1:24">
      <c r="A134" t="s">
        <v>954</v>
      </c>
      <c r="B134" s="8">
        <v>45783</v>
      </c>
      <c r="C134" t="s">
        <v>490</v>
      </c>
      <c r="D134" t="s">
        <v>847</v>
      </c>
      <c r="E134">
        <v>2</v>
      </c>
      <c r="F134">
        <v>100000</v>
      </c>
      <c r="G134">
        <v>200000</v>
      </c>
      <c r="H134" t="s">
        <v>886</v>
      </c>
      <c r="I134">
        <v>20000</v>
      </c>
      <c r="J134">
        <v>20000</v>
      </c>
      <c r="K134">
        <v>200000</v>
      </c>
      <c r="L134" t="s">
        <v>880</v>
      </c>
      <c r="M134" t="s">
        <v>901</v>
      </c>
      <c r="N134" t="s">
        <v>890</v>
      </c>
      <c r="O134" s="9">
        <v>45778</v>
      </c>
      <c r="P134" t="s">
        <v>892</v>
      </c>
      <c r="Q134">
        <v>180000</v>
      </c>
      <c r="R134" t="s">
        <v>848</v>
      </c>
      <c r="S134" t="s">
        <v>731</v>
      </c>
      <c r="T134" t="s">
        <v>732</v>
      </c>
      <c r="U134" t="s">
        <v>491</v>
      </c>
      <c r="V134" t="s">
        <v>23</v>
      </c>
      <c r="W134" t="s">
        <v>39</v>
      </c>
      <c r="X134" t="s">
        <v>9</v>
      </c>
    </row>
    <row r="135" spans="1:24">
      <c r="A135" t="s">
        <v>930</v>
      </c>
      <c r="B135" s="8">
        <v>45673</v>
      </c>
      <c r="C135" t="s">
        <v>490</v>
      </c>
      <c r="D135" t="s">
        <v>829</v>
      </c>
      <c r="E135">
        <v>1</v>
      </c>
      <c r="F135">
        <v>500000</v>
      </c>
      <c r="G135">
        <v>500000</v>
      </c>
      <c r="H135" t="s">
        <v>886</v>
      </c>
      <c r="I135">
        <v>50000</v>
      </c>
      <c r="J135">
        <v>10000</v>
      </c>
      <c r="K135">
        <v>460000</v>
      </c>
      <c r="L135" t="s">
        <v>884</v>
      </c>
      <c r="M135" t="s">
        <v>881</v>
      </c>
      <c r="N135" t="s">
        <v>890</v>
      </c>
      <c r="O135" s="9">
        <v>45658</v>
      </c>
      <c r="P135" t="s">
        <v>892</v>
      </c>
      <c r="Q135">
        <v>450000</v>
      </c>
      <c r="R135" t="s">
        <v>830</v>
      </c>
      <c r="S135" t="s">
        <v>743</v>
      </c>
      <c r="T135" t="s">
        <v>744</v>
      </c>
      <c r="U135" t="s">
        <v>491</v>
      </c>
      <c r="V135" t="s">
        <v>23</v>
      </c>
      <c r="W135" t="s">
        <v>39</v>
      </c>
      <c r="X135" t="s">
        <v>9</v>
      </c>
    </row>
    <row r="136" spans="1:24">
      <c r="A136" t="s">
        <v>959</v>
      </c>
      <c r="B136" s="8">
        <v>45783</v>
      </c>
      <c r="C136" t="s">
        <v>490</v>
      </c>
      <c r="D136" t="s">
        <v>775</v>
      </c>
      <c r="E136">
        <v>2</v>
      </c>
      <c r="F136">
        <v>75000</v>
      </c>
      <c r="G136">
        <v>150000</v>
      </c>
      <c r="H136" t="s">
        <v>872</v>
      </c>
      <c r="I136">
        <v>0</v>
      </c>
      <c r="J136">
        <v>30000</v>
      </c>
      <c r="K136">
        <v>180000</v>
      </c>
      <c r="L136" t="s">
        <v>889</v>
      </c>
      <c r="M136" t="s">
        <v>874</v>
      </c>
      <c r="N136" t="s">
        <v>875</v>
      </c>
      <c r="O136" s="9">
        <v>45778</v>
      </c>
      <c r="P136" t="s">
        <v>877</v>
      </c>
      <c r="Q136">
        <v>150000</v>
      </c>
      <c r="R136" t="s">
        <v>776</v>
      </c>
      <c r="S136" t="s">
        <v>731</v>
      </c>
      <c r="T136" t="s">
        <v>732</v>
      </c>
      <c r="U136" t="s">
        <v>491</v>
      </c>
      <c r="V136" t="s">
        <v>23</v>
      </c>
      <c r="W136" t="s">
        <v>39</v>
      </c>
      <c r="X136" t="s">
        <v>9</v>
      </c>
    </row>
    <row r="137" spans="1:24">
      <c r="A137" t="s">
        <v>1043</v>
      </c>
      <c r="B137" s="8">
        <v>45835</v>
      </c>
      <c r="C137" t="s">
        <v>115</v>
      </c>
      <c r="D137" t="s">
        <v>807</v>
      </c>
      <c r="E137">
        <v>3</v>
      </c>
      <c r="F137">
        <v>150000</v>
      </c>
      <c r="G137">
        <v>450000</v>
      </c>
      <c r="H137" t="s">
        <v>886</v>
      </c>
      <c r="I137">
        <v>45000</v>
      </c>
      <c r="J137">
        <v>15000</v>
      </c>
      <c r="K137">
        <v>420000</v>
      </c>
      <c r="L137" t="s">
        <v>889</v>
      </c>
      <c r="M137" t="s">
        <v>901</v>
      </c>
      <c r="N137" t="s">
        <v>875</v>
      </c>
      <c r="O137" s="9">
        <v>45809</v>
      </c>
      <c r="P137" t="s">
        <v>877</v>
      </c>
      <c r="Q137">
        <v>405000</v>
      </c>
      <c r="R137" t="s">
        <v>808</v>
      </c>
      <c r="S137" t="s">
        <v>747</v>
      </c>
      <c r="T137" t="s">
        <v>748</v>
      </c>
      <c r="U137" t="s">
        <v>116</v>
      </c>
      <c r="V137" t="s">
        <v>23</v>
      </c>
      <c r="W137" t="s">
        <v>46</v>
      </c>
      <c r="X137" t="s">
        <v>24</v>
      </c>
    </row>
    <row r="138" spans="1:24">
      <c r="A138" t="s">
        <v>1180</v>
      </c>
      <c r="B138" s="8">
        <v>45722</v>
      </c>
      <c r="C138" t="s">
        <v>115</v>
      </c>
      <c r="D138" t="s">
        <v>829</v>
      </c>
      <c r="E138">
        <v>2</v>
      </c>
      <c r="F138">
        <v>500000</v>
      </c>
      <c r="G138">
        <v>1000000</v>
      </c>
      <c r="H138" t="s">
        <v>883</v>
      </c>
      <c r="I138">
        <v>100000</v>
      </c>
      <c r="J138">
        <v>10000</v>
      </c>
      <c r="K138">
        <v>910000</v>
      </c>
      <c r="L138" t="s">
        <v>873</v>
      </c>
      <c r="M138" t="s">
        <v>901</v>
      </c>
      <c r="N138" t="s">
        <v>875</v>
      </c>
      <c r="O138" s="9">
        <v>45717</v>
      </c>
      <c r="P138" t="s">
        <v>877</v>
      </c>
      <c r="Q138">
        <v>900000</v>
      </c>
      <c r="R138" t="s">
        <v>830</v>
      </c>
      <c r="S138" t="s">
        <v>743</v>
      </c>
      <c r="T138" t="s">
        <v>744</v>
      </c>
      <c r="U138" t="s">
        <v>116</v>
      </c>
      <c r="V138" t="s">
        <v>23</v>
      </c>
      <c r="W138" t="s">
        <v>46</v>
      </c>
      <c r="X138" t="s">
        <v>24</v>
      </c>
    </row>
    <row r="139" spans="1:24">
      <c r="A139" t="s">
        <v>1065</v>
      </c>
      <c r="B139" s="8">
        <v>45766</v>
      </c>
      <c r="C139" t="s">
        <v>119</v>
      </c>
      <c r="D139" t="s">
        <v>841</v>
      </c>
      <c r="E139">
        <v>1</v>
      </c>
      <c r="F139">
        <v>75000</v>
      </c>
      <c r="G139">
        <v>75000</v>
      </c>
      <c r="H139" t="s">
        <v>872</v>
      </c>
      <c r="I139">
        <v>0</v>
      </c>
      <c r="J139">
        <v>30000</v>
      </c>
      <c r="K139">
        <v>105000</v>
      </c>
      <c r="L139" t="s">
        <v>884</v>
      </c>
      <c r="M139" t="s">
        <v>881</v>
      </c>
      <c r="N139" t="s">
        <v>875</v>
      </c>
      <c r="O139" s="9">
        <v>45748</v>
      </c>
      <c r="P139" t="s">
        <v>877</v>
      </c>
      <c r="Q139">
        <v>75000</v>
      </c>
      <c r="R139" t="s">
        <v>842</v>
      </c>
      <c r="S139" t="s">
        <v>743</v>
      </c>
      <c r="T139" t="s">
        <v>744</v>
      </c>
      <c r="U139" t="s">
        <v>120</v>
      </c>
      <c r="V139" t="s">
        <v>23</v>
      </c>
      <c r="W139" t="s">
        <v>39</v>
      </c>
      <c r="X139" t="s">
        <v>24</v>
      </c>
    </row>
    <row r="140" spans="1:24">
      <c r="A140" t="s">
        <v>1154</v>
      </c>
      <c r="B140" s="8">
        <v>45804</v>
      </c>
      <c r="C140" t="s">
        <v>123</v>
      </c>
      <c r="D140" t="s">
        <v>773</v>
      </c>
      <c r="E140">
        <v>1</v>
      </c>
      <c r="F140">
        <v>500000</v>
      </c>
      <c r="G140">
        <v>500000</v>
      </c>
      <c r="H140" t="s">
        <v>886</v>
      </c>
      <c r="I140">
        <v>50000</v>
      </c>
      <c r="J140">
        <v>15000</v>
      </c>
      <c r="K140">
        <v>465000</v>
      </c>
      <c r="L140" t="s">
        <v>889</v>
      </c>
      <c r="M140" t="s">
        <v>881</v>
      </c>
      <c r="N140" t="s">
        <v>890</v>
      </c>
      <c r="O140" s="9">
        <v>45778</v>
      </c>
      <c r="P140" t="s">
        <v>892</v>
      </c>
      <c r="Q140">
        <v>450000</v>
      </c>
      <c r="R140" t="s">
        <v>774</v>
      </c>
      <c r="S140" t="s">
        <v>727</v>
      </c>
      <c r="T140" t="s">
        <v>728</v>
      </c>
      <c r="U140" t="s">
        <v>124</v>
      </c>
      <c r="V140" t="s">
        <v>23</v>
      </c>
      <c r="W140" t="s">
        <v>46</v>
      </c>
      <c r="X140" t="s">
        <v>9</v>
      </c>
    </row>
    <row r="141" spans="1:24">
      <c r="A141" t="s">
        <v>934</v>
      </c>
      <c r="B141" s="8">
        <v>45719</v>
      </c>
      <c r="C141" t="s">
        <v>684</v>
      </c>
      <c r="D141" t="s">
        <v>803</v>
      </c>
      <c r="E141">
        <v>1</v>
      </c>
      <c r="F141">
        <v>50000</v>
      </c>
      <c r="G141">
        <v>50000</v>
      </c>
      <c r="H141" t="s">
        <v>879</v>
      </c>
      <c r="I141">
        <v>10000</v>
      </c>
      <c r="J141">
        <v>30000</v>
      </c>
      <c r="K141">
        <v>70000</v>
      </c>
      <c r="L141" t="s">
        <v>889</v>
      </c>
      <c r="M141" t="s">
        <v>874</v>
      </c>
      <c r="N141" t="s">
        <v>890</v>
      </c>
      <c r="O141" s="9">
        <v>45717</v>
      </c>
      <c r="P141" t="s">
        <v>892</v>
      </c>
      <c r="Q141">
        <v>40000</v>
      </c>
      <c r="R141" t="s">
        <v>804</v>
      </c>
      <c r="S141" t="s">
        <v>739</v>
      </c>
      <c r="T141" t="s">
        <v>740</v>
      </c>
      <c r="U141" t="s">
        <v>685</v>
      </c>
      <c r="V141" t="s">
        <v>23</v>
      </c>
      <c r="W141" t="s">
        <v>46</v>
      </c>
      <c r="X141" t="s">
        <v>9</v>
      </c>
    </row>
    <row r="142" spans="1:24">
      <c r="A142" t="s">
        <v>944</v>
      </c>
      <c r="B142" s="8">
        <v>45838</v>
      </c>
      <c r="C142" t="s">
        <v>358</v>
      </c>
      <c r="D142" t="s">
        <v>807</v>
      </c>
      <c r="E142">
        <v>4</v>
      </c>
      <c r="F142">
        <v>150000</v>
      </c>
      <c r="G142">
        <v>600000</v>
      </c>
      <c r="H142" t="s">
        <v>883</v>
      </c>
      <c r="I142">
        <v>60000</v>
      </c>
      <c r="J142">
        <v>15000</v>
      </c>
      <c r="K142">
        <v>555000</v>
      </c>
      <c r="L142" t="s">
        <v>889</v>
      </c>
      <c r="M142" t="s">
        <v>901</v>
      </c>
      <c r="N142" t="s">
        <v>890</v>
      </c>
      <c r="O142" s="9">
        <v>45809</v>
      </c>
      <c r="P142" t="s">
        <v>892</v>
      </c>
      <c r="Q142">
        <v>540000</v>
      </c>
      <c r="R142" t="s">
        <v>808</v>
      </c>
      <c r="S142" t="s">
        <v>747</v>
      </c>
      <c r="T142" t="s">
        <v>748</v>
      </c>
      <c r="U142" t="s">
        <v>359</v>
      </c>
      <c r="V142" t="s">
        <v>7</v>
      </c>
      <c r="W142" t="s">
        <v>137</v>
      </c>
      <c r="X142" t="s">
        <v>9</v>
      </c>
    </row>
    <row r="143" spans="1:24">
      <c r="A143" t="s">
        <v>933</v>
      </c>
      <c r="B143" s="8">
        <v>45694</v>
      </c>
      <c r="C143" t="s">
        <v>140</v>
      </c>
      <c r="D143" t="s">
        <v>809</v>
      </c>
      <c r="E143">
        <v>1</v>
      </c>
      <c r="F143">
        <v>100000</v>
      </c>
      <c r="G143">
        <v>100000</v>
      </c>
      <c r="H143" t="s">
        <v>879</v>
      </c>
      <c r="I143">
        <v>20000</v>
      </c>
      <c r="J143">
        <v>20000</v>
      </c>
      <c r="K143">
        <v>100000</v>
      </c>
      <c r="L143" t="s">
        <v>880</v>
      </c>
      <c r="M143" t="s">
        <v>881</v>
      </c>
      <c r="N143" t="s">
        <v>875</v>
      </c>
      <c r="O143" s="9">
        <v>45689</v>
      </c>
      <c r="P143" t="s">
        <v>877</v>
      </c>
      <c r="Q143">
        <v>80000</v>
      </c>
      <c r="R143" t="s">
        <v>810</v>
      </c>
      <c r="S143" t="s">
        <v>727</v>
      </c>
      <c r="T143" t="s">
        <v>728</v>
      </c>
      <c r="U143" t="s">
        <v>141</v>
      </c>
      <c r="V143" t="s">
        <v>23</v>
      </c>
      <c r="W143" t="s">
        <v>137</v>
      </c>
      <c r="X143" t="s">
        <v>9</v>
      </c>
    </row>
    <row r="144" spans="1:24">
      <c r="A144" t="s">
        <v>935</v>
      </c>
      <c r="B144" s="8">
        <v>45767</v>
      </c>
      <c r="C144" t="s">
        <v>678</v>
      </c>
      <c r="D144" t="s">
        <v>821</v>
      </c>
      <c r="E144">
        <v>1</v>
      </c>
      <c r="F144">
        <v>50000</v>
      </c>
      <c r="G144">
        <v>50000</v>
      </c>
      <c r="H144" t="s">
        <v>895</v>
      </c>
      <c r="I144">
        <v>7500</v>
      </c>
      <c r="J144">
        <v>30000</v>
      </c>
      <c r="K144">
        <v>72500</v>
      </c>
      <c r="L144" t="s">
        <v>889</v>
      </c>
      <c r="M144" t="s">
        <v>903</v>
      </c>
      <c r="N144" t="s">
        <v>875</v>
      </c>
      <c r="O144" s="9">
        <v>45748</v>
      </c>
      <c r="P144" t="s">
        <v>877</v>
      </c>
      <c r="Q144">
        <v>42500</v>
      </c>
      <c r="R144" t="s">
        <v>822</v>
      </c>
      <c r="S144" t="s">
        <v>727</v>
      </c>
      <c r="T144" t="s">
        <v>728</v>
      </c>
      <c r="U144" t="s">
        <v>679</v>
      </c>
      <c r="V144" t="s">
        <v>7</v>
      </c>
      <c r="W144" t="s">
        <v>46</v>
      </c>
      <c r="X144" t="s">
        <v>9</v>
      </c>
    </row>
    <row r="145" spans="1:24">
      <c r="A145" t="s">
        <v>1132</v>
      </c>
      <c r="B145" s="8">
        <v>45734</v>
      </c>
      <c r="C145" t="s">
        <v>135</v>
      </c>
      <c r="D145" t="s">
        <v>829</v>
      </c>
      <c r="E145">
        <v>3</v>
      </c>
      <c r="F145">
        <v>500000</v>
      </c>
      <c r="G145">
        <v>1500000</v>
      </c>
      <c r="H145" t="s">
        <v>895</v>
      </c>
      <c r="I145">
        <v>225000</v>
      </c>
      <c r="J145">
        <v>30000</v>
      </c>
      <c r="K145">
        <v>1305000</v>
      </c>
      <c r="L145" t="s">
        <v>884</v>
      </c>
      <c r="M145" t="s">
        <v>874</v>
      </c>
      <c r="N145" t="s">
        <v>875</v>
      </c>
      <c r="O145" s="9">
        <v>45717</v>
      </c>
      <c r="P145" t="s">
        <v>877</v>
      </c>
      <c r="Q145">
        <v>1275000</v>
      </c>
      <c r="R145" t="s">
        <v>830</v>
      </c>
      <c r="S145" t="s">
        <v>743</v>
      </c>
      <c r="T145" t="s">
        <v>744</v>
      </c>
      <c r="U145" t="s">
        <v>136</v>
      </c>
      <c r="V145" t="s">
        <v>23</v>
      </c>
      <c r="W145" t="s">
        <v>137</v>
      </c>
      <c r="X145" t="s">
        <v>24</v>
      </c>
    </row>
    <row r="146" spans="1:24">
      <c r="A146" t="s">
        <v>1207</v>
      </c>
      <c r="B146" s="8">
        <v>45673</v>
      </c>
      <c r="C146" t="s">
        <v>135</v>
      </c>
      <c r="D146" t="s">
        <v>845</v>
      </c>
      <c r="E146">
        <v>4</v>
      </c>
      <c r="F146">
        <v>300000</v>
      </c>
      <c r="G146">
        <v>1200000</v>
      </c>
      <c r="H146" t="s">
        <v>895</v>
      </c>
      <c r="I146">
        <v>180000</v>
      </c>
      <c r="J146">
        <v>10000</v>
      </c>
      <c r="K146">
        <v>1030000</v>
      </c>
      <c r="L146" t="s">
        <v>889</v>
      </c>
      <c r="M146" t="s">
        <v>903</v>
      </c>
      <c r="N146" t="s">
        <v>890</v>
      </c>
      <c r="O146" s="9">
        <v>45658</v>
      </c>
      <c r="P146" t="s">
        <v>892</v>
      </c>
      <c r="Q146">
        <v>1020000</v>
      </c>
      <c r="R146" t="s">
        <v>846</v>
      </c>
      <c r="S146" t="s">
        <v>727</v>
      </c>
      <c r="T146" t="s">
        <v>728</v>
      </c>
      <c r="U146" t="s">
        <v>136</v>
      </c>
      <c r="V146" t="s">
        <v>23</v>
      </c>
      <c r="W146" t="s">
        <v>137</v>
      </c>
      <c r="X146" t="s">
        <v>24</v>
      </c>
    </row>
    <row r="147" spans="1:24">
      <c r="A147" t="s">
        <v>941</v>
      </c>
      <c r="B147" s="8">
        <v>45694</v>
      </c>
      <c r="C147" t="s">
        <v>650</v>
      </c>
      <c r="D147" t="s">
        <v>831</v>
      </c>
      <c r="E147">
        <v>2</v>
      </c>
      <c r="F147">
        <v>300000</v>
      </c>
      <c r="G147">
        <v>600000</v>
      </c>
      <c r="H147" t="s">
        <v>886</v>
      </c>
      <c r="I147">
        <v>60000</v>
      </c>
      <c r="J147">
        <v>30000</v>
      </c>
      <c r="K147">
        <v>570000</v>
      </c>
      <c r="L147" t="s">
        <v>880</v>
      </c>
      <c r="M147" t="s">
        <v>903</v>
      </c>
      <c r="N147" t="s">
        <v>911</v>
      </c>
      <c r="O147" s="9">
        <v>45689</v>
      </c>
      <c r="P147" t="s">
        <v>892</v>
      </c>
      <c r="Q147">
        <v>540000</v>
      </c>
      <c r="R147" t="s">
        <v>832</v>
      </c>
      <c r="S147" t="s">
        <v>747</v>
      </c>
      <c r="T147" t="s">
        <v>748</v>
      </c>
      <c r="U147" t="s">
        <v>651</v>
      </c>
      <c r="V147" t="s">
        <v>23</v>
      </c>
      <c r="W147" t="s">
        <v>20</v>
      </c>
      <c r="X147" t="s">
        <v>9</v>
      </c>
    </row>
    <row r="148" spans="1:24">
      <c r="A148" t="s">
        <v>977</v>
      </c>
      <c r="B148" s="8">
        <v>45719</v>
      </c>
      <c r="C148" t="s">
        <v>650</v>
      </c>
      <c r="D148" t="s">
        <v>829</v>
      </c>
      <c r="E148">
        <v>3</v>
      </c>
      <c r="F148">
        <v>500000</v>
      </c>
      <c r="G148">
        <v>1500000</v>
      </c>
      <c r="H148" t="s">
        <v>872</v>
      </c>
      <c r="I148">
        <v>0</v>
      </c>
      <c r="J148">
        <v>10000</v>
      </c>
      <c r="K148">
        <v>1510000</v>
      </c>
      <c r="L148" t="s">
        <v>884</v>
      </c>
      <c r="M148" t="s">
        <v>903</v>
      </c>
      <c r="N148" t="s">
        <v>875</v>
      </c>
      <c r="O148" s="9">
        <v>45717</v>
      </c>
      <c r="P148" t="s">
        <v>877</v>
      </c>
      <c r="Q148">
        <v>1500000</v>
      </c>
      <c r="R148" t="s">
        <v>830</v>
      </c>
      <c r="S148" t="s">
        <v>743</v>
      </c>
      <c r="T148" t="s">
        <v>744</v>
      </c>
      <c r="U148" t="s">
        <v>651</v>
      </c>
      <c r="V148" t="s">
        <v>23</v>
      </c>
      <c r="W148" t="s">
        <v>20</v>
      </c>
      <c r="X148" t="s">
        <v>9</v>
      </c>
    </row>
    <row r="149" spans="1:24">
      <c r="A149" t="s">
        <v>994</v>
      </c>
      <c r="B149" s="8">
        <v>45800</v>
      </c>
      <c r="C149" t="s">
        <v>650</v>
      </c>
      <c r="D149" t="s">
        <v>793</v>
      </c>
      <c r="E149">
        <v>1</v>
      </c>
      <c r="F149">
        <v>500000</v>
      </c>
      <c r="G149">
        <v>500000</v>
      </c>
      <c r="H149" t="s">
        <v>872</v>
      </c>
      <c r="I149">
        <v>0</v>
      </c>
      <c r="J149">
        <v>15000</v>
      </c>
      <c r="K149">
        <v>515000</v>
      </c>
      <c r="L149" t="s">
        <v>884</v>
      </c>
      <c r="M149" t="s">
        <v>881</v>
      </c>
      <c r="N149" t="s">
        <v>875</v>
      </c>
      <c r="O149" s="9">
        <v>45778</v>
      </c>
      <c r="P149" t="s">
        <v>877</v>
      </c>
      <c r="Q149">
        <v>500000</v>
      </c>
      <c r="R149" t="s">
        <v>794</v>
      </c>
      <c r="S149" t="s">
        <v>743</v>
      </c>
      <c r="T149" t="s">
        <v>744</v>
      </c>
      <c r="U149" t="s">
        <v>651</v>
      </c>
      <c r="V149" t="s">
        <v>23</v>
      </c>
      <c r="W149" t="s">
        <v>20</v>
      </c>
      <c r="X149" t="s">
        <v>9</v>
      </c>
    </row>
    <row r="150" spans="1:24">
      <c r="A150" t="s">
        <v>1012</v>
      </c>
      <c r="B150" s="8">
        <v>45706</v>
      </c>
      <c r="C150" t="s">
        <v>650</v>
      </c>
      <c r="D150" t="s">
        <v>729</v>
      </c>
      <c r="E150">
        <v>2</v>
      </c>
      <c r="F150">
        <v>100000</v>
      </c>
      <c r="G150">
        <v>200000</v>
      </c>
      <c r="H150" t="s">
        <v>872</v>
      </c>
      <c r="I150">
        <v>0</v>
      </c>
      <c r="J150">
        <v>15000</v>
      </c>
      <c r="K150">
        <v>215000</v>
      </c>
      <c r="L150" t="s">
        <v>889</v>
      </c>
      <c r="M150" t="s">
        <v>901</v>
      </c>
      <c r="N150" t="s">
        <v>905</v>
      </c>
      <c r="O150" s="9">
        <v>45689</v>
      </c>
      <c r="P150" t="s">
        <v>892</v>
      </c>
      <c r="Q150">
        <v>200000</v>
      </c>
      <c r="R150" t="s">
        <v>730</v>
      </c>
      <c r="S150" t="s">
        <v>731</v>
      </c>
      <c r="T150" t="s">
        <v>732</v>
      </c>
      <c r="U150" t="s">
        <v>651</v>
      </c>
      <c r="V150" t="s">
        <v>23</v>
      </c>
      <c r="W150" t="s">
        <v>20</v>
      </c>
      <c r="X150" t="s">
        <v>9</v>
      </c>
    </row>
    <row r="151" spans="1:24">
      <c r="A151" t="s">
        <v>1084</v>
      </c>
      <c r="B151" s="8">
        <v>45699</v>
      </c>
      <c r="C151" t="s">
        <v>650</v>
      </c>
      <c r="D151" t="s">
        <v>775</v>
      </c>
      <c r="E151">
        <v>3</v>
      </c>
      <c r="F151">
        <v>75000</v>
      </c>
      <c r="G151">
        <v>225000</v>
      </c>
      <c r="H151" t="s">
        <v>872</v>
      </c>
      <c r="I151">
        <v>0</v>
      </c>
      <c r="J151">
        <v>20000</v>
      </c>
      <c r="K151">
        <v>245000</v>
      </c>
      <c r="L151" t="s">
        <v>884</v>
      </c>
      <c r="M151" t="s">
        <v>881</v>
      </c>
      <c r="N151" t="s">
        <v>890</v>
      </c>
      <c r="O151" s="9">
        <v>45689</v>
      </c>
      <c r="P151" t="s">
        <v>892</v>
      </c>
      <c r="Q151">
        <v>225000</v>
      </c>
      <c r="R151" t="s">
        <v>776</v>
      </c>
      <c r="S151" t="s">
        <v>731</v>
      </c>
      <c r="T151" t="s">
        <v>732</v>
      </c>
      <c r="U151" t="s">
        <v>651</v>
      </c>
      <c r="V151" t="s">
        <v>23</v>
      </c>
      <c r="W151" t="s">
        <v>20</v>
      </c>
      <c r="X151" t="s">
        <v>9</v>
      </c>
    </row>
    <row r="152" spans="1:24">
      <c r="A152" t="s">
        <v>953</v>
      </c>
      <c r="B152" s="8">
        <v>45814</v>
      </c>
      <c r="C152" t="s">
        <v>168</v>
      </c>
      <c r="D152" t="s">
        <v>839</v>
      </c>
      <c r="E152">
        <v>1</v>
      </c>
      <c r="F152">
        <v>200000</v>
      </c>
      <c r="G152">
        <v>200000</v>
      </c>
      <c r="H152" t="s">
        <v>872</v>
      </c>
      <c r="I152">
        <v>0</v>
      </c>
      <c r="J152">
        <v>10000</v>
      </c>
      <c r="K152">
        <v>210000</v>
      </c>
      <c r="L152" t="s">
        <v>889</v>
      </c>
      <c r="M152" t="s">
        <v>881</v>
      </c>
      <c r="N152" t="s">
        <v>890</v>
      </c>
      <c r="O152" s="9">
        <v>45809</v>
      </c>
      <c r="P152" t="s">
        <v>892</v>
      </c>
      <c r="Q152">
        <v>200000</v>
      </c>
      <c r="R152" t="s">
        <v>840</v>
      </c>
      <c r="S152" t="s">
        <v>739</v>
      </c>
      <c r="T152" t="s">
        <v>740</v>
      </c>
      <c r="U152" t="s">
        <v>169</v>
      </c>
      <c r="V152" t="s">
        <v>7</v>
      </c>
      <c r="W152" t="s">
        <v>12</v>
      </c>
      <c r="X152" t="s">
        <v>24</v>
      </c>
    </row>
    <row r="153" spans="1:24">
      <c r="A153" t="s">
        <v>1092</v>
      </c>
      <c r="B153" s="8">
        <v>45715</v>
      </c>
      <c r="C153" t="s">
        <v>168</v>
      </c>
      <c r="D153" t="s">
        <v>849</v>
      </c>
      <c r="E153">
        <v>4</v>
      </c>
      <c r="F153">
        <v>500000</v>
      </c>
      <c r="G153">
        <v>2000000</v>
      </c>
      <c r="H153" t="s">
        <v>883</v>
      </c>
      <c r="I153">
        <v>200000</v>
      </c>
      <c r="J153">
        <v>20000</v>
      </c>
      <c r="K153">
        <v>1820000</v>
      </c>
      <c r="L153" t="s">
        <v>884</v>
      </c>
      <c r="M153" t="s">
        <v>901</v>
      </c>
      <c r="N153" t="s">
        <v>875</v>
      </c>
      <c r="O153" s="9">
        <v>45689</v>
      </c>
      <c r="P153" t="s">
        <v>877</v>
      </c>
      <c r="Q153">
        <v>1800000</v>
      </c>
      <c r="R153" t="s">
        <v>850</v>
      </c>
      <c r="S153" t="s">
        <v>735</v>
      </c>
      <c r="T153" t="s">
        <v>736</v>
      </c>
      <c r="U153" t="s">
        <v>169</v>
      </c>
      <c r="V153" t="s">
        <v>7</v>
      </c>
      <c r="W153" t="s">
        <v>12</v>
      </c>
      <c r="X153" t="s">
        <v>24</v>
      </c>
    </row>
    <row r="154" spans="1:24">
      <c r="A154" t="s">
        <v>960</v>
      </c>
      <c r="B154" s="8">
        <v>45774</v>
      </c>
      <c r="C154" t="s">
        <v>706</v>
      </c>
      <c r="D154" t="s">
        <v>751</v>
      </c>
      <c r="E154">
        <v>1</v>
      </c>
      <c r="F154">
        <v>150000</v>
      </c>
      <c r="G154">
        <v>150000</v>
      </c>
      <c r="H154" t="s">
        <v>872</v>
      </c>
      <c r="I154">
        <v>0</v>
      </c>
      <c r="J154">
        <v>15000</v>
      </c>
      <c r="K154">
        <v>165000</v>
      </c>
      <c r="L154" t="s">
        <v>889</v>
      </c>
      <c r="M154" t="s">
        <v>901</v>
      </c>
      <c r="N154" t="s">
        <v>921</v>
      </c>
      <c r="O154" s="9">
        <v>45748</v>
      </c>
      <c r="P154" t="s">
        <v>892</v>
      </c>
      <c r="Q154">
        <v>150000</v>
      </c>
      <c r="R154" t="s">
        <v>752</v>
      </c>
      <c r="S154" t="s">
        <v>731</v>
      </c>
      <c r="T154" t="s">
        <v>732</v>
      </c>
      <c r="U154" t="s">
        <v>707</v>
      </c>
      <c r="V154" t="s">
        <v>7</v>
      </c>
      <c r="W154" t="s">
        <v>39</v>
      </c>
      <c r="X154" t="s">
        <v>9</v>
      </c>
    </row>
    <row r="155" spans="1:24">
      <c r="A155" t="s">
        <v>1113</v>
      </c>
      <c r="B155" s="8">
        <v>45666</v>
      </c>
      <c r="C155" t="s">
        <v>706</v>
      </c>
      <c r="D155" t="s">
        <v>809</v>
      </c>
      <c r="E155">
        <v>1</v>
      </c>
      <c r="F155">
        <v>100000</v>
      </c>
      <c r="G155">
        <v>100000</v>
      </c>
      <c r="H155" t="s">
        <v>883</v>
      </c>
      <c r="I155">
        <v>10000</v>
      </c>
      <c r="J155">
        <v>10000</v>
      </c>
      <c r="K155">
        <v>100000</v>
      </c>
      <c r="L155" t="s">
        <v>889</v>
      </c>
      <c r="M155" t="s">
        <v>881</v>
      </c>
      <c r="N155" t="s">
        <v>875</v>
      </c>
      <c r="O155" s="9">
        <v>45658</v>
      </c>
      <c r="P155" t="s">
        <v>877</v>
      </c>
      <c r="Q155">
        <v>90000</v>
      </c>
      <c r="R155" t="s">
        <v>810</v>
      </c>
      <c r="S155" t="s">
        <v>727</v>
      </c>
      <c r="T155" t="s">
        <v>728</v>
      </c>
      <c r="U155" t="s">
        <v>707</v>
      </c>
      <c r="V155" t="s">
        <v>7</v>
      </c>
      <c r="W155" t="s">
        <v>39</v>
      </c>
      <c r="X155" t="s">
        <v>9</v>
      </c>
    </row>
    <row r="156" spans="1:24">
      <c r="A156" t="s">
        <v>1245</v>
      </c>
      <c r="B156" s="8">
        <v>45709</v>
      </c>
      <c r="C156" t="s">
        <v>706</v>
      </c>
      <c r="D156" t="s">
        <v>785</v>
      </c>
      <c r="E156">
        <v>2</v>
      </c>
      <c r="F156">
        <v>100000</v>
      </c>
      <c r="G156">
        <v>200000</v>
      </c>
      <c r="H156" t="s">
        <v>895</v>
      </c>
      <c r="I156">
        <v>30000</v>
      </c>
      <c r="J156">
        <v>15000</v>
      </c>
      <c r="K156">
        <v>185000</v>
      </c>
      <c r="L156" t="s">
        <v>880</v>
      </c>
      <c r="M156" t="s">
        <v>874</v>
      </c>
      <c r="N156" t="s">
        <v>875</v>
      </c>
      <c r="O156" s="9">
        <v>45689</v>
      </c>
      <c r="P156" t="s">
        <v>877</v>
      </c>
      <c r="Q156">
        <v>170000</v>
      </c>
      <c r="R156" t="s">
        <v>786</v>
      </c>
      <c r="S156" t="s">
        <v>727</v>
      </c>
      <c r="T156" t="s">
        <v>728</v>
      </c>
      <c r="U156" t="s">
        <v>707</v>
      </c>
      <c r="V156" t="s">
        <v>7</v>
      </c>
      <c r="W156" t="s">
        <v>39</v>
      </c>
      <c r="X156" t="s">
        <v>9</v>
      </c>
    </row>
    <row r="157" spans="1:24">
      <c r="A157" t="s">
        <v>981</v>
      </c>
      <c r="B157" s="8">
        <v>45714</v>
      </c>
      <c r="C157" t="s">
        <v>146</v>
      </c>
      <c r="D157" t="s">
        <v>843</v>
      </c>
      <c r="E157">
        <v>2</v>
      </c>
      <c r="F157">
        <v>100000</v>
      </c>
      <c r="G157">
        <v>200000</v>
      </c>
      <c r="H157" t="s">
        <v>895</v>
      </c>
      <c r="I157">
        <v>30000</v>
      </c>
      <c r="J157">
        <v>30000</v>
      </c>
      <c r="K157">
        <v>200000</v>
      </c>
      <c r="L157" t="s">
        <v>873</v>
      </c>
      <c r="M157" t="s">
        <v>881</v>
      </c>
      <c r="N157" t="s">
        <v>875</v>
      </c>
      <c r="O157" s="9">
        <v>45689</v>
      </c>
      <c r="P157" t="s">
        <v>877</v>
      </c>
      <c r="Q157">
        <v>170000</v>
      </c>
      <c r="R157" t="s">
        <v>844</v>
      </c>
      <c r="S157" t="s">
        <v>747</v>
      </c>
      <c r="T157" t="s">
        <v>748</v>
      </c>
      <c r="U157" t="s">
        <v>147</v>
      </c>
      <c r="V157" t="s">
        <v>7</v>
      </c>
      <c r="W157" t="s">
        <v>51</v>
      </c>
      <c r="X157" t="s">
        <v>24</v>
      </c>
    </row>
    <row r="158" spans="1:24">
      <c r="A158" t="s">
        <v>961</v>
      </c>
      <c r="B158" s="8">
        <v>45767</v>
      </c>
      <c r="C158" t="s">
        <v>208</v>
      </c>
      <c r="D158" t="s">
        <v>811</v>
      </c>
      <c r="E158">
        <v>1</v>
      </c>
      <c r="F158">
        <v>35000</v>
      </c>
      <c r="G158">
        <v>35000</v>
      </c>
      <c r="H158" t="s">
        <v>879</v>
      </c>
      <c r="I158">
        <v>7000</v>
      </c>
      <c r="J158">
        <v>20000</v>
      </c>
      <c r="K158">
        <v>48000</v>
      </c>
      <c r="L158" t="s">
        <v>880</v>
      </c>
      <c r="M158" t="s">
        <v>903</v>
      </c>
      <c r="N158" t="s">
        <v>890</v>
      </c>
      <c r="O158" s="9">
        <v>45748</v>
      </c>
      <c r="P158" t="s">
        <v>892</v>
      </c>
      <c r="Q158">
        <v>28000</v>
      </c>
      <c r="R158" t="s">
        <v>812</v>
      </c>
      <c r="S158" t="s">
        <v>731</v>
      </c>
      <c r="T158" t="s">
        <v>732</v>
      </c>
      <c r="U158" t="s">
        <v>209</v>
      </c>
      <c r="V158" t="s">
        <v>7</v>
      </c>
      <c r="W158" t="s">
        <v>20</v>
      </c>
      <c r="X158" t="s">
        <v>9</v>
      </c>
    </row>
    <row r="159" spans="1:24">
      <c r="A159" t="s">
        <v>1050</v>
      </c>
      <c r="B159" s="8">
        <v>45707</v>
      </c>
      <c r="C159" t="s">
        <v>208</v>
      </c>
      <c r="D159" t="s">
        <v>765</v>
      </c>
      <c r="E159">
        <v>1</v>
      </c>
      <c r="F159">
        <v>500000</v>
      </c>
      <c r="G159">
        <v>500000</v>
      </c>
      <c r="H159" t="s">
        <v>886</v>
      </c>
      <c r="I159">
        <v>50000</v>
      </c>
      <c r="J159">
        <v>30000</v>
      </c>
      <c r="K159">
        <v>480000</v>
      </c>
      <c r="L159" t="s">
        <v>884</v>
      </c>
      <c r="M159" t="s">
        <v>903</v>
      </c>
      <c r="N159" t="s">
        <v>875</v>
      </c>
      <c r="O159" s="9">
        <v>45689</v>
      </c>
      <c r="P159" t="s">
        <v>877</v>
      </c>
      <c r="Q159">
        <v>450000</v>
      </c>
      <c r="R159" t="s">
        <v>766</v>
      </c>
      <c r="S159" t="s">
        <v>735</v>
      </c>
      <c r="T159" t="s">
        <v>736</v>
      </c>
      <c r="U159" t="s">
        <v>209</v>
      </c>
      <c r="V159" t="s">
        <v>7</v>
      </c>
      <c r="W159" t="s">
        <v>20</v>
      </c>
      <c r="X159" t="s">
        <v>9</v>
      </c>
    </row>
    <row r="160" spans="1:24">
      <c r="A160" t="s">
        <v>962</v>
      </c>
      <c r="B160" s="8">
        <v>45836</v>
      </c>
      <c r="C160" t="s">
        <v>194</v>
      </c>
      <c r="D160" t="s">
        <v>817</v>
      </c>
      <c r="E160">
        <v>1</v>
      </c>
      <c r="F160">
        <v>75000</v>
      </c>
      <c r="G160">
        <v>75000</v>
      </c>
      <c r="H160" t="s">
        <v>886</v>
      </c>
      <c r="I160">
        <v>7500</v>
      </c>
      <c r="J160">
        <v>25000</v>
      </c>
      <c r="K160">
        <v>92500</v>
      </c>
      <c r="L160" t="s">
        <v>884</v>
      </c>
      <c r="M160" t="s">
        <v>881</v>
      </c>
      <c r="N160" t="s">
        <v>875</v>
      </c>
      <c r="O160" s="9">
        <v>45809</v>
      </c>
      <c r="P160" t="s">
        <v>877</v>
      </c>
      <c r="Q160">
        <v>67500</v>
      </c>
      <c r="R160" t="s">
        <v>818</v>
      </c>
      <c r="S160" t="s">
        <v>743</v>
      </c>
      <c r="T160" t="s">
        <v>744</v>
      </c>
      <c r="U160" t="s">
        <v>195</v>
      </c>
      <c r="V160" t="s">
        <v>7</v>
      </c>
      <c r="W160" t="s">
        <v>36</v>
      </c>
      <c r="X160" t="s">
        <v>24</v>
      </c>
    </row>
    <row r="161" spans="1:24">
      <c r="A161" t="s">
        <v>1189</v>
      </c>
      <c r="B161" s="8">
        <v>45741</v>
      </c>
      <c r="C161" t="s">
        <v>194</v>
      </c>
      <c r="D161" t="s">
        <v>835</v>
      </c>
      <c r="E161">
        <v>3</v>
      </c>
      <c r="F161">
        <v>200000</v>
      </c>
      <c r="G161">
        <v>600000</v>
      </c>
      <c r="H161" t="s">
        <v>872</v>
      </c>
      <c r="I161">
        <v>0</v>
      </c>
      <c r="J161">
        <v>30000</v>
      </c>
      <c r="K161">
        <v>630000</v>
      </c>
      <c r="L161" t="s">
        <v>873</v>
      </c>
      <c r="M161" t="s">
        <v>901</v>
      </c>
      <c r="N161" t="s">
        <v>905</v>
      </c>
      <c r="O161" s="9">
        <v>45717</v>
      </c>
      <c r="P161" t="s">
        <v>892</v>
      </c>
      <c r="Q161">
        <v>600000</v>
      </c>
      <c r="R161" t="s">
        <v>836</v>
      </c>
      <c r="S161" t="s">
        <v>731</v>
      </c>
      <c r="T161" t="s">
        <v>732</v>
      </c>
      <c r="U161" t="s">
        <v>195</v>
      </c>
      <c r="V161" t="s">
        <v>7</v>
      </c>
      <c r="W161" t="s">
        <v>36</v>
      </c>
      <c r="X161" t="s">
        <v>24</v>
      </c>
    </row>
    <row r="162" spans="1:24">
      <c r="A162" t="s">
        <v>1054</v>
      </c>
      <c r="B162" s="8">
        <v>45812</v>
      </c>
      <c r="C162" t="s">
        <v>150</v>
      </c>
      <c r="D162" t="s">
        <v>817</v>
      </c>
      <c r="E162">
        <v>2</v>
      </c>
      <c r="F162">
        <v>75000</v>
      </c>
      <c r="G162">
        <v>150000</v>
      </c>
      <c r="H162" t="s">
        <v>895</v>
      </c>
      <c r="I162">
        <v>22500</v>
      </c>
      <c r="J162">
        <v>25000</v>
      </c>
      <c r="K162">
        <v>152500</v>
      </c>
      <c r="L162" t="s">
        <v>884</v>
      </c>
      <c r="N162" t="s">
        <v>875</v>
      </c>
      <c r="O162" s="9">
        <v>45809</v>
      </c>
      <c r="P162" t="s">
        <v>877</v>
      </c>
      <c r="Q162">
        <v>127500</v>
      </c>
      <c r="R162" t="s">
        <v>818</v>
      </c>
      <c r="S162" t="s">
        <v>743</v>
      </c>
      <c r="T162" t="s">
        <v>744</v>
      </c>
      <c r="U162" t="s">
        <v>151</v>
      </c>
      <c r="V162" t="s">
        <v>23</v>
      </c>
      <c r="W162" t="s">
        <v>29</v>
      </c>
      <c r="X162" t="s">
        <v>15</v>
      </c>
    </row>
    <row r="163" spans="1:24">
      <c r="A163" t="s">
        <v>964</v>
      </c>
      <c r="B163" s="8">
        <v>45734</v>
      </c>
      <c r="C163" t="s">
        <v>250</v>
      </c>
      <c r="D163" t="s">
        <v>787</v>
      </c>
      <c r="E163">
        <v>3</v>
      </c>
      <c r="F163">
        <v>200000</v>
      </c>
      <c r="G163">
        <v>600000</v>
      </c>
      <c r="H163" t="s">
        <v>895</v>
      </c>
      <c r="I163">
        <v>90000</v>
      </c>
      <c r="J163">
        <v>15000</v>
      </c>
      <c r="K163">
        <v>525000</v>
      </c>
      <c r="L163" t="s">
        <v>880</v>
      </c>
      <c r="M163" t="s">
        <v>903</v>
      </c>
      <c r="N163" t="s">
        <v>875</v>
      </c>
      <c r="O163" s="9">
        <v>45717</v>
      </c>
      <c r="P163" t="s">
        <v>877</v>
      </c>
      <c r="Q163">
        <v>510000</v>
      </c>
      <c r="R163" t="s">
        <v>788</v>
      </c>
      <c r="S163" t="s">
        <v>731</v>
      </c>
      <c r="T163" t="s">
        <v>732</v>
      </c>
      <c r="U163" t="s">
        <v>251</v>
      </c>
      <c r="V163" t="s">
        <v>23</v>
      </c>
      <c r="W163" t="s">
        <v>36</v>
      </c>
      <c r="X163" t="s">
        <v>9</v>
      </c>
    </row>
    <row r="164" spans="1:24">
      <c r="A164" t="s">
        <v>1195</v>
      </c>
      <c r="B164" s="8">
        <v>45766</v>
      </c>
      <c r="C164" t="s">
        <v>250</v>
      </c>
      <c r="D164" t="s">
        <v>781</v>
      </c>
      <c r="E164">
        <v>1</v>
      </c>
      <c r="F164">
        <v>50000</v>
      </c>
      <c r="G164">
        <v>50000</v>
      </c>
      <c r="H164" t="s">
        <v>872</v>
      </c>
      <c r="I164">
        <v>0</v>
      </c>
      <c r="J164">
        <v>10000</v>
      </c>
      <c r="K164">
        <v>60000</v>
      </c>
      <c r="L164" t="s">
        <v>873</v>
      </c>
      <c r="M164" t="s">
        <v>901</v>
      </c>
      <c r="N164" t="s">
        <v>905</v>
      </c>
      <c r="O164" s="9">
        <v>45748</v>
      </c>
      <c r="P164" t="s">
        <v>892</v>
      </c>
      <c r="Q164">
        <v>50000</v>
      </c>
      <c r="R164" t="s">
        <v>782</v>
      </c>
      <c r="S164" t="s">
        <v>743</v>
      </c>
      <c r="T164" t="s">
        <v>744</v>
      </c>
      <c r="U164" t="s">
        <v>251</v>
      </c>
      <c r="V164" t="s">
        <v>23</v>
      </c>
      <c r="W164" t="s">
        <v>36</v>
      </c>
      <c r="X164" t="s">
        <v>9</v>
      </c>
    </row>
    <row r="165" spans="1:24">
      <c r="A165" t="s">
        <v>1185</v>
      </c>
      <c r="B165" s="8">
        <v>45673</v>
      </c>
      <c r="C165" t="s">
        <v>154</v>
      </c>
      <c r="D165" t="s">
        <v>805</v>
      </c>
      <c r="E165">
        <v>2</v>
      </c>
      <c r="F165">
        <v>200000</v>
      </c>
      <c r="G165">
        <v>400000</v>
      </c>
      <c r="H165" t="s">
        <v>886</v>
      </c>
      <c r="I165">
        <v>40000</v>
      </c>
      <c r="J165">
        <v>25000</v>
      </c>
      <c r="K165">
        <v>385000</v>
      </c>
      <c r="L165" t="s">
        <v>873</v>
      </c>
      <c r="M165" t="s">
        <v>903</v>
      </c>
      <c r="N165" t="s">
        <v>921</v>
      </c>
      <c r="O165" s="9">
        <v>45658</v>
      </c>
      <c r="P165" t="s">
        <v>892</v>
      </c>
      <c r="Q165">
        <v>360000</v>
      </c>
      <c r="R165" t="s">
        <v>806</v>
      </c>
      <c r="S165" t="s">
        <v>743</v>
      </c>
      <c r="T165" t="s">
        <v>744</v>
      </c>
      <c r="U165" t="s">
        <v>155</v>
      </c>
      <c r="V165" t="s">
        <v>7</v>
      </c>
      <c r="W165" t="s">
        <v>20</v>
      </c>
      <c r="X165" t="s">
        <v>24</v>
      </c>
    </row>
    <row r="166" spans="1:24">
      <c r="A166" t="s">
        <v>965</v>
      </c>
      <c r="B166" s="8">
        <v>45800</v>
      </c>
      <c r="C166" t="s">
        <v>230</v>
      </c>
      <c r="D166" t="s">
        <v>845</v>
      </c>
      <c r="E166">
        <v>2</v>
      </c>
      <c r="F166">
        <v>300000</v>
      </c>
      <c r="G166">
        <v>600000</v>
      </c>
      <c r="H166" t="s">
        <v>883</v>
      </c>
      <c r="I166">
        <v>60000</v>
      </c>
      <c r="J166">
        <v>10000</v>
      </c>
      <c r="K166">
        <v>550000</v>
      </c>
      <c r="L166" t="s">
        <v>873</v>
      </c>
      <c r="M166" t="s">
        <v>881</v>
      </c>
      <c r="N166" t="s">
        <v>875</v>
      </c>
      <c r="O166" s="9">
        <v>45778</v>
      </c>
      <c r="P166" t="s">
        <v>877</v>
      </c>
      <c r="Q166">
        <v>540000</v>
      </c>
      <c r="R166" t="s">
        <v>846</v>
      </c>
      <c r="S166" t="s">
        <v>727</v>
      </c>
      <c r="T166" t="s">
        <v>728</v>
      </c>
      <c r="U166" t="s">
        <v>231</v>
      </c>
      <c r="V166" t="s">
        <v>7</v>
      </c>
      <c r="W166" t="s">
        <v>36</v>
      </c>
      <c r="X166" t="s">
        <v>24</v>
      </c>
    </row>
    <row r="167" spans="1:24">
      <c r="A167" t="s">
        <v>1231</v>
      </c>
      <c r="B167" s="8">
        <v>45703</v>
      </c>
      <c r="C167" t="s">
        <v>230</v>
      </c>
      <c r="D167" t="s">
        <v>799</v>
      </c>
      <c r="E167">
        <v>3</v>
      </c>
      <c r="F167">
        <v>35000</v>
      </c>
      <c r="G167">
        <v>105000</v>
      </c>
      <c r="H167" t="s">
        <v>895</v>
      </c>
      <c r="I167">
        <v>15750</v>
      </c>
      <c r="J167">
        <v>15000</v>
      </c>
      <c r="K167">
        <v>104250</v>
      </c>
      <c r="L167" t="s">
        <v>889</v>
      </c>
      <c r="M167" t="s">
        <v>903</v>
      </c>
      <c r="N167" t="s">
        <v>921</v>
      </c>
      <c r="O167" s="9">
        <v>45689</v>
      </c>
      <c r="P167" t="s">
        <v>892</v>
      </c>
      <c r="Q167">
        <v>89250</v>
      </c>
      <c r="R167" t="s">
        <v>800</v>
      </c>
      <c r="S167" t="s">
        <v>731</v>
      </c>
      <c r="T167" t="s">
        <v>732</v>
      </c>
      <c r="U167" t="s">
        <v>231</v>
      </c>
      <c r="V167" t="s">
        <v>7</v>
      </c>
      <c r="W167" t="s">
        <v>36</v>
      </c>
      <c r="X167" t="s">
        <v>24</v>
      </c>
    </row>
    <row r="168" spans="1:24">
      <c r="A168" t="s">
        <v>990</v>
      </c>
      <c r="B168" s="8">
        <v>45705</v>
      </c>
      <c r="C168" t="s">
        <v>156</v>
      </c>
      <c r="D168" t="s">
        <v>817</v>
      </c>
      <c r="E168">
        <v>1</v>
      </c>
      <c r="F168">
        <v>75000</v>
      </c>
      <c r="G168">
        <v>75000</v>
      </c>
      <c r="H168" t="s">
        <v>872</v>
      </c>
      <c r="I168">
        <v>0</v>
      </c>
      <c r="J168">
        <v>10000</v>
      </c>
      <c r="K168">
        <v>85000</v>
      </c>
      <c r="L168" t="s">
        <v>889</v>
      </c>
      <c r="M168" t="s">
        <v>874</v>
      </c>
      <c r="N168" t="s">
        <v>875</v>
      </c>
      <c r="O168" s="9">
        <v>45689</v>
      </c>
      <c r="P168" t="s">
        <v>877</v>
      </c>
      <c r="Q168">
        <v>75000</v>
      </c>
      <c r="R168" t="s">
        <v>818</v>
      </c>
      <c r="S168" t="s">
        <v>743</v>
      </c>
      <c r="T168" t="s">
        <v>744</v>
      </c>
      <c r="U168" t="s">
        <v>157</v>
      </c>
      <c r="V168" t="s">
        <v>23</v>
      </c>
      <c r="W168" t="s">
        <v>137</v>
      </c>
      <c r="X168" t="s">
        <v>15</v>
      </c>
    </row>
    <row r="169" spans="1:24">
      <c r="A169" t="s">
        <v>966</v>
      </c>
      <c r="B169" s="8">
        <v>45663</v>
      </c>
      <c r="C169" t="s">
        <v>164</v>
      </c>
      <c r="D169" t="s">
        <v>813</v>
      </c>
      <c r="E169">
        <v>4</v>
      </c>
      <c r="F169">
        <v>35000</v>
      </c>
      <c r="G169">
        <v>140000</v>
      </c>
      <c r="H169" t="s">
        <v>879</v>
      </c>
      <c r="I169">
        <v>28000</v>
      </c>
      <c r="J169">
        <v>25000</v>
      </c>
      <c r="K169">
        <v>137000</v>
      </c>
      <c r="L169" t="s">
        <v>873</v>
      </c>
      <c r="M169" t="s">
        <v>874</v>
      </c>
      <c r="N169" t="s">
        <v>875</v>
      </c>
      <c r="O169" s="9">
        <v>45658</v>
      </c>
      <c r="P169" t="s">
        <v>877</v>
      </c>
      <c r="Q169">
        <v>112000</v>
      </c>
      <c r="R169" t="s">
        <v>814</v>
      </c>
      <c r="S169" t="s">
        <v>735</v>
      </c>
      <c r="T169" t="s">
        <v>736</v>
      </c>
      <c r="U169" t="s">
        <v>165</v>
      </c>
      <c r="V169" t="s">
        <v>7</v>
      </c>
      <c r="W169" t="s">
        <v>51</v>
      </c>
      <c r="X169" t="s">
        <v>24</v>
      </c>
    </row>
    <row r="170" spans="1:24">
      <c r="A170" t="s">
        <v>1002</v>
      </c>
      <c r="B170" s="8">
        <v>45816</v>
      </c>
      <c r="C170" t="s">
        <v>160</v>
      </c>
      <c r="D170" t="s">
        <v>847</v>
      </c>
      <c r="E170">
        <v>1</v>
      </c>
      <c r="F170">
        <v>100000</v>
      </c>
      <c r="G170">
        <v>100000</v>
      </c>
      <c r="H170" t="s">
        <v>872</v>
      </c>
      <c r="I170">
        <v>0</v>
      </c>
      <c r="J170">
        <v>10000</v>
      </c>
      <c r="K170">
        <v>110000</v>
      </c>
      <c r="L170" t="s">
        <v>884</v>
      </c>
      <c r="M170" t="s">
        <v>874</v>
      </c>
      <c r="N170" t="s">
        <v>875</v>
      </c>
      <c r="O170" s="9">
        <v>45809</v>
      </c>
      <c r="P170" t="s">
        <v>877</v>
      </c>
      <c r="Q170">
        <v>100000</v>
      </c>
      <c r="R170" t="s">
        <v>848</v>
      </c>
      <c r="S170" t="s">
        <v>731</v>
      </c>
      <c r="T170" t="s">
        <v>732</v>
      </c>
      <c r="U170" t="s">
        <v>161</v>
      </c>
      <c r="V170" t="s">
        <v>23</v>
      </c>
      <c r="W170" t="s">
        <v>137</v>
      </c>
      <c r="X170" t="s">
        <v>9</v>
      </c>
    </row>
    <row r="171" spans="1:24">
      <c r="A171" t="s">
        <v>1109</v>
      </c>
      <c r="B171" s="8">
        <v>45658</v>
      </c>
      <c r="C171" t="s">
        <v>162</v>
      </c>
      <c r="D171" t="s">
        <v>781</v>
      </c>
      <c r="E171">
        <v>3</v>
      </c>
      <c r="F171">
        <v>50000</v>
      </c>
      <c r="G171">
        <v>150000</v>
      </c>
      <c r="H171" t="s">
        <v>872</v>
      </c>
      <c r="I171">
        <v>0</v>
      </c>
      <c r="J171">
        <v>15000</v>
      </c>
      <c r="K171">
        <v>165000</v>
      </c>
      <c r="L171" t="s">
        <v>884</v>
      </c>
      <c r="M171" t="s">
        <v>901</v>
      </c>
      <c r="N171" t="s">
        <v>875</v>
      </c>
      <c r="O171" s="9">
        <v>45658</v>
      </c>
      <c r="P171" t="s">
        <v>877</v>
      </c>
      <c r="Q171">
        <v>150000</v>
      </c>
      <c r="R171" t="s">
        <v>782</v>
      </c>
      <c r="S171" t="s">
        <v>743</v>
      </c>
      <c r="T171" t="s">
        <v>744</v>
      </c>
      <c r="U171" t="s">
        <v>163</v>
      </c>
      <c r="V171" t="s">
        <v>7</v>
      </c>
      <c r="W171" t="s">
        <v>39</v>
      </c>
      <c r="X171" t="s">
        <v>9</v>
      </c>
    </row>
    <row r="172" spans="1:24">
      <c r="A172" t="s">
        <v>1150</v>
      </c>
      <c r="B172" s="8">
        <v>45756</v>
      </c>
      <c r="C172" t="s">
        <v>162</v>
      </c>
      <c r="D172" t="s">
        <v>733</v>
      </c>
      <c r="E172">
        <v>3</v>
      </c>
      <c r="F172">
        <v>150000</v>
      </c>
      <c r="G172">
        <v>450000</v>
      </c>
      <c r="H172" t="s">
        <v>872</v>
      </c>
      <c r="I172">
        <v>0</v>
      </c>
      <c r="J172">
        <v>20000</v>
      </c>
      <c r="K172">
        <v>470000</v>
      </c>
      <c r="L172" t="s">
        <v>880</v>
      </c>
      <c r="M172" t="s">
        <v>903</v>
      </c>
      <c r="N172" t="s">
        <v>905</v>
      </c>
      <c r="O172" s="9">
        <v>45748</v>
      </c>
      <c r="P172" t="s">
        <v>892</v>
      </c>
      <c r="Q172">
        <v>450000</v>
      </c>
      <c r="R172" t="s">
        <v>734</v>
      </c>
      <c r="S172" t="s">
        <v>735</v>
      </c>
      <c r="T172" t="s">
        <v>736</v>
      </c>
      <c r="U172" t="s">
        <v>163</v>
      </c>
      <c r="V172" t="s">
        <v>7</v>
      </c>
      <c r="W172" t="s">
        <v>39</v>
      </c>
      <c r="X172" t="s">
        <v>9</v>
      </c>
    </row>
    <row r="173" spans="1:24">
      <c r="A173" t="s">
        <v>1066</v>
      </c>
      <c r="B173" s="8">
        <v>45706</v>
      </c>
      <c r="C173" t="s">
        <v>166</v>
      </c>
      <c r="D173" t="s">
        <v>741</v>
      </c>
      <c r="E173">
        <v>2</v>
      </c>
      <c r="F173">
        <v>75000</v>
      </c>
      <c r="G173">
        <v>150000</v>
      </c>
      <c r="H173" t="s">
        <v>879</v>
      </c>
      <c r="I173">
        <v>30000</v>
      </c>
      <c r="J173">
        <v>20000</v>
      </c>
      <c r="K173">
        <v>140000</v>
      </c>
      <c r="L173" t="s">
        <v>889</v>
      </c>
      <c r="M173" t="s">
        <v>881</v>
      </c>
      <c r="N173" t="s">
        <v>875</v>
      </c>
      <c r="O173" s="9">
        <v>45689</v>
      </c>
      <c r="P173" t="s">
        <v>877</v>
      </c>
      <c r="Q173">
        <v>120000</v>
      </c>
      <c r="R173" t="s">
        <v>742</v>
      </c>
      <c r="S173" t="s">
        <v>743</v>
      </c>
      <c r="T173" t="s">
        <v>744</v>
      </c>
      <c r="U173" t="s">
        <v>167</v>
      </c>
      <c r="V173" t="s">
        <v>7</v>
      </c>
      <c r="W173" t="s">
        <v>39</v>
      </c>
      <c r="X173" t="s">
        <v>24</v>
      </c>
    </row>
    <row r="174" spans="1:24">
      <c r="A174" t="s">
        <v>971</v>
      </c>
      <c r="B174" s="8">
        <v>45716</v>
      </c>
      <c r="C174" t="s">
        <v>280</v>
      </c>
      <c r="D174" t="s">
        <v>791</v>
      </c>
      <c r="E174">
        <v>1</v>
      </c>
      <c r="F174">
        <v>50000</v>
      </c>
      <c r="G174">
        <v>50000</v>
      </c>
      <c r="H174" t="s">
        <v>872</v>
      </c>
      <c r="I174">
        <v>0</v>
      </c>
      <c r="J174">
        <v>10000</v>
      </c>
      <c r="K174">
        <v>60000</v>
      </c>
      <c r="L174" t="s">
        <v>889</v>
      </c>
      <c r="M174" t="s">
        <v>903</v>
      </c>
      <c r="N174" t="s">
        <v>875</v>
      </c>
      <c r="O174" s="9">
        <v>45689</v>
      </c>
      <c r="P174" t="s">
        <v>877</v>
      </c>
      <c r="Q174">
        <v>50000</v>
      </c>
      <c r="R174" t="s">
        <v>792</v>
      </c>
      <c r="S174" t="s">
        <v>739</v>
      </c>
      <c r="T174" t="s">
        <v>740</v>
      </c>
      <c r="U174" t="s">
        <v>281</v>
      </c>
      <c r="V174" t="s">
        <v>7</v>
      </c>
      <c r="W174" t="s">
        <v>137</v>
      </c>
      <c r="X174" t="s">
        <v>9</v>
      </c>
    </row>
    <row r="175" spans="1:24">
      <c r="A175" t="s">
        <v>975</v>
      </c>
      <c r="B175" s="8">
        <v>45669</v>
      </c>
      <c r="C175" t="s">
        <v>280</v>
      </c>
      <c r="D175" t="s">
        <v>825</v>
      </c>
      <c r="E175">
        <v>1</v>
      </c>
      <c r="F175">
        <v>100000</v>
      </c>
      <c r="G175">
        <v>100000</v>
      </c>
      <c r="H175" t="s">
        <v>895</v>
      </c>
      <c r="I175">
        <v>15000</v>
      </c>
      <c r="J175">
        <v>25000</v>
      </c>
      <c r="K175">
        <v>110000</v>
      </c>
      <c r="L175" t="s">
        <v>873</v>
      </c>
      <c r="M175" t="s">
        <v>881</v>
      </c>
      <c r="N175" t="s">
        <v>875</v>
      </c>
      <c r="O175" s="9">
        <v>45658</v>
      </c>
      <c r="P175" t="s">
        <v>877</v>
      </c>
      <c r="Q175">
        <v>85000</v>
      </c>
      <c r="R175" t="s">
        <v>826</v>
      </c>
      <c r="S175" t="s">
        <v>735</v>
      </c>
      <c r="T175" t="s">
        <v>736</v>
      </c>
      <c r="U175" t="s">
        <v>281</v>
      </c>
      <c r="V175" t="s">
        <v>7</v>
      </c>
      <c r="W175" t="s">
        <v>137</v>
      </c>
      <c r="X175" t="s">
        <v>9</v>
      </c>
    </row>
    <row r="176" spans="1:24">
      <c r="A176" t="s">
        <v>972</v>
      </c>
      <c r="B176" s="8">
        <v>45792</v>
      </c>
      <c r="C176" t="s">
        <v>682</v>
      </c>
      <c r="D176" t="s">
        <v>833</v>
      </c>
      <c r="E176">
        <v>3</v>
      </c>
      <c r="F176">
        <v>200000</v>
      </c>
      <c r="G176">
        <v>600000</v>
      </c>
      <c r="H176" t="s">
        <v>872</v>
      </c>
      <c r="I176">
        <v>0</v>
      </c>
      <c r="J176">
        <v>25000</v>
      </c>
      <c r="K176">
        <v>625000</v>
      </c>
      <c r="L176" t="s">
        <v>884</v>
      </c>
      <c r="M176" t="s">
        <v>874</v>
      </c>
      <c r="N176" t="s">
        <v>921</v>
      </c>
      <c r="O176" s="9">
        <v>45778</v>
      </c>
      <c r="P176" t="s">
        <v>892</v>
      </c>
      <c r="Q176">
        <v>600000</v>
      </c>
      <c r="R176" t="s">
        <v>834</v>
      </c>
      <c r="S176" t="s">
        <v>727</v>
      </c>
      <c r="T176" t="s">
        <v>728</v>
      </c>
      <c r="U176" t="s">
        <v>683</v>
      </c>
      <c r="V176" t="s">
        <v>7</v>
      </c>
      <c r="W176" t="s">
        <v>137</v>
      </c>
      <c r="X176" t="s">
        <v>9</v>
      </c>
    </row>
    <row r="177" spans="1:24">
      <c r="A177" t="s">
        <v>1115</v>
      </c>
      <c r="B177" s="8">
        <v>45676</v>
      </c>
      <c r="C177" t="s">
        <v>682</v>
      </c>
      <c r="D177" t="s">
        <v>751</v>
      </c>
      <c r="E177">
        <v>2</v>
      </c>
      <c r="F177">
        <v>150000</v>
      </c>
      <c r="G177">
        <v>300000</v>
      </c>
      <c r="H177" t="s">
        <v>872</v>
      </c>
      <c r="I177">
        <v>0</v>
      </c>
      <c r="J177">
        <v>15000</v>
      </c>
      <c r="K177">
        <v>315000</v>
      </c>
      <c r="L177" t="s">
        <v>873</v>
      </c>
      <c r="M177" t="s">
        <v>874</v>
      </c>
      <c r="N177" t="s">
        <v>890</v>
      </c>
      <c r="O177" s="9">
        <v>45658</v>
      </c>
      <c r="P177" t="s">
        <v>892</v>
      </c>
      <c r="Q177">
        <v>300000</v>
      </c>
      <c r="R177" t="s">
        <v>752</v>
      </c>
      <c r="S177" t="s">
        <v>731</v>
      </c>
      <c r="T177" t="s">
        <v>732</v>
      </c>
      <c r="U177" t="s">
        <v>683</v>
      </c>
      <c r="V177" t="s">
        <v>7</v>
      </c>
      <c r="W177" t="s">
        <v>137</v>
      </c>
      <c r="X177" t="s">
        <v>9</v>
      </c>
    </row>
    <row r="178" spans="1:24">
      <c r="A178" t="s">
        <v>1108</v>
      </c>
      <c r="B178" s="8">
        <v>45807</v>
      </c>
      <c r="C178" t="s">
        <v>170</v>
      </c>
      <c r="D178" t="s">
        <v>825</v>
      </c>
      <c r="E178">
        <v>1</v>
      </c>
      <c r="F178">
        <v>100000</v>
      </c>
      <c r="G178">
        <v>100000</v>
      </c>
      <c r="H178" t="s">
        <v>886</v>
      </c>
      <c r="I178">
        <v>10000</v>
      </c>
      <c r="J178">
        <v>10000</v>
      </c>
      <c r="K178">
        <v>100000</v>
      </c>
      <c r="L178" t="s">
        <v>880</v>
      </c>
      <c r="M178" t="s">
        <v>903</v>
      </c>
      <c r="N178" t="s">
        <v>875</v>
      </c>
      <c r="O178" s="9">
        <v>45778</v>
      </c>
      <c r="P178" t="s">
        <v>877</v>
      </c>
      <c r="Q178">
        <v>90000</v>
      </c>
      <c r="R178" t="s">
        <v>826</v>
      </c>
      <c r="S178" t="s">
        <v>735</v>
      </c>
      <c r="T178" t="s">
        <v>736</v>
      </c>
      <c r="U178" t="s">
        <v>171</v>
      </c>
      <c r="V178" t="s">
        <v>7</v>
      </c>
      <c r="W178" t="s">
        <v>29</v>
      </c>
      <c r="X178" t="s">
        <v>9</v>
      </c>
    </row>
    <row r="179" spans="1:24">
      <c r="A179" t="s">
        <v>974</v>
      </c>
      <c r="B179" s="8">
        <v>45723</v>
      </c>
      <c r="C179" t="s">
        <v>688</v>
      </c>
      <c r="D179" t="s">
        <v>803</v>
      </c>
      <c r="E179">
        <v>2</v>
      </c>
      <c r="F179">
        <v>50000</v>
      </c>
      <c r="G179">
        <v>100000</v>
      </c>
      <c r="H179" t="s">
        <v>872</v>
      </c>
      <c r="I179">
        <v>0</v>
      </c>
      <c r="J179">
        <v>30000</v>
      </c>
      <c r="K179">
        <v>130000</v>
      </c>
      <c r="L179" t="s">
        <v>884</v>
      </c>
      <c r="M179" t="s">
        <v>881</v>
      </c>
      <c r="N179" t="s">
        <v>875</v>
      </c>
      <c r="O179" s="9">
        <v>45717</v>
      </c>
      <c r="P179" t="s">
        <v>877</v>
      </c>
      <c r="Q179">
        <v>100000</v>
      </c>
      <c r="R179" t="s">
        <v>804</v>
      </c>
      <c r="S179" t="s">
        <v>739</v>
      </c>
      <c r="T179" t="s">
        <v>740</v>
      </c>
      <c r="U179" t="s">
        <v>689</v>
      </c>
      <c r="V179" t="s">
        <v>7</v>
      </c>
      <c r="W179" t="s">
        <v>46</v>
      </c>
      <c r="X179" t="s">
        <v>24</v>
      </c>
    </row>
    <row r="180" spans="1:24">
      <c r="A180" t="s">
        <v>1156</v>
      </c>
      <c r="B180" s="8">
        <v>45809</v>
      </c>
      <c r="C180" t="s">
        <v>688</v>
      </c>
      <c r="D180" t="s">
        <v>779</v>
      </c>
      <c r="E180">
        <v>3</v>
      </c>
      <c r="F180">
        <v>150000</v>
      </c>
      <c r="G180">
        <v>450000</v>
      </c>
      <c r="H180" t="s">
        <v>895</v>
      </c>
      <c r="I180">
        <v>67500</v>
      </c>
      <c r="J180">
        <v>25000</v>
      </c>
      <c r="K180">
        <v>407500</v>
      </c>
      <c r="L180" t="s">
        <v>889</v>
      </c>
      <c r="M180" t="s">
        <v>881</v>
      </c>
      <c r="N180" t="s">
        <v>875</v>
      </c>
      <c r="O180" s="9">
        <v>45809</v>
      </c>
      <c r="P180" t="s">
        <v>877</v>
      </c>
      <c r="Q180">
        <v>382500</v>
      </c>
      <c r="R180" t="s">
        <v>780</v>
      </c>
      <c r="S180" t="s">
        <v>739</v>
      </c>
      <c r="T180" t="s">
        <v>740</v>
      </c>
      <c r="U180" t="s">
        <v>689</v>
      </c>
      <c r="V180" t="s">
        <v>7</v>
      </c>
      <c r="W180" t="s">
        <v>46</v>
      </c>
      <c r="X180" t="s">
        <v>24</v>
      </c>
    </row>
    <row r="181" spans="1:24">
      <c r="A181" t="s">
        <v>1008</v>
      </c>
      <c r="B181" s="8">
        <v>45795</v>
      </c>
      <c r="C181" t="s">
        <v>174</v>
      </c>
      <c r="D181" t="s">
        <v>761</v>
      </c>
      <c r="E181">
        <v>2</v>
      </c>
      <c r="F181">
        <v>75000</v>
      </c>
      <c r="G181">
        <v>150000</v>
      </c>
      <c r="H181" t="s">
        <v>872</v>
      </c>
      <c r="I181">
        <v>0</v>
      </c>
      <c r="J181">
        <v>30000</v>
      </c>
      <c r="K181">
        <v>180000</v>
      </c>
      <c r="L181" t="s">
        <v>889</v>
      </c>
      <c r="M181" t="s">
        <v>874</v>
      </c>
      <c r="N181" t="s">
        <v>875</v>
      </c>
      <c r="O181" s="9">
        <v>45778</v>
      </c>
      <c r="P181" t="s">
        <v>877</v>
      </c>
      <c r="Q181">
        <v>150000</v>
      </c>
      <c r="R181" t="s">
        <v>762</v>
      </c>
      <c r="S181" t="s">
        <v>727</v>
      </c>
      <c r="T181" t="s">
        <v>728</v>
      </c>
      <c r="U181" t="s">
        <v>175</v>
      </c>
      <c r="V181" t="s">
        <v>7</v>
      </c>
      <c r="W181" t="s">
        <v>137</v>
      </c>
      <c r="X181" t="s">
        <v>9</v>
      </c>
    </row>
    <row r="182" spans="1:24">
      <c r="A182" t="s">
        <v>976</v>
      </c>
      <c r="B182" s="8">
        <v>45744</v>
      </c>
      <c r="C182" t="s">
        <v>614</v>
      </c>
      <c r="D182" t="s">
        <v>823</v>
      </c>
      <c r="E182">
        <v>3</v>
      </c>
      <c r="F182">
        <v>500000</v>
      </c>
      <c r="G182">
        <v>1500000</v>
      </c>
      <c r="H182" t="s">
        <v>872</v>
      </c>
      <c r="I182">
        <v>0</v>
      </c>
      <c r="J182">
        <v>10000</v>
      </c>
      <c r="K182">
        <v>1510000</v>
      </c>
      <c r="L182" t="s">
        <v>889</v>
      </c>
      <c r="M182" t="s">
        <v>901</v>
      </c>
      <c r="N182" t="s">
        <v>921</v>
      </c>
      <c r="O182" s="9">
        <v>45717</v>
      </c>
      <c r="P182" t="s">
        <v>892</v>
      </c>
      <c r="Q182">
        <v>1500000</v>
      </c>
      <c r="R182" t="s">
        <v>824</v>
      </c>
      <c r="S182" t="s">
        <v>731</v>
      </c>
      <c r="T182" t="s">
        <v>732</v>
      </c>
      <c r="U182" t="s">
        <v>615</v>
      </c>
      <c r="V182" t="s">
        <v>23</v>
      </c>
      <c r="W182" t="s">
        <v>51</v>
      </c>
      <c r="X182" t="s">
        <v>9</v>
      </c>
    </row>
    <row r="183" spans="1:24">
      <c r="A183" t="s">
        <v>978</v>
      </c>
      <c r="B183" s="8">
        <v>45780</v>
      </c>
      <c r="C183" t="s">
        <v>708</v>
      </c>
      <c r="D183" t="s">
        <v>849</v>
      </c>
      <c r="E183">
        <v>2</v>
      </c>
      <c r="F183">
        <v>500000</v>
      </c>
      <c r="G183">
        <v>1000000</v>
      </c>
      <c r="H183" t="s">
        <v>886</v>
      </c>
      <c r="I183">
        <v>100000</v>
      </c>
      <c r="J183">
        <v>25000</v>
      </c>
      <c r="K183">
        <v>925000</v>
      </c>
      <c r="L183" t="s">
        <v>873</v>
      </c>
      <c r="M183" t="s">
        <v>881</v>
      </c>
      <c r="N183" t="s">
        <v>875</v>
      </c>
      <c r="O183" s="9">
        <v>45778</v>
      </c>
      <c r="P183" t="s">
        <v>877</v>
      </c>
      <c r="Q183">
        <v>900000</v>
      </c>
      <c r="R183" t="s">
        <v>850</v>
      </c>
      <c r="S183" t="s">
        <v>735</v>
      </c>
      <c r="T183" t="s">
        <v>736</v>
      </c>
      <c r="U183" t="s">
        <v>709</v>
      </c>
      <c r="V183" t="s">
        <v>23</v>
      </c>
      <c r="W183" t="s">
        <v>39</v>
      </c>
      <c r="X183" t="s">
        <v>9</v>
      </c>
    </row>
    <row r="184" spans="1:24">
      <c r="A184" t="s">
        <v>1074</v>
      </c>
      <c r="B184" s="8">
        <v>45772</v>
      </c>
      <c r="C184" t="s">
        <v>708</v>
      </c>
      <c r="D184" t="s">
        <v>777</v>
      </c>
      <c r="E184">
        <v>2</v>
      </c>
      <c r="F184">
        <v>200000</v>
      </c>
      <c r="G184">
        <v>400000</v>
      </c>
      <c r="H184" t="s">
        <v>895</v>
      </c>
      <c r="I184">
        <v>60000</v>
      </c>
      <c r="J184">
        <v>15000</v>
      </c>
      <c r="K184">
        <v>355000</v>
      </c>
      <c r="L184" t="s">
        <v>889</v>
      </c>
      <c r="M184" t="s">
        <v>903</v>
      </c>
      <c r="N184" t="s">
        <v>875</v>
      </c>
      <c r="O184" s="9">
        <v>45748</v>
      </c>
      <c r="P184" t="s">
        <v>877</v>
      </c>
      <c r="Q184">
        <v>340000</v>
      </c>
      <c r="R184" t="s">
        <v>778</v>
      </c>
      <c r="S184" t="s">
        <v>735</v>
      </c>
      <c r="T184" t="s">
        <v>736</v>
      </c>
      <c r="U184" t="s">
        <v>709</v>
      </c>
      <c r="V184" t="s">
        <v>23</v>
      </c>
      <c r="W184" t="s">
        <v>39</v>
      </c>
      <c r="X184" t="s">
        <v>9</v>
      </c>
    </row>
    <row r="185" spans="1:24">
      <c r="A185" t="s">
        <v>979</v>
      </c>
      <c r="B185" s="8">
        <v>45821</v>
      </c>
      <c r="C185" t="s">
        <v>620</v>
      </c>
      <c r="D185" t="s">
        <v>781</v>
      </c>
      <c r="E185">
        <v>4</v>
      </c>
      <c r="F185">
        <v>50000</v>
      </c>
      <c r="G185">
        <v>200000</v>
      </c>
      <c r="H185" t="s">
        <v>872</v>
      </c>
      <c r="I185">
        <v>0</v>
      </c>
      <c r="J185">
        <v>15000</v>
      </c>
      <c r="K185">
        <v>215000</v>
      </c>
      <c r="L185" t="s">
        <v>880</v>
      </c>
      <c r="M185" t="s">
        <v>903</v>
      </c>
      <c r="N185" t="s">
        <v>875</v>
      </c>
      <c r="O185" s="9">
        <v>45809</v>
      </c>
      <c r="P185" t="s">
        <v>877</v>
      </c>
      <c r="Q185">
        <v>200000</v>
      </c>
      <c r="R185" t="s">
        <v>782</v>
      </c>
      <c r="S185" t="s">
        <v>743</v>
      </c>
      <c r="T185" t="s">
        <v>744</v>
      </c>
      <c r="U185" t="s">
        <v>621</v>
      </c>
      <c r="V185" t="s">
        <v>23</v>
      </c>
      <c r="W185" t="s">
        <v>36</v>
      </c>
      <c r="X185" t="s">
        <v>24</v>
      </c>
    </row>
    <row r="186" spans="1:24">
      <c r="A186" t="s">
        <v>1230</v>
      </c>
      <c r="B186" s="8">
        <v>45770</v>
      </c>
      <c r="C186" t="s">
        <v>620</v>
      </c>
      <c r="D186" t="s">
        <v>737</v>
      </c>
      <c r="E186">
        <v>4</v>
      </c>
      <c r="F186">
        <v>300000</v>
      </c>
      <c r="G186">
        <v>1200000</v>
      </c>
      <c r="H186" t="s">
        <v>872</v>
      </c>
      <c r="I186">
        <v>0</v>
      </c>
      <c r="J186">
        <v>10000</v>
      </c>
      <c r="K186">
        <v>1210000</v>
      </c>
      <c r="L186" t="s">
        <v>884</v>
      </c>
      <c r="M186" t="s">
        <v>901</v>
      </c>
      <c r="N186" t="s">
        <v>875</v>
      </c>
      <c r="O186" s="9">
        <v>45748</v>
      </c>
      <c r="P186" t="s">
        <v>877</v>
      </c>
      <c r="Q186">
        <v>1200000</v>
      </c>
      <c r="R186" t="s">
        <v>738</v>
      </c>
      <c r="S186" t="s">
        <v>739</v>
      </c>
      <c r="T186" t="s">
        <v>740</v>
      </c>
      <c r="U186" t="s">
        <v>621</v>
      </c>
      <c r="V186" t="s">
        <v>23</v>
      </c>
      <c r="W186" t="s">
        <v>36</v>
      </c>
      <c r="X186" t="s">
        <v>24</v>
      </c>
    </row>
    <row r="187" spans="1:24">
      <c r="A187" t="s">
        <v>1218</v>
      </c>
      <c r="B187" s="8">
        <v>45673</v>
      </c>
      <c r="C187" t="s">
        <v>184</v>
      </c>
      <c r="D187" t="s">
        <v>837</v>
      </c>
      <c r="E187">
        <v>1</v>
      </c>
      <c r="F187">
        <v>300000</v>
      </c>
      <c r="G187">
        <v>300000</v>
      </c>
      <c r="H187" t="s">
        <v>886</v>
      </c>
      <c r="I187">
        <v>30000</v>
      </c>
      <c r="J187">
        <v>30000</v>
      </c>
      <c r="K187">
        <v>300000</v>
      </c>
      <c r="L187" t="s">
        <v>889</v>
      </c>
      <c r="M187" t="s">
        <v>901</v>
      </c>
      <c r="N187" t="s">
        <v>875</v>
      </c>
      <c r="O187" s="9">
        <v>45658</v>
      </c>
      <c r="P187" t="s">
        <v>877</v>
      </c>
      <c r="Q187">
        <v>270000</v>
      </c>
      <c r="R187" t="s">
        <v>838</v>
      </c>
      <c r="S187" t="s">
        <v>735</v>
      </c>
      <c r="T187" t="s">
        <v>736</v>
      </c>
      <c r="U187" t="s">
        <v>185</v>
      </c>
      <c r="V187" t="s">
        <v>23</v>
      </c>
      <c r="W187" t="s">
        <v>12</v>
      </c>
      <c r="X187" t="s">
        <v>15</v>
      </c>
    </row>
    <row r="188" spans="1:24">
      <c r="A188" t="s">
        <v>982</v>
      </c>
      <c r="B188" s="8">
        <v>45706</v>
      </c>
      <c r="C188" t="s">
        <v>258</v>
      </c>
      <c r="D188" t="s">
        <v>823</v>
      </c>
      <c r="E188">
        <v>2</v>
      </c>
      <c r="F188">
        <v>500000</v>
      </c>
      <c r="G188">
        <v>1000000</v>
      </c>
      <c r="H188" t="s">
        <v>872</v>
      </c>
      <c r="I188">
        <v>0</v>
      </c>
      <c r="J188">
        <v>15000</v>
      </c>
      <c r="K188">
        <v>1015000</v>
      </c>
      <c r="L188" t="s">
        <v>884</v>
      </c>
      <c r="M188" t="s">
        <v>881</v>
      </c>
      <c r="N188" t="s">
        <v>905</v>
      </c>
      <c r="O188" s="9">
        <v>45689</v>
      </c>
      <c r="P188" t="s">
        <v>892</v>
      </c>
      <c r="Q188">
        <v>1000000</v>
      </c>
      <c r="R188" t="s">
        <v>824</v>
      </c>
      <c r="S188" t="s">
        <v>731</v>
      </c>
      <c r="T188" t="s">
        <v>732</v>
      </c>
      <c r="U188" t="s">
        <v>259</v>
      </c>
      <c r="V188" t="s">
        <v>7</v>
      </c>
      <c r="W188" t="s">
        <v>56</v>
      </c>
      <c r="X188" t="s">
        <v>9</v>
      </c>
    </row>
    <row r="189" spans="1:24">
      <c r="A189" t="s">
        <v>1075</v>
      </c>
      <c r="B189" s="8">
        <v>45728</v>
      </c>
      <c r="C189" t="s">
        <v>190</v>
      </c>
      <c r="D189" t="s">
        <v>845</v>
      </c>
      <c r="E189">
        <v>1</v>
      </c>
      <c r="F189">
        <v>300000</v>
      </c>
      <c r="G189">
        <v>300000</v>
      </c>
      <c r="H189" t="s">
        <v>872</v>
      </c>
      <c r="I189">
        <v>0</v>
      </c>
      <c r="J189">
        <v>20000</v>
      </c>
      <c r="K189">
        <v>320000</v>
      </c>
      <c r="L189" t="s">
        <v>889</v>
      </c>
      <c r="M189" t="s">
        <v>903</v>
      </c>
      <c r="N189" t="s">
        <v>875</v>
      </c>
      <c r="O189" s="9">
        <v>45717</v>
      </c>
      <c r="P189" t="s">
        <v>877</v>
      </c>
      <c r="Q189">
        <v>300000</v>
      </c>
      <c r="R189" t="s">
        <v>846</v>
      </c>
      <c r="S189" t="s">
        <v>727</v>
      </c>
      <c r="T189" t="s">
        <v>728</v>
      </c>
      <c r="U189" t="s">
        <v>191</v>
      </c>
      <c r="V189" t="s">
        <v>7</v>
      </c>
      <c r="W189" t="s">
        <v>56</v>
      </c>
      <c r="X189" t="s">
        <v>24</v>
      </c>
    </row>
    <row r="190" spans="1:24">
      <c r="A190" t="s">
        <v>1076</v>
      </c>
      <c r="B190" s="8">
        <v>45826</v>
      </c>
      <c r="C190" t="s">
        <v>190</v>
      </c>
      <c r="D190" t="s">
        <v>833</v>
      </c>
      <c r="E190">
        <v>1</v>
      </c>
      <c r="F190">
        <v>200000</v>
      </c>
      <c r="G190">
        <v>200000</v>
      </c>
      <c r="H190" t="s">
        <v>886</v>
      </c>
      <c r="I190">
        <v>20000</v>
      </c>
      <c r="J190">
        <v>30000</v>
      </c>
      <c r="K190">
        <v>210000</v>
      </c>
      <c r="L190" t="s">
        <v>889</v>
      </c>
      <c r="M190" t="s">
        <v>903</v>
      </c>
      <c r="N190" t="s">
        <v>875</v>
      </c>
      <c r="O190" s="9">
        <v>45809</v>
      </c>
      <c r="P190" t="s">
        <v>877</v>
      </c>
      <c r="Q190">
        <v>180000</v>
      </c>
      <c r="R190" t="s">
        <v>834</v>
      </c>
      <c r="S190" t="s">
        <v>727</v>
      </c>
      <c r="T190" t="s">
        <v>728</v>
      </c>
      <c r="U190" t="s">
        <v>191</v>
      </c>
      <c r="V190" t="s">
        <v>7</v>
      </c>
      <c r="W190" t="s">
        <v>56</v>
      </c>
      <c r="X190" t="s">
        <v>24</v>
      </c>
    </row>
    <row r="191" spans="1:24">
      <c r="A191" t="s">
        <v>983</v>
      </c>
      <c r="B191" s="8">
        <v>45735</v>
      </c>
      <c r="C191" t="s">
        <v>278</v>
      </c>
      <c r="D191" t="s">
        <v>753</v>
      </c>
      <c r="E191">
        <v>4</v>
      </c>
      <c r="F191">
        <v>300000</v>
      </c>
      <c r="G191">
        <v>1200000</v>
      </c>
      <c r="H191" t="s">
        <v>872</v>
      </c>
      <c r="I191">
        <v>0</v>
      </c>
      <c r="J191">
        <v>30000</v>
      </c>
      <c r="K191">
        <v>1230000</v>
      </c>
      <c r="L191" t="s">
        <v>889</v>
      </c>
      <c r="M191" t="s">
        <v>901</v>
      </c>
      <c r="N191" t="s">
        <v>875</v>
      </c>
      <c r="O191" s="9">
        <v>45717</v>
      </c>
      <c r="P191" t="s">
        <v>877</v>
      </c>
      <c r="Q191">
        <v>1200000</v>
      </c>
      <c r="R191" t="s">
        <v>754</v>
      </c>
      <c r="S191" t="s">
        <v>735</v>
      </c>
      <c r="T191" t="s">
        <v>736</v>
      </c>
      <c r="U191" t="s">
        <v>279</v>
      </c>
      <c r="V191" t="s">
        <v>23</v>
      </c>
      <c r="W191" t="s">
        <v>56</v>
      </c>
      <c r="X191" t="s">
        <v>15</v>
      </c>
    </row>
    <row r="192" spans="1:24">
      <c r="A192" t="s">
        <v>1039</v>
      </c>
      <c r="B192" s="8">
        <v>45817</v>
      </c>
      <c r="C192" t="s">
        <v>192</v>
      </c>
      <c r="D192" t="s">
        <v>809</v>
      </c>
      <c r="E192">
        <v>2</v>
      </c>
      <c r="F192">
        <v>100000</v>
      </c>
      <c r="G192">
        <v>200000</v>
      </c>
      <c r="H192" t="s">
        <v>872</v>
      </c>
      <c r="I192">
        <v>0</v>
      </c>
      <c r="J192">
        <v>20000</v>
      </c>
      <c r="K192">
        <v>220000</v>
      </c>
      <c r="L192" t="s">
        <v>873</v>
      </c>
      <c r="M192" t="s">
        <v>901</v>
      </c>
      <c r="N192" t="s">
        <v>875</v>
      </c>
      <c r="O192" s="9">
        <v>45809</v>
      </c>
      <c r="P192" t="s">
        <v>877</v>
      </c>
      <c r="Q192">
        <v>200000</v>
      </c>
      <c r="R192" t="s">
        <v>810</v>
      </c>
      <c r="S192" t="s">
        <v>727</v>
      </c>
      <c r="T192" t="s">
        <v>728</v>
      </c>
      <c r="U192" t="s">
        <v>193</v>
      </c>
      <c r="V192" t="s">
        <v>7</v>
      </c>
      <c r="W192" t="s">
        <v>12</v>
      </c>
      <c r="X192" t="s">
        <v>9</v>
      </c>
    </row>
    <row r="193" spans="1:24">
      <c r="A193" t="s">
        <v>984</v>
      </c>
      <c r="B193" s="8">
        <v>45716</v>
      </c>
      <c r="C193" t="s">
        <v>668</v>
      </c>
      <c r="D193" t="s">
        <v>801</v>
      </c>
      <c r="E193">
        <v>1</v>
      </c>
      <c r="F193">
        <v>100000</v>
      </c>
      <c r="G193">
        <v>100000</v>
      </c>
      <c r="H193" t="s">
        <v>879</v>
      </c>
      <c r="I193">
        <v>20000</v>
      </c>
      <c r="J193">
        <v>20000</v>
      </c>
      <c r="K193">
        <v>100000</v>
      </c>
      <c r="L193" t="s">
        <v>873</v>
      </c>
      <c r="M193" t="s">
        <v>874</v>
      </c>
      <c r="N193" t="s">
        <v>875</v>
      </c>
      <c r="O193" s="9">
        <v>45689</v>
      </c>
      <c r="P193" t="s">
        <v>877</v>
      </c>
      <c r="Q193">
        <v>80000</v>
      </c>
      <c r="R193" t="s">
        <v>802</v>
      </c>
      <c r="S193" t="s">
        <v>735</v>
      </c>
      <c r="T193" t="s">
        <v>736</v>
      </c>
      <c r="U193" t="s">
        <v>669</v>
      </c>
      <c r="V193" t="s">
        <v>7</v>
      </c>
      <c r="W193" t="s">
        <v>39</v>
      </c>
      <c r="X193" t="s">
        <v>15</v>
      </c>
    </row>
    <row r="194" spans="1:24">
      <c r="A194" t="s">
        <v>1104</v>
      </c>
      <c r="B194" s="8">
        <v>45806</v>
      </c>
      <c r="C194" t="s">
        <v>668</v>
      </c>
      <c r="D194" t="s">
        <v>831</v>
      </c>
      <c r="E194">
        <v>2</v>
      </c>
      <c r="F194">
        <v>300000</v>
      </c>
      <c r="G194">
        <v>600000</v>
      </c>
      <c r="H194" t="s">
        <v>872</v>
      </c>
      <c r="I194">
        <v>0</v>
      </c>
      <c r="J194">
        <v>30000</v>
      </c>
      <c r="K194">
        <v>630000</v>
      </c>
      <c r="L194" t="s">
        <v>884</v>
      </c>
      <c r="M194" t="s">
        <v>901</v>
      </c>
      <c r="N194" t="s">
        <v>875</v>
      </c>
      <c r="O194" s="9">
        <v>45778</v>
      </c>
      <c r="P194" t="s">
        <v>877</v>
      </c>
      <c r="Q194">
        <v>600000</v>
      </c>
      <c r="R194" t="s">
        <v>832</v>
      </c>
      <c r="S194" t="s">
        <v>747</v>
      </c>
      <c r="T194" t="s">
        <v>748</v>
      </c>
      <c r="U194" t="s">
        <v>669</v>
      </c>
      <c r="V194" t="s">
        <v>7</v>
      </c>
      <c r="W194" t="s">
        <v>39</v>
      </c>
      <c r="X194" t="s">
        <v>15</v>
      </c>
    </row>
    <row r="195" spans="1:24">
      <c r="A195" t="s">
        <v>985</v>
      </c>
      <c r="B195" s="8">
        <v>45700</v>
      </c>
      <c r="C195" t="s">
        <v>270</v>
      </c>
      <c r="D195" t="s">
        <v>803</v>
      </c>
      <c r="E195">
        <v>1</v>
      </c>
      <c r="F195">
        <v>50000</v>
      </c>
      <c r="G195">
        <v>50000</v>
      </c>
      <c r="H195" t="s">
        <v>872</v>
      </c>
      <c r="I195">
        <v>0</v>
      </c>
      <c r="J195">
        <v>20000</v>
      </c>
      <c r="K195">
        <v>70000</v>
      </c>
      <c r="L195" t="s">
        <v>880</v>
      </c>
      <c r="M195" t="s">
        <v>881</v>
      </c>
      <c r="N195" t="s">
        <v>875</v>
      </c>
      <c r="O195" s="9">
        <v>45689</v>
      </c>
      <c r="P195" t="s">
        <v>877</v>
      </c>
      <c r="Q195">
        <v>50000</v>
      </c>
      <c r="R195" t="s">
        <v>804</v>
      </c>
      <c r="S195" t="s">
        <v>739</v>
      </c>
      <c r="T195" t="s">
        <v>740</v>
      </c>
      <c r="U195" t="s">
        <v>271</v>
      </c>
      <c r="V195" t="s">
        <v>7</v>
      </c>
      <c r="W195" t="s">
        <v>39</v>
      </c>
      <c r="X195" t="s">
        <v>24</v>
      </c>
    </row>
    <row r="196" spans="1:24">
      <c r="A196" t="s">
        <v>1048</v>
      </c>
      <c r="B196" s="8">
        <v>45806</v>
      </c>
      <c r="C196" t="s">
        <v>270</v>
      </c>
      <c r="D196" t="s">
        <v>751</v>
      </c>
      <c r="E196">
        <v>3</v>
      </c>
      <c r="F196">
        <v>150000</v>
      </c>
      <c r="G196">
        <v>450000</v>
      </c>
      <c r="H196" t="s">
        <v>872</v>
      </c>
      <c r="I196">
        <v>0</v>
      </c>
      <c r="J196">
        <v>20000</v>
      </c>
      <c r="K196">
        <v>470000</v>
      </c>
      <c r="L196" t="s">
        <v>873</v>
      </c>
      <c r="M196" t="s">
        <v>874</v>
      </c>
      <c r="N196" t="s">
        <v>890</v>
      </c>
      <c r="O196" s="9">
        <v>45778</v>
      </c>
      <c r="P196" t="s">
        <v>892</v>
      </c>
      <c r="Q196">
        <v>450000</v>
      </c>
      <c r="R196" t="s">
        <v>752</v>
      </c>
      <c r="S196" t="s">
        <v>731</v>
      </c>
      <c r="T196" t="s">
        <v>732</v>
      </c>
      <c r="U196" t="s">
        <v>271</v>
      </c>
      <c r="V196" t="s">
        <v>7</v>
      </c>
      <c r="W196" t="s">
        <v>39</v>
      </c>
      <c r="X196" t="s">
        <v>24</v>
      </c>
    </row>
    <row r="197" spans="1:24">
      <c r="A197" t="s">
        <v>1127</v>
      </c>
      <c r="B197" s="8">
        <v>45803</v>
      </c>
      <c r="C197" t="s">
        <v>270</v>
      </c>
      <c r="D197" t="s">
        <v>757</v>
      </c>
      <c r="E197">
        <v>1</v>
      </c>
      <c r="F197">
        <v>75000</v>
      </c>
      <c r="G197">
        <v>75000</v>
      </c>
      <c r="H197" t="s">
        <v>872</v>
      </c>
      <c r="I197">
        <v>0</v>
      </c>
      <c r="J197">
        <v>25000</v>
      </c>
      <c r="K197">
        <v>100000</v>
      </c>
      <c r="L197" t="s">
        <v>880</v>
      </c>
      <c r="M197" t="s">
        <v>874</v>
      </c>
      <c r="N197" t="s">
        <v>875</v>
      </c>
      <c r="O197" s="9">
        <v>45778</v>
      </c>
      <c r="P197" t="s">
        <v>877</v>
      </c>
      <c r="Q197">
        <v>75000</v>
      </c>
      <c r="R197" t="s">
        <v>758</v>
      </c>
      <c r="S197" t="s">
        <v>743</v>
      </c>
      <c r="T197" t="s">
        <v>744</v>
      </c>
      <c r="U197" t="s">
        <v>271</v>
      </c>
      <c r="V197" t="s">
        <v>7</v>
      </c>
      <c r="W197" t="s">
        <v>39</v>
      </c>
      <c r="X197" t="s">
        <v>24</v>
      </c>
    </row>
    <row r="198" spans="1:24">
      <c r="A198" t="s">
        <v>1186</v>
      </c>
      <c r="B198" s="8">
        <v>45796</v>
      </c>
      <c r="C198" t="s">
        <v>196</v>
      </c>
      <c r="D198" t="s">
        <v>771</v>
      </c>
      <c r="E198">
        <v>1</v>
      </c>
      <c r="F198">
        <v>500000</v>
      </c>
      <c r="G198">
        <v>500000</v>
      </c>
      <c r="H198" t="s">
        <v>879</v>
      </c>
      <c r="I198">
        <v>100000</v>
      </c>
      <c r="J198">
        <v>25000</v>
      </c>
      <c r="K198">
        <v>425000</v>
      </c>
      <c r="L198" t="s">
        <v>889</v>
      </c>
      <c r="M198" t="s">
        <v>903</v>
      </c>
      <c r="N198" t="s">
        <v>875</v>
      </c>
      <c r="O198" s="9">
        <v>45778</v>
      </c>
      <c r="P198" t="s">
        <v>877</v>
      </c>
      <c r="Q198">
        <v>400000</v>
      </c>
      <c r="R198" t="s">
        <v>772</v>
      </c>
      <c r="S198" t="s">
        <v>747</v>
      </c>
      <c r="T198" t="s">
        <v>748</v>
      </c>
      <c r="U198" t="s">
        <v>197</v>
      </c>
      <c r="V198" t="s">
        <v>7</v>
      </c>
      <c r="W198" t="s">
        <v>36</v>
      </c>
      <c r="X198" t="s">
        <v>15</v>
      </c>
    </row>
    <row r="199" spans="1:24">
      <c r="A199" t="s">
        <v>986</v>
      </c>
      <c r="B199" s="8">
        <v>45835</v>
      </c>
      <c r="C199" t="s">
        <v>606</v>
      </c>
      <c r="D199" t="s">
        <v>775</v>
      </c>
      <c r="E199">
        <v>4</v>
      </c>
      <c r="F199">
        <v>75000</v>
      </c>
      <c r="G199">
        <v>300000</v>
      </c>
      <c r="H199" t="s">
        <v>879</v>
      </c>
      <c r="I199">
        <v>60000</v>
      </c>
      <c r="J199">
        <v>25000</v>
      </c>
      <c r="K199">
        <v>265000</v>
      </c>
      <c r="L199" t="s">
        <v>884</v>
      </c>
      <c r="M199" t="s">
        <v>874</v>
      </c>
      <c r="N199" t="s">
        <v>875</v>
      </c>
      <c r="O199" s="9">
        <v>45809</v>
      </c>
      <c r="P199" t="s">
        <v>877</v>
      </c>
      <c r="Q199">
        <v>240000</v>
      </c>
      <c r="R199" t="s">
        <v>776</v>
      </c>
      <c r="S199" t="s">
        <v>731</v>
      </c>
      <c r="T199" t="s">
        <v>732</v>
      </c>
      <c r="U199" t="s">
        <v>607</v>
      </c>
      <c r="V199" t="s">
        <v>23</v>
      </c>
      <c r="W199" t="s">
        <v>46</v>
      </c>
      <c r="X199" t="s">
        <v>24</v>
      </c>
    </row>
    <row r="200" spans="1:24">
      <c r="A200" t="s">
        <v>1078</v>
      </c>
      <c r="B200" s="8">
        <v>45745</v>
      </c>
      <c r="C200" t="s">
        <v>606</v>
      </c>
      <c r="D200" t="s">
        <v>855</v>
      </c>
      <c r="E200">
        <v>1</v>
      </c>
      <c r="F200">
        <v>150000</v>
      </c>
      <c r="G200">
        <v>150000</v>
      </c>
      <c r="H200" t="s">
        <v>886</v>
      </c>
      <c r="I200">
        <v>15000</v>
      </c>
      <c r="J200">
        <v>30000</v>
      </c>
      <c r="K200">
        <v>165000</v>
      </c>
      <c r="L200" t="s">
        <v>889</v>
      </c>
      <c r="M200" t="s">
        <v>881</v>
      </c>
      <c r="N200" t="s">
        <v>875</v>
      </c>
      <c r="O200" s="9">
        <v>45717</v>
      </c>
      <c r="P200" t="s">
        <v>877</v>
      </c>
      <c r="Q200">
        <v>135000</v>
      </c>
      <c r="R200" t="s">
        <v>856</v>
      </c>
      <c r="S200" t="s">
        <v>747</v>
      </c>
      <c r="T200" t="s">
        <v>748</v>
      </c>
      <c r="U200" t="s">
        <v>607</v>
      </c>
      <c r="V200" t="s">
        <v>23</v>
      </c>
      <c r="W200" t="s">
        <v>46</v>
      </c>
      <c r="X200" t="s">
        <v>24</v>
      </c>
    </row>
    <row r="201" spans="1:24">
      <c r="A201" t="s">
        <v>1144</v>
      </c>
      <c r="B201" s="8">
        <v>45720</v>
      </c>
      <c r="C201" t="s">
        <v>606</v>
      </c>
      <c r="D201" t="s">
        <v>733</v>
      </c>
      <c r="E201">
        <v>1</v>
      </c>
      <c r="F201">
        <v>150000</v>
      </c>
      <c r="G201">
        <v>150000</v>
      </c>
      <c r="H201" t="s">
        <v>879</v>
      </c>
      <c r="I201">
        <v>30000</v>
      </c>
      <c r="J201">
        <v>15000</v>
      </c>
      <c r="K201">
        <v>135000</v>
      </c>
      <c r="L201" t="s">
        <v>880</v>
      </c>
      <c r="M201" t="s">
        <v>901</v>
      </c>
      <c r="N201" t="s">
        <v>875</v>
      </c>
      <c r="O201" s="9">
        <v>45717</v>
      </c>
      <c r="P201" t="s">
        <v>877</v>
      </c>
      <c r="Q201">
        <v>120000</v>
      </c>
      <c r="R201" t="s">
        <v>734</v>
      </c>
      <c r="S201" t="s">
        <v>735</v>
      </c>
      <c r="T201" t="s">
        <v>736</v>
      </c>
      <c r="U201" t="s">
        <v>607</v>
      </c>
      <c r="V201" t="s">
        <v>23</v>
      </c>
      <c r="W201" t="s">
        <v>46</v>
      </c>
      <c r="X201" t="s">
        <v>24</v>
      </c>
    </row>
    <row r="202" spans="1:24">
      <c r="A202" t="s">
        <v>1112</v>
      </c>
      <c r="B202" s="8">
        <v>45805</v>
      </c>
      <c r="C202" t="s">
        <v>198</v>
      </c>
      <c r="D202" t="s">
        <v>813</v>
      </c>
      <c r="E202">
        <v>2</v>
      </c>
      <c r="F202">
        <v>35000</v>
      </c>
      <c r="G202">
        <v>70000</v>
      </c>
      <c r="H202" t="s">
        <v>872</v>
      </c>
      <c r="I202">
        <v>0</v>
      </c>
      <c r="J202">
        <v>10000</v>
      </c>
      <c r="K202">
        <v>80000</v>
      </c>
      <c r="L202" t="s">
        <v>889</v>
      </c>
      <c r="M202" t="s">
        <v>903</v>
      </c>
      <c r="N202" t="s">
        <v>875</v>
      </c>
      <c r="O202" s="9">
        <v>45778</v>
      </c>
      <c r="P202" t="s">
        <v>877</v>
      </c>
      <c r="Q202">
        <v>70000</v>
      </c>
      <c r="R202" t="s">
        <v>814</v>
      </c>
      <c r="S202" t="s">
        <v>735</v>
      </c>
      <c r="T202" t="s">
        <v>736</v>
      </c>
      <c r="U202" t="s">
        <v>199</v>
      </c>
      <c r="V202" t="s">
        <v>23</v>
      </c>
      <c r="W202" t="s">
        <v>39</v>
      </c>
      <c r="X202" t="s">
        <v>15</v>
      </c>
    </row>
    <row r="203" spans="1:24">
      <c r="A203" t="s">
        <v>988</v>
      </c>
      <c r="B203" s="8">
        <v>45712</v>
      </c>
      <c r="C203" t="s">
        <v>256</v>
      </c>
      <c r="D203" t="s">
        <v>787</v>
      </c>
      <c r="E203">
        <v>1</v>
      </c>
      <c r="F203">
        <v>200000</v>
      </c>
      <c r="G203">
        <v>200000</v>
      </c>
      <c r="H203" t="s">
        <v>883</v>
      </c>
      <c r="I203">
        <v>20000</v>
      </c>
      <c r="J203">
        <v>10000</v>
      </c>
      <c r="K203">
        <v>190000</v>
      </c>
      <c r="L203" t="s">
        <v>884</v>
      </c>
      <c r="M203" t="s">
        <v>901</v>
      </c>
      <c r="N203" t="s">
        <v>890</v>
      </c>
      <c r="O203" s="9">
        <v>45689</v>
      </c>
      <c r="P203" t="s">
        <v>892</v>
      </c>
      <c r="Q203">
        <v>180000</v>
      </c>
      <c r="R203" t="s">
        <v>788</v>
      </c>
      <c r="S203" t="s">
        <v>731</v>
      </c>
      <c r="T203" t="s">
        <v>732</v>
      </c>
      <c r="U203" t="s">
        <v>257</v>
      </c>
      <c r="V203" t="s">
        <v>7</v>
      </c>
      <c r="W203" t="s">
        <v>8</v>
      </c>
      <c r="X203" t="s">
        <v>9</v>
      </c>
    </row>
    <row r="204" spans="1:24">
      <c r="A204" t="s">
        <v>1007</v>
      </c>
      <c r="B204" s="8">
        <v>45818</v>
      </c>
      <c r="C204" t="s">
        <v>256</v>
      </c>
      <c r="D204" t="s">
        <v>777</v>
      </c>
      <c r="E204">
        <v>1</v>
      </c>
      <c r="F204">
        <v>200000</v>
      </c>
      <c r="G204">
        <v>200000</v>
      </c>
      <c r="H204" t="s">
        <v>886</v>
      </c>
      <c r="I204">
        <v>20000</v>
      </c>
      <c r="J204">
        <v>20000</v>
      </c>
      <c r="K204">
        <v>200000</v>
      </c>
      <c r="L204" t="s">
        <v>884</v>
      </c>
      <c r="M204" t="s">
        <v>881</v>
      </c>
      <c r="N204" t="s">
        <v>875</v>
      </c>
      <c r="O204" s="9">
        <v>45809</v>
      </c>
      <c r="P204" t="s">
        <v>877</v>
      </c>
      <c r="Q204">
        <v>180000</v>
      </c>
      <c r="R204" t="s">
        <v>778</v>
      </c>
      <c r="S204" t="s">
        <v>735</v>
      </c>
      <c r="T204" t="s">
        <v>736</v>
      </c>
      <c r="U204" t="s">
        <v>257</v>
      </c>
      <c r="V204" t="s">
        <v>7</v>
      </c>
      <c r="W204" t="s">
        <v>8</v>
      </c>
      <c r="X204" t="s">
        <v>9</v>
      </c>
    </row>
    <row r="205" spans="1:24">
      <c r="A205" t="s">
        <v>1172</v>
      </c>
      <c r="B205" s="8">
        <v>45761</v>
      </c>
      <c r="C205" t="s">
        <v>202</v>
      </c>
      <c r="D205" t="s">
        <v>851</v>
      </c>
      <c r="E205">
        <v>2</v>
      </c>
      <c r="F205">
        <v>35000</v>
      </c>
      <c r="G205">
        <v>70000</v>
      </c>
      <c r="H205" t="s">
        <v>872</v>
      </c>
      <c r="I205">
        <v>0</v>
      </c>
      <c r="J205">
        <v>10000</v>
      </c>
      <c r="K205">
        <v>80000</v>
      </c>
      <c r="L205" t="s">
        <v>889</v>
      </c>
      <c r="M205" t="s">
        <v>881</v>
      </c>
      <c r="N205" t="s">
        <v>875</v>
      </c>
      <c r="O205" s="9">
        <v>45748</v>
      </c>
      <c r="P205" t="s">
        <v>877</v>
      </c>
      <c r="Q205">
        <v>70000</v>
      </c>
      <c r="R205" t="s">
        <v>852</v>
      </c>
      <c r="S205" t="s">
        <v>739</v>
      </c>
      <c r="T205" t="s">
        <v>740</v>
      </c>
      <c r="U205" t="s">
        <v>203</v>
      </c>
      <c r="V205" t="s">
        <v>7</v>
      </c>
      <c r="W205" t="s">
        <v>8</v>
      </c>
      <c r="X205" t="s">
        <v>15</v>
      </c>
    </row>
    <row r="206" spans="1:24">
      <c r="A206" t="s">
        <v>989</v>
      </c>
      <c r="B206" s="8">
        <v>45733</v>
      </c>
      <c r="C206" t="s">
        <v>674</v>
      </c>
      <c r="D206" t="s">
        <v>785</v>
      </c>
      <c r="E206">
        <v>3</v>
      </c>
      <c r="F206">
        <v>100000</v>
      </c>
      <c r="G206">
        <v>300000</v>
      </c>
      <c r="H206" t="s">
        <v>895</v>
      </c>
      <c r="I206">
        <v>45000</v>
      </c>
      <c r="J206">
        <v>30000</v>
      </c>
      <c r="K206">
        <v>285000</v>
      </c>
      <c r="L206" t="s">
        <v>873</v>
      </c>
      <c r="M206" t="s">
        <v>881</v>
      </c>
      <c r="N206" t="s">
        <v>911</v>
      </c>
      <c r="O206" s="9">
        <v>45717</v>
      </c>
      <c r="P206" t="s">
        <v>892</v>
      </c>
      <c r="Q206">
        <v>255000</v>
      </c>
      <c r="R206" t="s">
        <v>786</v>
      </c>
      <c r="S206" t="s">
        <v>727</v>
      </c>
      <c r="T206" t="s">
        <v>728</v>
      </c>
      <c r="U206" t="s">
        <v>675</v>
      </c>
      <c r="V206" t="s">
        <v>7</v>
      </c>
      <c r="W206" t="s">
        <v>39</v>
      </c>
      <c r="X206" t="s">
        <v>15</v>
      </c>
    </row>
    <row r="207" spans="1:24">
      <c r="A207" t="s">
        <v>1193</v>
      </c>
      <c r="B207" s="8">
        <v>45774</v>
      </c>
      <c r="C207" t="s">
        <v>206</v>
      </c>
      <c r="D207" t="s">
        <v>805</v>
      </c>
      <c r="E207">
        <v>1</v>
      </c>
      <c r="F207">
        <v>200000</v>
      </c>
      <c r="G207">
        <v>200000</v>
      </c>
      <c r="H207" t="s">
        <v>886</v>
      </c>
      <c r="I207">
        <v>20000</v>
      </c>
      <c r="J207">
        <v>30000</v>
      </c>
      <c r="K207">
        <v>210000</v>
      </c>
      <c r="L207" t="s">
        <v>884</v>
      </c>
      <c r="M207" t="s">
        <v>903</v>
      </c>
      <c r="N207" t="s">
        <v>921</v>
      </c>
      <c r="O207" s="9">
        <v>45748</v>
      </c>
      <c r="P207" t="s">
        <v>892</v>
      </c>
      <c r="Q207">
        <v>180000</v>
      </c>
      <c r="R207" t="s">
        <v>806</v>
      </c>
      <c r="S207" t="s">
        <v>743</v>
      </c>
      <c r="T207" t="s">
        <v>744</v>
      </c>
      <c r="U207" t="s">
        <v>207</v>
      </c>
      <c r="V207" t="s">
        <v>7</v>
      </c>
      <c r="W207" t="s">
        <v>20</v>
      </c>
      <c r="X207" t="s">
        <v>9</v>
      </c>
    </row>
    <row r="208" spans="1:24">
      <c r="A208" t="s">
        <v>991</v>
      </c>
      <c r="B208" s="8">
        <v>45818</v>
      </c>
      <c r="C208" t="s">
        <v>356</v>
      </c>
      <c r="D208" t="s">
        <v>785</v>
      </c>
      <c r="E208">
        <v>2</v>
      </c>
      <c r="F208">
        <v>100000</v>
      </c>
      <c r="G208">
        <v>200000</v>
      </c>
      <c r="H208" t="s">
        <v>872</v>
      </c>
      <c r="I208">
        <v>0</v>
      </c>
      <c r="J208">
        <v>15000</v>
      </c>
      <c r="K208">
        <v>215000</v>
      </c>
      <c r="L208" t="s">
        <v>884</v>
      </c>
      <c r="M208" t="s">
        <v>901</v>
      </c>
      <c r="N208" t="s">
        <v>890</v>
      </c>
      <c r="O208" s="9">
        <v>45809</v>
      </c>
      <c r="P208" t="s">
        <v>892</v>
      </c>
      <c r="Q208">
        <v>200000</v>
      </c>
      <c r="R208" t="s">
        <v>786</v>
      </c>
      <c r="S208" t="s">
        <v>727</v>
      </c>
      <c r="T208" t="s">
        <v>728</v>
      </c>
      <c r="U208" t="s">
        <v>357</v>
      </c>
      <c r="V208" t="s">
        <v>7</v>
      </c>
      <c r="W208" t="s">
        <v>56</v>
      </c>
      <c r="X208" t="s">
        <v>9</v>
      </c>
    </row>
    <row r="209" spans="1:24">
      <c r="A209" t="s">
        <v>992</v>
      </c>
      <c r="B209" s="8">
        <v>45782</v>
      </c>
      <c r="C209" t="s">
        <v>222</v>
      </c>
      <c r="D209" t="s">
        <v>827</v>
      </c>
      <c r="E209">
        <v>2</v>
      </c>
      <c r="F209">
        <v>100000</v>
      </c>
      <c r="G209">
        <v>200000</v>
      </c>
      <c r="H209" t="s">
        <v>883</v>
      </c>
      <c r="I209">
        <v>20000</v>
      </c>
      <c r="J209">
        <v>20000</v>
      </c>
      <c r="K209">
        <v>200000</v>
      </c>
      <c r="L209" t="s">
        <v>880</v>
      </c>
      <c r="M209" t="s">
        <v>903</v>
      </c>
      <c r="N209" t="s">
        <v>875</v>
      </c>
      <c r="O209" s="9">
        <v>45778</v>
      </c>
      <c r="P209" t="s">
        <v>877</v>
      </c>
      <c r="Q209">
        <v>180000</v>
      </c>
      <c r="R209" t="s">
        <v>828</v>
      </c>
      <c r="S209" t="s">
        <v>739</v>
      </c>
      <c r="T209" t="s">
        <v>740</v>
      </c>
      <c r="U209" t="s">
        <v>223</v>
      </c>
      <c r="V209" t="s">
        <v>7</v>
      </c>
      <c r="W209" t="s">
        <v>137</v>
      </c>
      <c r="X209" t="s">
        <v>9</v>
      </c>
    </row>
    <row r="210" spans="1:24">
      <c r="A210" t="s">
        <v>1088</v>
      </c>
      <c r="B210" s="8">
        <v>45661</v>
      </c>
      <c r="C210" t="s">
        <v>222</v>
      </c>
      <c r="D210" t="s">
        <v>851</v>
      </c>
      <c r="E210">
        <v>4</v>
      </c>
      <c r="F210">
        <v>35000</v>
      </c>
      <c r="G210">
        <v>140000</v>
      </c>
      <c r="H210" t="s">
        <v>886</v>
      </c>
      <c r="I210">
        <v>14000</v>
      </c>
      <c r="J210">
        <v>10000</v>
      </c>
      <c r="K210">
        <v>136000</v>
      </c>
      <c r="L210" t="s">
        <v>889</v>
      </c>
      <c r="M210" t="s">
        <v>901</v>
      </c>
      <c r="N210" t="s">
        <v>875</v>
      </c>
      <c r="O210" s="9">
        <v>45658</v>
      </c>
      <c r="P210" t="s">
        <v>877</v>
      </c>
      <c r="Q210">
        <v>126000</v>
      </c>
      <c r="R210" t="s">
        <v>852</v>
      </c>
      <c r="S210" t="s">
        <v>739</v>
      </c>
      <c r="T210" t="s">
        <v>740</v>
      </c>
      <c r="U210" t="s">
        <v>223</v>
      </c>
      <c r="V210" t="s">
        <v>7</v>
      </c>
      <c r="W210" t="s">
        <v>137</v>
      </c>
      <c r="X210" t="s">
        <v>9</v>
      </c>
    </row>
    <row r="211" spans="1:24">
      <c r="A211" t="s">
        <v>1209</v>
      </c>
      <c r="B211" s="8">
        <v>45758</v>
      </c>
      <c r="C211" t="s">
        <v>222</v>
      </c>
      <c r="D211" t="s">
        <v>833</v>
      </c>
      <c r="E211">
        <v>1</v>
      </c>
      <c r="F211">
        <v>200000</v>
      </c>
      <c r="G211">
        <v>200000</v>
      </c>
      <c r="H211" t="s">
        <v>879</v>
      </c>
      <c r="I211">
        <v>40000</v>
      </c>
      <c r="J211">
        <v>15000</v>
      </c>
      <c r="K211">
        <v>175000</v>
      </c>
      <c r="L211" t="s">
        <v>889</v>
      </c>
      <c r="M211" t="s">
        <v>901</v>
      </c>
      <c r="N211" t="s">
        <v>890</v>
      </c>
      <c r="O211" s="9">
        <v>45748</v>
      </c>
      <c r="P211" t="s">
        <v>892</v>
      </c>
      <c r="Q211">
        <v>160000</v>
      </c>
      <c r="R211" t="s">
        <v>834</v>
      </c>
      <c r="S211" t="s">
        <v>727</v>
      </c>
      <c r="T211" t="s">
        <v>728</v>
      </c>
      <c r="U211" t="s">
        <v>223</v>
      </c>
      <c r="V211" t="s">
        <v>7</v>
      </c>
      <c r="W211" t="s">
        <v>137</v>
      </c>
      <c r="X211" t="s">
        <v>9</v>
      </c>
    </row>
    <row r="212" spans="1:24">
      <c r="A212" t="s">
        <v>993</v>
      </c>
      <c r="B212" s="8">
        <v>45766</v>
      </c>
      <c r="C212" t="s">
        <v>680</v>
      </c>
      <c r="D212" t="s">
        <v>725</v>
      </c>
      <c r="E212">
        <v>3</v>
      </c>
      <c r="F212">
        <v>300000</v>
      </c>
      <c r="G212">
        <v>900000</v>
      </c>
      <c r="H212" t="s">
        <v>886</v>
      </c>
      <c r="I212">
        <v>90000</v>
      </c>
      <c r="J212">
        <v>15000</v>
      </c>
      <c r="K212">
        <v>825000</v>
      </c>
      <c r="L212" t="s">
        <v>889</v>
      </c>
      <c r="M212" t="s">
        <v>881</v>
      </c>
      <c r="N212" t="s">
        <v>875</v>
      </c>
      <c r="O212" s="9">
        <v>45748</v>
      </c>
      <c r="P212" t="s">
        <v>877</v>
      </c>
      <c r="Q212">
        <v>810000</v>
      </c>
      <c r="R212" t="s">
        <v>726</v>
      </c>
      <c r="S212" t="s">
        <v>727</v>
      </c>
      <c r="T212" t="s">
        <v>728</v>
      </c>
      <c r="U212" t="s">
        <v>681</v>
      </c>
      <c r="V212" t="s">
        <v>7</v>
      </c>
      <c r="W212" t="s">
        <v>29</v>
      </c>
      <c r="X212" t="s">
        <v>24</v>
      </c>
    </row>
    <row r="213" spans="1:24">
      <c r="A213" t="s">
        <v>995</v>
      </c>
      <c r="B213" s="8">
        <v>45668</v>
      </c>
      <c r="C213" t="s">
        <v>238</v>
      </c>
      <c r="D213" t="s">
        <v>763</v>
      </c>
      <c r="E213">
        <v>1</v>
      </c>
      <c r="F213">
        <v>75000</v>
      </c>
      <c r="G213">
        <v>75000</v>
      </c>
      <c r="H213" t="s">
        <v>883</v>
      </c>
      <c r="I213">
        <v>7500</v>
      </c>
      <c r="J213">
        <v>15000</v>
      </c>
      <c r="K213">
        <v>82500</v>
      </c>
      <c r="L213" t="s">
        <v>884</v>
      </c>
      <c r="M213" t="s">
        <v>901</v>
      </c>
      <c r="N213" t="s">
        <v>890</v>
      </c>
      <c r="O213" s="9">
        <v>45658</v>
      </c>
      <c r="P213" t="s">
        <v>892</v>
      </c>
      <c r="Q213">
        <v>67500</v>
      </c>
      <c r="R213" t="s">
        <v>764</v>
      </c>
      <c r="S213" t="s">
        <v>731</v>
      </c>
      <c r="T213" t="s">
        <v>732</v>
      </c>
      <c r="U213" t="s">
        <v>239</v>
      </c>
      <c r="V213" t="s">
        <v>23</v>
      </c>
      <c r="W213" t="s">
        <v>46</v>
      </c>
      <c r="X213" t="s">
        <v>9</v>
      </c>
    </row>
    <row r="214" spans="1:24">
      <c r="A214" t="s">
        <v>996</v>
      </c>
      <c r="B214" s="8">
        <v>45813</v>
      </c>
      <c r="C214" t="s">
        <v>252</v>
      </c>
      <c r="D214" t="s">
        <v>793</v>
      </c>
      <c r="E214">
        <v>1</v>
      </c>
      <c r="F214">
        <v>500000</v>
      </c>
      <c r="G214">
        <v>500000</v>
      </c>
      <c r="H214" t="s">
        <v>886</v>
      </c>
      <c r="I214">
        <v>50000</v>
      </c>
      <c r="J214">
        <v>25000</v>
      </c>
      <c r="K214">
        <v>475000</v>
      </c>
      <c r="L214" t="s">
        <v>889</v>
      </c>
      <c r="M214" t="s">
        <v>874</v>
      </c>
      <c r="N214" t="s">
        <v>875</v>
      </c>
      <c r="O214" s="9">
        <v>45809</v>
      </c>
      <c r="P214" t="s">
        <v>877</v>
      </c>
      <c r="Q214">
        <v>450000</v>
      </c>
      <c r="R214" t="s">
        <v>794</v>
      </c>
      <c r="S214" t="s">
        <v>743</v>
      </c>
      <c r="T214" t="s">
        <v>744</v>
      </c>
      <c r="U214" t="s">
        <v>253</v>
      </c>
      <c r="V214" t="s">
        <v>7</v>
      </c>
      <c r="W214" t="s">
        <v>29</v>
      </c>
      <c r="X214" t="s">
        <v>9</v>
      </c>
    </row>
    <row r="215" spans="1:24">
      <c r="A215" t="s">
        <v>1095</v>
      </c>
      <c r="B215" s="8">
        <v>45714</v>
      </c>
      <c r="C215" t="s">
        <v>252</v>
      </c>
      <c r="D215" t="s">
        <v>841</v>
      </c>
      <c r="E215">
        <v>3</v>
      </c>
      <c r="F215">
        <v>75000</v>
      </c>
      <c r="G215">
        <v>225000</v>
      </c>
      <c r="H215" t="s">
        <v>895</v>
      </c>
      <c r="I215">
        <v>33750</v>
      </c>
      <c r="J215">
        <v>20000</v>
      </c>
      <c r="K215">
        <v>211250</v>
      </c>
      <c r="L215" t="s">
        <v>880</v>
      </c>
      <c r="M215" t="s">
        <v>901</v>
      </c>
      <c r="N215" t="s">
        <v>890</v>
      </c>
      <c r="O215" s="9">
        <v>45689</v>
      </c>
      <c r="P215" t="s">
        <v>892</v>
      </c>
      <c r="Q215">
        <v>191250</v>
      </c>
      <c r="R215" t="s">
        <v>842</v>
      </c>
      <c r="S215" t="s">
        <v>743</v>
      </c>
      <c r="T215" t="s">
        <v>744</v>
      </c>
      <c r="U215" t="s">
        <v>253</v>
      </c>
      <c r="V215" t="s">
        <v>7</v>
      </c>
      <c r="W215" t="s">
        <v>29</v>
      </c>
      <c r="X215" t="s">
        <v>9</v>
      </c>
    </row>
    <row r="216" spans="1:24">
      <c r="A216" t="s">
        <v>1160</v>
      </c>
      <c r="B216" s="8">
        <v>45829</v>
      </c>
      <c r="C216" t="s">
        <v>218</v>
      </c>
      <c r="D216" t="s">
        <v>771</v>
      </c>
      <c r="E216">
        <v>4</v>
      </c>
      <c r="F216">
        <v>500000</v>
      </c>
      <c r="G216">
        <v>2000000</v>
      </c>
      <c r="H216" t="s">
        <v>872</v>
      </c>
      <c r="I216">
        <v>0</v>
      </c>
      <c r="J216">
        <v>25000</v>
      </c>
      <c r="K216">
        <v>2025000</v>
      </c>
      <c r="L216" t="s">
        <v>884</v>
      </c>
      <c r="M216" t="s">
        <v>903</v>
      </c>
      <c r="N216" t="s">
        <v>911</v>
      </c>
      <c r="O216" s="9">
        <v>45809</v>
      </c>
      <c r="P216" t="s">
        <v>892</v>
      </c>
      <c r="Q216">
        <v>2000000</v>
      </c>
      <c r="R216" t="s">
        <v>772</v>
      </c>
      <c r="S216" t="s">
        <v>747</v>
      </c>
      <c r="T216" t="s">
        <v>748</v>
      </c>
      <c r="U216" t="s">
        <v>219</v>
      </c>
      <c r="V216" t="s">
        <v>23</v>
      </c>
      <c r="W216" t="s">
        <v>137</v>
      </c>
      <c r="X216" t="s">
        <v>9</v>
      </c>
    </row>
    <row r="217" spans="1:24">
      <c r="A217" t="s">
        <v>1166</v>
      </c>
      <c r="B217" s="8">
        <v>45711</v>
      </c>
      <c r="C217" t="s">
        <v>218</v>
      </c>
      <c r="D217" t="s">
        <v>825</v>
      </c>
      <c r="E217">
        <v>4</v>
      </c>
      <c r="F217">
        <v>100000</v>
      </c>
      <c r="G217">
        <v>400000</v>
      </c>
      <c r="H217" t="s">
        <v>879</v>
      </c>
      <c r="I217">
        <v>80000</v>
      </c>
      <c r="J217">
        <v>25000</v>
      </c>
      <c r="K217">
        <v>345000</v>
      </c>
      <c r="L217" t="s">
        <v>884</v>
      </c>
      <c r="M217" t="s">
        <v>874</v>
      </c>
      <c r="N217" t="s">
        <v>875</v>
      </c>
      <c r="O217" s="9">
        <v>45689</v>
      </c>
      <c r="P217" t="s">
        <v>877</v>
      </c>
      <c r="Q217">
        <v>320000</v>
      </c>
      <c r="R217" t="s">
        <v>826</v>
      </c>
      <c r="S217" t="s">
        <v>735</v>
      </c>
      <c r="T217" t="s">
        <v>736</v>
      </c>
      <c r="U217" t="s">
        <v>219</v>
      </c>
      <c r="V217" t="s">
        <v>23</v>
      </c>
      <c r="W217" t="s">
        <v>137</v>
      </c>
      <c r="X217" t="s">
        <v>9</v>
      </c>
    </row>
    <row r="218" spans="1:24">
      <c r="A218" t="s">
        <v>1191</v>
      </c>
      <c r="B218" s="8">
        <v>45679</v>
      </c>
      <c r="C218" t="s">
        <v>220</v>
      </c>
      <c r="D218" t="s">
        <v>789</v>
      </c>
      <c r="E218">
        <v>1</v>
      </c>
      <c r="F218">
        <v>200000</v>
      </c>
      <c r="G218">
        <v>200000</v>
      </c>
      <c r="H218" t="s">
        <v>872</v>
      </c>
      <c r="I218">
        <v>0</v>
      </c>
      <c r="J218">
        <v>10000</v>
      </c>
      <c r="K218">
        <v>210000</v>
      </c>
      <c r="L218" t="s">
        <v>880</v>
      </c>
      <c r="M218" t="s">
        <v>901</v>
      </c>
      <c r="N218" t="s">
        <v>875</v>
      </c>
      <c r="O218" s="9">
        <v>45658</v>
      </c>
      <c r="P218" t="s">
        <v>877</v>
      </c>
      <c r="Q218">
        <v>200000</v>
      </c>
      <c r="R218" t="s">
        <v>790</v>
      </c>
      <c r="S218" t="s">
        <v>735</v>
      </c>
      <c r="T218" t="s">
        <v>736</v>
      </c>
      <c r="U218" t="s">
        <v>221</v>
      </c>
      <c r="V218" t="s">
        <v>7</v>
      </c>
      <c r="W218" t="s">
        <v>29</v>
      </c>
      <c r="X218" t="s">
        <v>9</v>
      </c>
    </row>
    <row r="219" spans="1:24">
      <c r="A219" t="s">
        <v>998</v>
      </c>
      <c r="B219" s="8">
        <v>45808</v>
      </c>
      <c r="C219" t="s">
        <v>232</v>
      </c>
      <c r="D219" t="s">
        <v>845</v>
      </c>
      <c r="E219">
        <v>4</v>
      </c>
      <c r="F219">
        <v>300000</v>
      </c>
      <c r="G219">
        <v>1200000</v>
      </c>
      <c r="H219" t="s">
        <v>879</v>
      </c>
      <c r="I219">
        <v>240000</v>
      </c>
      <c r="J219">
        <v>25000</v>
      </c>
      <c r="K219">
        <v>985000</v>
      </c>
      <c r="L219" t="s">
        <v>880</v>
      </c>
      <c r="M219" t="s">
        <v>874</v>
      </c>
      <c r="N219" t="s">
        <v>875</v>
      </c>
      <c r="O219" s="9">
        <v>45778</v>
      </c>
      <c r="P219" t="s">
        <v>877</v>
      </c>
      <c r="Q219">
        <v>960000</v>
      </c>
      <c r="R219" t="s">
        <v>846</v>
      </c>
      <c r="S219" t="s">
        <v>727</v>
      </c>
      <c r="T219" t="s">
        <v>728</v>
      </c>
      <c r="U219" t="s">
        <v>233</v>
      </c>
      <c r="V219" t="s">
        <v>23</v>
      </c>
      <c r="W219" t="s">
        <v>137</v>
      </c>
      <c r="X219" t="s">
        <v>9</v>
      </c>
    </row>
    <row r="220" spans="1:24">
      <c r="A220" t="s">
        <v>1086</v>
      </c>
      <c r="B220" s="8">
        <v>45833</v>
      </c>
      <c r="C220" t="s">
        <v>232</v>
      </c>
      <c r="D220" t="s">
        <v>809</v>
      </c>
      <c r="E220">
        <v>2</v>
      </c>
      <c r="F220">
        <v>100000</v>
      </c>
      <c r="G220">
        <v>200000</v>
      </c>
      <c r="H220" t="s">
        <v>883</v>
      </c>
      <c r="I220">
        <v>20000</v>
      </c>
      <c r="J220">
        <v>25000</v>
      </c>
      <c r="K220">
        <v>205000</v>
      </c>
      <c r="L220" t="s">
        <v>880</v>
      </c>
      <c r="M220" t="s">
        <v>881</v>
      </c>
      <c r="N220" t="s">
        <v>890</v>
      </c>
      <c r="O220" s="9">
        <v>45809</v>
      </c>
      <c r="P220" t="s">
        <v>892</v>
      </c>
      <c r="Q220">
        <v>180000</v>
      </c>
      <c r="R220" t="s">
        <v>810</v>
      </c>
      <c r="S220" t="s">
        <v>727</v>
      </c>
      <c r="T220" t="s">
        <v>728</v>
      </c>
      <c r="U220" t="s">
        <v>233</v>
      </c>
      <c r="V220" t="s">
        <v>23</v>
      </c>
      <c r="W220" t="s">
        <v>137</v>
      </c>
      <c r="X220" t="s">
        <v>9</v>
      </c>
    </row>
    <row r="221" spans="1:24">
      <c r="A221" t="s">
        <v>1238</v>
      </c>
      <c r="B221" s="8">
        <v>45791</v>
      </c>
      <c r="C221" t="s">
        <v>232</v>
      </c>
      <c r="D221" t="s">
        <v>785</v>
      </c>
      <c r="E221">
        <v>4</v>
      </c>
      <c r="F221">
        <v>100000</v>
      </c>
      <c r="G221">
        <v>400000</v>
      </c>
      <c r="H221" t="s">
        <v>883</v>
      </c>
      <c r="I221">
        <v>40000</v>
      </c>
      <c r="J221">
        <v>15000</v>
      </c>
      <c r="K221">
        <v>375000</v>
      </c>
      <c r="L221" t="s">
        <v>884</v>
      </c>
      <c r="M221" t="s">
        <v>903</v>
      </c>
      <c r="N221" t="s">
        <v>875</v>
      </c>
      <c r="O221" s="9">
        <v>45778</v>
      </c>
      <c r="P221" t="s">
        <v>877</v>
      </c>
      <c r="Q221">
        <v>360000</v>
      </c>
      <c r="R221" t="s">
        <v>786</v>
      </c>
      <c r="S221" t="s">
        <v>727</v>
      </c>
      <c r="T221" t="s">
        <v>728</v>
      </c>
      <c r="U221" t="s">
        <v>233</v>
      </c>
      <c r="V221" t="s">
        <v>23</v>
      </c>
      <c r="W221" t="s">
        <v>137</v>
      </c>
      <c r="X221" t="s">
        <v>9</v>
      </c>
    </row>
    <row r="222" spans="1:24">
      <c r="A222" t="s">
        <v>999</v>
      </c>
      <c r="B222" s="8">
        <v>45678</v>
      </c>
      <c r="C222" t="s">
        <v>300</v>
      </c>
      <c r="D222" t="s">
        <v>779</v>
      </c>
      <c r="E222">
        <v>1</v>
      </c>
      <c r="F222">
        <v>150000</v>
      </c>
      <c r="G222">
        <v>150000</v>
      </c>
      <c r="H222" t="s">
        <v>886</v>
      </c>
      <c r="I222">
        <v>15000</v>
      </c>
      <c r="J222">
        <v>20000</v>
      </c>
      <c r="K222">
        <v>155000</v>
      </c>
      <c r="L222" t="s">
        <v>884</v>
      </c>
      <c r="M222" t="s">
        <v>874</v>
      </c>
      <c r="N222" t="s">
        <v>875</v>
      </c>
      <c r="O222" s="9">
        <v>45658</v>
      </c>
      <c r="P222" t="s">
        <v>877</v>
      </c>
      <c r="Q222">
        <v>135000</v>
      </c>
      <c r="R222" t="s">
        <v>780</v>
      </c>
      <c r="S222" t="s">
        <v>739</v>
      </c>
      <c r="T222" t="s">
        <v>740</v>
      </c>
      <c r="U222" t="s">
        <v>301</v>
      </c>
      <c r="V222" t="s">
        <v>7</v>
      </c>
      <c r="W222" t="s">
        <v>39</v>
      </c>
      <c r="X222" t="s">
        <v>9</v>
      </c>
    </row>
    <row r="223" spans="1:24">
      <c r="A223" t="s">
        <v>1188</v>
      </c>
      <c r="B223" s="8">
        <v>45665</v>
      </c>
      <c r="C223" t="s">
        <v>300</v>
      </c>
      <c r="D223" t="s">
        <v>819</v>
      </c>
      <c r="E223">
        <v>3</v>
      </c>
      <c r="F223">
        <v>300000</v>
      </c>
      <c r="G223">
        <v>900000</v>
      </c>
      <c r="H223" t="s">
        <v>886</v>
      </c>
      <c r="I223">
        <v>90000</v>
      </c>
      <c r="J223">
        <v>10000</v>
      </c>
      <c r="K223">
        <v>820000</v>
      </c>
      <c r="L223" t="s">
        <v>889</v>
      </c>
      <c r="M223" t="s">
        <v>901</v>
      </c>
      <c r="N223" t="s">
        <v>890</v>
      </c>
      <c r="O223" s="9">
        <v>45658</v>
      </c>
      <c r="P223" t="s">
        <v>892</v>
      </c>
      <c r="Q223">
        <v>810000</v>
      </c>
      <c r="R223" t="s">
        <v>820</v>
      </c>
      <c r="S223" t="s">
        <v>747</v>
      </c>
      <c r="T223" t="s">
        <v>748</v>
      </c>
      <c r="U223" t="s">
        <v>301</v>
      </c>
      <c r="V223" t="s">
        <v>7</v>
      </c>
      <c r="W223" t="s">
        <v>39</v>
      </c>
      <c r="X223" t="s">
        <v>9</v>
      </c>
    </row>
    <row r="224" spans="1:24">
      <c r="A224" t="s">
        <v>1221</v>
      </c>
      <c r="B224" s="8">
        <v>45690</v>
      </c>
      <c r="C224" t="s">
        <v>300</v>
      </c>
      <c r="D224" t="s">
        <v>775</v>
      </c>
      <c r="E224">
        <v>3</v>
      </c>
      <c r="F224">
        <v>75000</v>
      </c>
      <c r="G224">
        <v>225000</v>
      </c>
      <c r="H224" t="s">
        <v>872</v>
      </c>
      <c r="I224">
        <v>0</v>
      </c>
      <c r="J224">
        <v>30000</v>
      </c>
      <c r="K224">
        <v>255000</v>
      </c>
      <c r="L224" t="s">
        <v>889</v>
      </c>
      <c r="M224" t="s">
        <v>881</v>
      </c>
      <c r="N224" t="s">
        <v>890</v>
      </c>
      <c r="O224" s="9">
        <v>45689</v>
      </c>
      <c r="P224" t="s">
        <v>892</v>
      </c>
      <c r="Q224">
        <v>225000</v>
      </c>
      <c r="R224" t="s">
        <v>776</v>
      </c>
      <c r="S224" t="s">
        <v>731</v>
      </c>
      <c r="T224" t="s">
        <v>732</v>
      </c>
      <c r="U224" t="s">
        <v>301</v>
      </c>
      <c r="V224" t="s">
        <v>7</v>
      </c>
      <c r="W224" t="s">
        <v>39</v>
      </c>
      <c r="X224" t="s">
        <v>9</v>
      </c>
    </row>
    <row r="225" spans="1:24">
      <c r="A225" t="s">
        <v>1000</v>
      </c>
      <c r="B225" s="8">
        <v>45814</v>
      </c>
      <c r="C225" t="s">
        <v>496</v>
      </c>
      <c r="D225" t="s">
        <v>791</v>
      </c>
      <c r="E225">
        <v>1</v>
      </c>
      <c r="F225">
        <v>50000</v>
      </c>
      <c r="G225">
        <v>50000</v>
      </c>
      <c r="H225" t="s">
        <v>895</v>
      </c>
      <c r="I225">
        <v>7500</v>
      </c>
      <c r="J225">
        <v>10000</v>
      </c>
      <c r="K225">
        <v>52500</v>
      </c>
      <c r="L225" t="s">
        <v>889</v>
      </c>
      <c r="M225" t="s">
        <v>903</v>
      </c>
      <c r="N225" t="s">
        <v>875</v>
      </c>
      <c r="O225" s="9">
        <v>45809</v>
      </c>
      <c r="P225" t="s">
        <v>877</v>
      </c>
      <c r="Q225">
        <v>42500</v>
      </c>
      <c r="R225" t="s">
        <v>792</v>
      </c>
      <c r="S225" t="s">
        <v>739</v>
      </c>
      <c r="T225" t="s">
        <v>740</v>
      </c>
      <c r="U225" t="s">
        <v>497</v>
      </c>
      <c r="V225" t="s">
        <v>7</v>
      </c>
      <c r="W225" t="s">
        <v>56</v>
      </c>
      <c r="X225" t="s">
        <v>24</v>
      </c>
    </row>
    <row r="226" spans="1:24">
      <c r="A226" t="s">
        <v>1118</v>
      </c>
      <c r="B226" s="8">
        <v>45804</v>
      </c>
      <c r="C226" t="s">
        <v>496</v>
      </c>
      <c r="D226" t="s">
        <v>791</v>
      </c>
      <c r="E226">
        <v>2</v>
      </c>
      <c r="F226">
        <v>50000</v>
      </c>
      <c r="G226">
        <v>100000</v>
      </c>
      <c r="H226" t="s">
        <v>872</v>
      </c>
      <c r="I226">
        <v>0</v>
      </c>
      <c r="J226">
        <v>15000</v>
      </c>
      <c r="K226">
        <v>115000</v>
      </c>
      <c r="L226" t="s">
        <v>884</v>
      </c>
      <c r="M226" t="s">
        <v>881</v>
      </c>
      <c r="N226" t="s">
        <v>911</v>
      </c>
      <c r="O226" s="9">
        <v>45778</v>
      </c>
      <c r="P226" t="s">
        <v>892</v>
      </c>
      <c r="Q226">
        <v>100000</v>
      </c>
      <c r="R226" t="s">
        <v>792</v>
      </c>
      <c r="S226" t="s">
        <v>739</v>
      </c>
      <c r="T226" t="s">
        <v>740</v>
      </c>
      <c r="U226" t="s">
        <v>497</v>
      </c>
      <c r="V226" t="s">
        <v>7</v>
      </c>
      <c r="W226" t="s">
        <v>56</v>
      </c>
      <c r="X226" t="s">
        <v>24</v>
      </c>
    </row>
    <row r="227" spans="1:24">
      <c r="A227" t="s">
        <v>1001</v>
      </c>
      <c r="B227" s="8">
        <v>45734</v>
      </c>
      <c r="C227" t="s">
        <v>282</v>
      </c>
      <c r="D227" t="s">
        <v>787</v>
      </c>
      <c r="E227">
        <v>1</v>
      </c>
      <c r="F227">
        <v>200000</v>
      </c>
      <c r="G227">
        <v>200000</v>
      </c>
      <c r="H227" t="s">
        <v>872</v>
      </c>
      <c r="I227">
        <v>0</v>
      </c>
      <c r="J227">
        <v>30000</v>
      </c>
      <c r="K227">
        <v>230000</v>
      </c>
      <c r="L227" t="s">
        <v>889</v>
      </c>
      <c r="M227" t="s">
        <v>874</v>
      </c>
      <c r="N227" t="s">
        <v>875</v>
      </c>
      <c r="O227" s="9">
        <v>45717</v>
      </c>
      <c r="P227" t="s">
        <v>877</v>
      </c>
      <c r="Q227">
        <v>200000</v>
      </c>
      <c r="R227" t="s">
        <v>788</v>
      </c>
      <c r="S227" t="s">
        <v>731</v>
      </c>
      <c r="T227" t="s">
        <v>732</v>
      </c>
      <c r="U227" t="s">
        <v>283</v>
      </c>
      <c r="V227" t="s">
        <v>7</v>
      </c>
      <c r="W227" t="s">
        <v>46</v>
      </c>
      <c r="X227" t="s">
        <v>9</v>
      </c>
    </row>
    <row r="228" spans="1:24">
      <c r="A228" t="s">
        <v>1198</v>
      </c>
      <c r="B228" s="8">
        <v>45806</v>
      </c>
      <c r="C228" t="s">
        <v>282</v>
      </c>
      <c r="D228" t="s">
        <v>781</v>
      </c>
      <c r="E228">
        <v>1</v>
      </c>
      <c r="F228">
        <v>50000</v>
      </c>
      <c r="G228">
        <v>50000</v>
      </c>
      <c r="H228" t="s">
        <v>886</v>
      </c>
      <c r="I228">
        <v>5000</v>
      </c>
      <c r="J228">
        <v>10000</v>
      </c>
      <c r="K228">
        <v>55000</v>
      </c>
      <c r="L228" t="s">
        <v>884</v>
      </c>
      <c r="M228" t="s">
        <v>901</v>
      </c>
      <c r="N228" t="s">
        <v>911</v>
      </c>
      <c r="O228" s="9">
        <v>45778</v>
      </c>
      <c r="P228" t="s">
        <v>892</v>
      </c>
      <c r="Q228">
        <v>45000</v>
      </c>
      <c r="R228" t="s">
        <v>782</v>
      </c>
      <c r="S228" t="s">
        <v>743</v>
      </c>
      <c r="T228" t="s">
        <v>744</v>
      </c>
      <c r="U228" t="s">
        <v>283</v>
      </c>
      <c r="V228" t="s">
        <v>7</v>
      </c>
      <c r="W228" t="s">
        <v>46</v>
      </c>
      <c r="X228" t="s">
        <v>9</v>
      </c>
    </row>
    <row r="229" spans="1:24">
      <c r="A229" t="s">
        <v>1119</v>
      </c>
      <c r="B229" s="8">
        <v>45686</v>
      </c>
      <c r="C229" t="s">
        <v>228</v>
      </c>
      <c r="D229" t="s">
        <v>755</v>
      </c>
      <c r="E229">
        <v>1</v>
      </c>
      <c r="F229">
        <v>50000</v>
      </c>
      <c r="G229">
        <v>50000</v>
      </c>
      <c r="H229" t="s">
        <v>886</v>
      </c>
      <c r="I229">
        <v>5000</v>
      </c>
      <c r="J229">
        <v>10000</v>
      </c>
      <c r="K229">
        <v>55000</v>
      </c>
      <c r="L229" t="s">
        <v>884</v>
      </c>
      <c r="M229" t="s">
        <v>903</v>
      </c>
      <c r="N229" t="s">
        <v>911</v>
      </c>
      <c r="O229" s="9">
        <v>45658</v>
      </c>
      <c r="P229" t="s">
        <v>892</v>
      </c>
      <c r="Q229">
        <v>45000</v>
      </c>
      <c r="R229" t="s">
        <v>756</v>
      </c>
      <c r="S229" t="s">
        <v>739</v>
      </c>
      <c r="T229" t="s">
        <v>740</v>
      </c>
      <c r="U229" t="s">
        <v>229</v>
      </c>
      <c r="V229" t="s">
        <v>23</v>
      </c>
      <c r="W229" t="s">
        <v>39</v>
      </c>
      <c r="X229" t="s">
        <v>9</v>
      </c>
    </row>
    <row r="230" spans="1:24">
      <c r="A230" t="s">
        <v>1005</v>
      </c>
      <c r="B230" s="8">
        <v>45811</v>
      </c>
      <c r="C230" t="s">
        <v>712</v>
      </c>
      <c r="D230" t="s">
        <v>809</v>
      </c>
      <c r="E230">
        <v>2</v>
      </c>
      <c r="F230">
        <v>100000</v>
      </c>
      <c r="G230">
        <v>200000</v>
      </c>
      <c r="H230" t="s">
        <v>895</v>
      </c>
      <c r="I230">
        <v>30000</v>
      </c>
      <c r="J230">
        <v>10000</v>
      </c>
      <c r="K230">
        <v>180000</v>
      </c>
      <c r="L230" t="s">
        <v>880</v>
      </c>
      <c r="M230" t="s">
        <v>874</v>
      </c>
      <c r="N230" t="s">
        <v>875</v>
      </c>
      <c r="O230" s="9">
        <v>45809</v>
      </c>
      <c r="P230" t="s">
        <v>877</v>
      </c>
      <c r="Q230">
        <v>170000</v>
      </c>
      <c r="R230" t="s">
        <v>810</v>
      </c>
      <c r="S230" t="s">
        <v>727</v>
      </c>
      <c r="T230" t="s">
        <v>728</v>
      </c>
      <c r="U230" t="s">
        <v>713</v>
      </c>
      <c r="V230" t="s">
        <v>23</v>
      </c>
      <c r="W230" t="s">
        <v>29</v>
      </c>
      <c r="X230" t="s">
        <v>9</v>
      </c>
    </row>
    <row r="231" spans="1:24">
      <c r="A231" t="s">
        <v>1134</v>
      </c>
      <c r="B231" s="8">
        <v>45755</v>
      </c>
      <c r="C231" t="s">
        <v>236</v>
      </c>
      <c r="D231" t="s">
        <v>837</v>
      </c>
      <c r="E231">
        <v>1</v>
      </c>
      <c r="F231">
        <v>300000</v>
      </c>
      <c r="G231">
        <v>300000</v>
      </c>
      <c r="H231" t="s">
        <v>872</v>
      </c>
      <c r="I231">
        <v>0</v>
      </c>
      <c r="J231">
        <v>20000</v>
      </c>
      <c r="K231">
        <v>320000</v>
      </c>
      <c r="L231" t="s">
        <v>884</v>
      </c>
      <c r="M231" t="s">
        <v>874</v>
      </c>
      <c r="N231" t="s">
        <v>875</v>
      </c>
      <c r="O231" s="9">
        <v>45748</v>
      </c>
      <c r="P231" t="s">
        <v>877</v>
      </c>
      <c r="Q231">
        <v>300000</v>
      </c>
      <c r="R231" t="s">
        <v>838</v>
      </c>
      <c r="S231" t="s">
        <v>735</v>
      </c>
      <c r="T231" t="s">
        <v>736</v>
      </c>
      <c r="U231" t="s">
        <v>237</v>
      </c>
      <c r="V231" t="s">
        <v>7</v>
      </c>
      <c r="W231" t="s">
        <v>29</v>
      </c>
      <c r="X231" t="s">
        <v>15</v>
      </c>
    </row>
    <row r="232" spans="1:24">
      <c r="A232" t="s">
        <v>1006</v>
      </c>
      <c r="B232" s="8">
        <v>45803</v>
      </c>
      <c r="C232" t="s">
        <v>346</v>
      </c>
      <c r="D232" t="s">
        <v>755</v>
      </c>
      <c r="E232">
        <v>1</v>
      </c>
      <c r="F232">
        <v>50000</v>
      </c>
      <c r="G232">
        <v>50000</v>
      </c>
      <c r="H232" t="s">
        <v>895</v>
      </c>
      <c r="I232">
        <v>7500</v>
      </c>
      <c r="J232">
        <v>15000</v>
      </c>
      <c r="K232">
        <v>57500</v>
      </c>
      <c r="L232" t="s">
        <v>889</v>
      </c>
      <c r="M232" t="s">
        <v>901</v>
      </c>
      <c r="N232" t="s">
        <v>875</v>
      </c>
      <c r="O232" s="9">
        <v>45778</v>
      </c>
      <c r="P232" t="s">
        <v>877</v>
      </c>
      <c r="Q232">
        <v>42500</v>
      </c>
      <c r="R232" t="s">
        <v>756</v>
      </c>
      <c r="S232" t="s">
        <v>739</v>
      </c>
      <c r="T232" t="s">
        <v>740</v>
      </c>
      <c r="U232" t="s">
        <v>347</v>
      </c>
      <c r="V232" t="s">
        <v>23</v>
      </c>
      <c r="W232" t="s">
        <v>46</v>
      </c>
      <c r="X232" t="s">
        <v>9</v>
      </c>
    </row>
    <row r="233" spans="1:24">
      <c r="A233" t="s">
        <v>1011</v>
      </c>
      <c r="B233" s="8">
        <v>45754</v>
      </c>
      <c r="C233" t="s">
        <v>346</v>
      </c>
      <c r="D233" t="s">
        <v>733</v>
      </c>
      <c r="E233">
        <v>1</v>
      </c>
      <c r="F233">
        <v>150000</v>
      </c>
      <c r="G233">
        <v>150000</v>
      </c>
      <c r="H233" t="s">
        <v>886</v>
      </c>
      <c r="I233">
        <v>15000</v>
      </c>
      <c r="J233">
        <v>30000</v>
      </c>
      <c r="K233">
        <v>165000</v>
      </c>
      <c r="L233" t="s">
        <v>889</v>
      </c>
      <c r="M233" t="s">
        <v>901</v>
      </c>
      <c r="N233" t="s">
        <v>875</v>
      </c>
      <c r="O233" s="9">
        <v>45748</v>
      </c>
      <c r="P233" t="s">
        <v>877</v>
      </c>
      <c r="Q233">
        <v>135000</v>
      </c>
      <c r="R233" t="s">
        <v>734</v>
      </c>
      <c r="S233" t="s">
        <v>735</v>
      </c>
      <c r="T233" t="s">
        <v>736</v>
      </c>
      <c r="U233" t="s">
        <v>347</v>
      </c>
      <c r="V233" t="s">
        <v>23</v>
      </c>
      <c r="W233" t="s">
        <v>46</v>
      </c>
      <c r="X233" t="s">
        <v>9</v>
      </c>
    </row>
    <row r="234" spans="1:24">
      <c r="A234" t="s">
        <v>1083</v>
      </c>
      <c r="B234" s="8">
        <v>45698</v>
      </c>
      <c r="C234" t="s">
        <v>346</v>
      </c>
      <c r="D234" t="s">
        <v>809</v>
      </c>
      <c r="E234">
        <v>2</v>
      </c>
      <c r="F234">
        <v>100000</v>
      </c>
      <c r="G234">
        <v>200000</v>
      </c>
      <c r="H234" t="s">
        <v>879</v>
      </c>
      <c r="I234">
        <v>40000</v>
      </c>
      <c r="J234">
        <v>15000</v>
      </c>
      <c r="K234">
        <v>175000</v>
      </c>
      <c r="L234" t="s">
        <v>873</v>
      </c>
      <c r="M234" t="s">
        <v>881</v>
      </c>
      <c r="N234" t="s">
        <v>875</v>
      </c>
      <c r="O234" s="9">
        <v>45689</v>
      </c>
      <c r="P234" t="s">
        <v>877</v>
      </c>
      <c r="Q234">
        <v>160000</v>
      </c>
      <c r="R234" t="s">
        <v>810</v>
      </c>
      <c r="S234" t="s">
        <v>727</v>
      </c>
      <c r="T234" t="s">
        <v>728</v>
      </c>
      <c r="U234" t="s">
        <v>347</v>
      </c>
      <c r="V234" t="s">
        <v>23</v>
      </c>
      <c r="W234" t="s">
        <v>46</v>
      </c>
      <c r="X234" t="s">
        <v>9</v>
      </c>
    </row>
    <row r="235" spans="1:24">
      <c r="A235" t="s">
        <v>1042</v>
      </c>
      <c r="B235" s="8">
        <v>45695</v>
      </c>
      <c r="C235" t="s">
        <v>240</v>
      </c>
      <c r="D235" t="s">
        <v>799</v>
      </c>
      <c r="E235">
        <v>2</v>
      </c>
      <c r="F235">
        <v>35000</v>
      </c>
      <c r="G235">
        <v>70000</v>
      </c>
      <c r="H235" t="s">
        <v>886</v>
      </c>
      <c r="I235">
        <v>7000</v>
      </c>
      <c r="J235">
        <v>15000</v>
      </c>
      <c r="K235">
        <v>78000</v>
      </c>
      <c r="L235" t="s">
        <v>873</v>
      </c>
      <c r="M235" t="s">
        <v>874</v>
      </c>
      <c r="N235" t="s">
        <v>911</v>
      </c>
      <c r="O235" s="9">
        <v>45689</v>
      </c>
      <c r="P235" t="s">
        <v>892</v>
      </c>
      <c r="Q235">
        <v>63000</v>
      </c>
      <c r="R235" t="s">
        <v>800</v>
      </c>
      <c r="S235" t="s">
        <v>731</v>
      </c>
      <c r="T235" t="s">
        <v>732</v>
      </c>
      <c r="U235" t="s">
        <v>241</v>
      </c>
      <c r="V235" t="s">
        <v>23</v>
      </c>
      <c r="W235" t="s">
        <v>39</v>
      </c>
      <c r="X235" t="s">
        <v>24</v>
      </c>
    </row>
    <row r="236" spans="1:24">
      <c r="A236" t="s">
        <v>1234</v>
      </c>
      <c r="B236" s="8">
        <v>45808</v>
      </c>
      <c r="C236" t="s">
        <v>240</v>
      </c>
      <c r="D236" t="s">
        <v>799</v>
      </c>
      <c r="E236">
        <v>2</v>
      </c>
      <c r="F236">
        <v>35000</v>
      </c>
      <c r="G236">
        <v>70000</v>
      </c>
      <c r="H236" t="s">
        <v>872</v>
      </c>
      <c r="I236">
        <v>0</v>
      </c>
      <c r="J236">
        <v>20000</v>
      </c>
      <c r="K236">
        <v>90000</v>
      </c>
      <c r="L236" t="s">
        <v>889</v>
      </c>
      <c r="M236" t="s">
        <v>901</v>
      </c>
      <c r="N236" t="s">
        <v>875</v>
      </c>
      <c r="O236" s="9">
        <v>45778</v>
      </c>
      <c r="P236" t="s">
        <v>877</v>
      </c>
      <c r="Q236">
        <v>70000</v>
      </c>
      <c r="R236" t="s">
        <v>800</v>
      </c>
      <c r="S236" t="s">
        <v>731</v>
      </c>
      <c r="T236" t="s">
        <v>732</v>
      </c>
      <c r="U236" t="s">
        <v>241</v>
      </c>
      <c r="V236" t="s">
        <v>23</v>
      </c>
      <c r="W236" t="s">
        <v>39</v>
      </c>
      <c r="X236" t="s">
        <v>24</v>
      </c>
    </row>
    <row r="237" spans="1:24">
      <c r="A237" t="s">
        <v>1009</v>
      </c>
      <c r="B237" s="8">
        <v>45803</v>
      </c>
      <c r="C237" t="s">
        <v>664</v>
      </c>
      <c r="D237" t="s">
        <v>819</v>
      </c>
      <c r="E237">
        <v>3</v>
      </c>
      <c r="F237">
        <v>300000</v>
      </c>
      <c r="G237">
        <v>900000</v>
      </c>
      <c r="H237" t="s">
        <v>879</v>
      </c>
      <c r="I237">
        <v>180000</v>
      </c>
      <c r="J237">
        <v>25000</v>
      </c>
      <c r="K237">
        <v>745000</v>
      </c>
      <c r="L237" t="s">
        <v>873</v>
      </c>
      <c r="M237" t="s">
        <v>881</v>
      </c>
      <c r="N237" t="s">
        <v>875</v>
      </c>
      <c r="O237" s="9">
        <v>45778</v>
      </c>
      <c r="P237" t="s">
        <v>877</v>
      </c>
      <c r="Q237">
        <v>720000</v>
      </c>
      <c r="R237" t="s">
        <v>820</v>
      </c>
      <c r="S237" t="s">
        <v>747</v>
      </c>
      <c r="T237" t="s">
        <v>748</v>
      </c>
      <c r="U237" t="s">
        <v>665</v>
      </c>
      <c r="V237" t="s">
        <v>23</v>
      </c>
      <c r="W237" t="s">
        <v>8</v>
      </c>
      <c r="X237" t="s">
        <v>9</v>
      </c>
    </row>
    <row r="238" spans="1:24">
      <c r="A238" t="s">
        <v>1201</v>
      </c>
      <c r="B238" s="8">
        <v>45661</v>
      </c>
      <c r="C238" t="s">
        <v>664</v>
      </c>
      <c r="D238" t="s">
        <v>803</v>
      </c>
      <c r="E238">
        <v>1</v>
      </c>
      <c r="F238">
        <v>50000</v>
      </c>
      <c r="G238">
        <v>50000</v>
      </c>
      <c r="H238" t="s">
        <v>872</v>
      </c>
      <c r="I238">
        <v>0</v>
      </c>
      <c r="J238">
        <v>30000</v>
      </c>
      <c r="K238">
        <v>80000</v>
      </c>
      <c r="L238" t="s">
        <v>889</v>
      </c>
      <c r="M238" t="s">
        <v>874</v>
      </c>
      <c r="N238" t="s">
        <v>875</v>
      </c>
      <c r="O238" s="9">
        <v>45658</v>
      </c>
      <c r="P238" t="s">
        <v>877</v>
      </c>
      <c r="Q238">
        <v>50000</v>
      </c>
      <c r="R238" t="s">
        <v>804</v>
      </c>
      <c r="S238" t="s">
        <v>739</v>
      </c>
      <c r="T238" t="s">
        <v>740</v>
      </c>
      <c r="U238" t="s">
        <v>665</v>
      </c>
      <c r="V238" t="s">
        <v>23</v>
      </c>
      <c r="W238" t="s">
        <v>8</v>
      </c>
      <c r="X238" t="s">
        <v>9</v>
      </c>
    </row>
    <row r="239" spans="1:24">
      <c r="A239" t="s">
        <v>1013</v>
      </c>
      <c r="B239" s="8">
        <v>45724</v>
      </c>
      <c r="C239" t="s">
        <v>618</v>
      </c>
      <c r="D239" t="s">
        <v>851</v>
      </c>
      <c r="E239">
        <v>1</v>
      </c>
      <c r="F239">
        <v>35000</v>
      </c>
      <c r="G239">
        <v>35000</v>
      </c>
      <c r="H239" t="s">
        <v>895</v>
      </c>
      <c r="I239">
        <v>5250</v>
      </c>
      <c r="J239">
        <v>10000</v>
      </c>
      <c r="K239">
        <v>39750</v>
      </c>
      <c r="L239" t="s">
        <v>889</v>
      </c>
      <c r="M239" t="s">
        <v>874</v>
      </c>
      <c r="N239" t="s">
        <v>875</v>
      </c>
      <c r="O239" s="9">
        <v>45717</v>
      </c>
      <c r="P239" t="s">
        <v>877</v>
      </c>
      <c r="Q239">
        <v>29750</v>
      </c>
      <c r="R239" t="s">
        <v>852</v>
      </c>
      <c r="S239" t="s">
        <v>739</v>
      </c>
      <c r="T239" t="s">
        <v>740</v>
      </c>
      <c r="U239" t="s">
        <v>619</v>
      </c>
      <c r="V239" t="s">
        <v>7</v>
      </c>
      <c r="W239" t="s">
        <v>29</v>
      </c>
      <c r="X239" t="s">
        <v>15</v>
      </c>
    </row>
    <row r="240" spans="1:24">
      <c r="A240" t="s">
        <v>1015</v>
      </c>
      <c r="B240" s="8">
        <v>45712</v>
      </c>
      <c r="C240" t="s">
        <v>434</v>
      </c>
      <c r="D240" t="s">
        <v>819</v>
      </c>
      <c r="E240">
        <v>3</v>
      </c>
      <c r="F240">
        <v>300000</v>
      </c>
      <c r="G240">
        <v>900000</v>
      </c>
      <c r="H240" t="s">
        <v>872</v>
      </c>
      <c r="I240">
        <v>0</v>
      </c>
      <c r="J240">
        <v>25000</v>
      </c>
      <c r="K240">
        <v>925000</v>
      </c>
      <c r="L240" t="s">
        <v>880</v>
      </c>
      <c r="M240" t="s">
        <v>874</v>
      </c>
      <c r="N240" t="s">
        <v>875</v>
      </c>
      <c r="O240" s="9">
        <v>45689</v>
      </c>
      <c r="P240" t="s">
        <v>877</v>
      </c>
      <c r="Q240">
        <v>900000</v>
      </c>
      <c r="R240" t="s">
        <v>820</v>
      </c>
      <c r="S240" t="s">
        <v>747</v>
      </c>
      <c r="T240" t="s">
        <v>748</v>
      </c>
      <c r="U240" t="s">
        <v>435</v>
      </c>
      <c r="V240" t="s">
        <v>23</v>
      </c>
      <c r="W240" t="s">
        <v>137</v>
      </c>
      <c r="X240" t="s">
        <v>9</v>
      </c>
    </row>
    <row r="241" spans="1:24">
      <c r="A241" t="s">
        <v>1174</v>
      </c>
      <c r="B241" s="8">
        <v>45673</v>
      </c>
      <c r="C241" t="s">
        <v>434</v>
      </c>
      <c r="D241" t="s">
        <v>821</v>
      </c>
      <c r="E241">
        <v>2</v>
      </c>
      <c r="F241">
        <v>50000</v>
      </c>
      <c r="G241">
        <v>100000</v>
      </c>
      <c r="H241" t="s">
        <v>895</v>
      </c>
      <c r="I241">
        <v>15000</v>
      </c>
      <c r="J241">
        <v>20000</v>
      </c>
      <c r="K241">
        <v>105000</v>
      </c>
      <c r="L241" t="s">
        <v>880</v>
      </c>
      <c r="M241" t="s">
        <v>881</v>
      </c>
      <c r="N241" t="s">
        <v>875</v>
      </c>
      <c r="O241" s="9">
        <v>45658</v>
      </c>
      <c r="P241" t="s">
        <v>877</v>
      </c>
      <c r="Q241">
        <v>85000</v>
      </c>
      <c r="R241" t="s">
        <v>822</v>
      </c>
      <c r="S241" t="s">
        <v>727</v>
      </c>
      <c r="T241" t="s">
        <v>728</v>
      </c>
      <c r="U241" t="s">
        <v>435</v>
      </c>
      <c r="V241" t="s">
        <v>23</v>
      </c>
      <c r="W241" t="s">
        <v>137</v>
      </c>
      <c r="X241" t="s">
        <v>9</v>
      </c>
    </row>
    <row r="242" spans="1:24">
      <c r="A242" t="s">
        <v>1017</v>
      </c>
      <c r="B242" s="8">
        <v>45761</v>
      </c>
      <c r="C242" t="s">
        <v>514</v>
      </c>
      <c r="D242" t="s">
        <v>823</v>
      </c>
      <c r="E242">
        <v>1</v>
      </c>
      <c r="F242">
        <v>500000</v>
      </c>
      <c r="G242">
        <v>500000</v>
      </c>
      <c r="H242" t="s">
        <v>872</v>
      </c>
      <c r="I242">
        <v>0</v>
      </c>
      <c r="J242">
        <v>10000</v>
      </c>
      <c r="K242">
        <v>510000</v>
      </c>
      <c r="L242" t="s">
        <v>884</v>
      </c>
      <c r="M242" t="s">
        <v>903</v>
      </c>
      <c r="N242" t="s">
        <v>905</v>
      </c>
      <c r="O242" s="9">
        <v>45748</v>
      </c>
      <c r="P242" t="s">
        <v>892</v>
      </c>
      <c r="Q242">
        <v>500000</v>
      </c>
      <c r="R242" t="s">
        <v>824</v>
      </c>
      <c r="S242" t="s">
        <v>731</v>
      </c>
      <c r="T242" t="s">
        <v>732</v>
      </c>
      <c r="U242" t="s">
        <v>515</v>
      </c>
      <c r="V242" t="s">
        <v>23</v>
      </c>
      <c r="W242" t="s">
        <v>39</v>
      </c>
      <c r="X242" t="s">
        <v>9</v>
      </c>
    </row>
    <row r="243" spans="1:24">
      <c r="A243" t="s">
        <v>1081</v>
      </c>
      <c r="B243" s="8">
        <v>45810</v>
      </c>
      <c r="C243" t="s">
        <v>514</v>
      </c>
      <c r="D243" t="s">
        <v>733</v>
      </c>
      <c r="E243">
        <v>2</v>
      </c>
      <c r="F243">
        <v>150000</v>
      </c>
      <c r="G243">
        <v>300000</v>
      </c>
      <c r="H243" t="s">
        <v>872</v>
      </c>
      <c r="I243">
        <v>0</v>
      </c>
      <c r="J243">
        <v>10000</v>
      </c>
      <c r="K243">
        <v>310000</v>
      </c>
      <c r="L243" t="s">
        <v>884</v>
      </c>
      <c r="M243" t="s">
        <v>903</v>
      </c>
      <c r="N243" t="s">
        <v>875</v>
      </c>
      <c r="O243" s="9">
        <v>45809</v>
      </c>
      <c r="P243" t="s">
        <v>877</v>
      </c>
      <c r="Q243">
        <v>300000</v>
      </c>
      <c r="R243" t="s">
        <v>734</v>
      </c>
      <c r="S243" t="s">
        <v>735</v>
      </c>
      <c r="T243" t="s">
        <v>736</v>
      </c>
      <c r="U243" t="s">
        <v>515</v>
      </c>
      <c r="V243" t="s">
        <v>23</v>
      </c>
      <c r="W243" t="s">
        <v>39</v>
      </c>
      <c r="X243" t="s">
        <v>9</v>
      </c>
    </row>
    <row r="244" spans="1:24">
      <c r="A244" t="s">
        <v>1091</v>
      </c>
      <c r="B244" s="8">
        <v>45813</v>
      </c>
      <c r="C244" t="s">
        <v>514</v>
      </c>
      <c r="D244" t="s">
        <v>787</v>
      </c>
      <c r="E244">
        <v>3</v>
      </c>
      <c r="F244">
        <v>200000</v>
      </c>
      <c r="G244">
        <v>600000</v>
      </c>
      <c r="H244" t="s">
        <v>872</v>
      </c>
      <c r="I244">
        <v>0</v>
      </c>
      <c r="J244">
        <v>15000</v>
      </c>
      <c r="K244">
        <v>615000</v>
      </c>
      <c r="L244" t="s">
        <v>884</v>
      </c>
      <c r="M244" t="s">
        <v>903</v>
      </c>
      <c r="N244" t="s">
        <v>890</v>
      </c>
      <c r="O244" s="9">
        <v>45809</v>
      </c>
      <c r="P244" t="s">
        <v>892</v>
      </c>
      <c r="Q244">
        <v>600000</v>
      </c>
      <c r="R244" t="s">
        <v>788</v>
      </c>
      <c r="S244" t="s">
        <v>731</v>
      </c>
      <c r="T244" t="s">
        <v>732</v>
      </c>
      <c r="U244" t="s">
        <v>515</v>
      </c>
      <c r="V244" t="s">
        <v>23</v>
      </c>
      <c r="W244" t="s">
        <v>39</v>
      </c>
      <c r="X244" t="s">
        <v>9</v>
      </c>
    </row>
    <row r="245" spans="1:24">
      <c r="A245" t="s">
        <v>1233</v>
      </c>
      <c r="B245" s="8">
        <v>45730</v>
      </c>
      <c r="C245" t="s">
        <v>514</v>
      </c>
      <c r="D245" t="s">
        <v>791</v>
      </c>
      <c r="E245">
        <v>1</v>
      </c>
      <c r="F245">
        <v>50000</v>
      </c>
      <c r="G245">
        <v>50000</v>
      </c>
      <c r="H245" t="s">
        <v>895</v>
      </c>
      <c r="I245">
        <v>7500</v>
      </c>
      <c r="J245">
        <v>10000</v>
      </c>
      <c r="K245">
        <v>52500</v>
      </c>
      <c r="L245" t="s">
        <v>873</v>
      </c>
      <c r="M245" t="s">
        <v>903</v>
      </c>
      <c r="N245" t="s">
        <v>875</v>
      </c>
      <c r="O245" s="9">
        <v>45717</v>
      </c>
      <c r="P245" t="s">
        <v>877</v>
      </c>
      <c r="Q245">
        <v>42500</v>
      </c>
      <c r="R245" t="s">
        <v>792</v>
      </c>
      <c r="S245" t="s">
        <v>739</v>
      </c>
      <c r="T245" t="s">
        <v>740</v>
      </c>
      <c r="U245" t="s">
        <v>515</v>
      </c>
      <c r="V245" t="s">
        <v>23</v>
      </c>
      <c r="W245" t="s">
        <v>39</v>
      </c>
      <c r="X245" t="s">
        <v>9</v>
      </c>
    </row>
    <row r="246" spans="1:24">
      <c r="A246" t="s">
        <v>1055</v>
      </c>
      <c r="B246" s="8">
        <v>45671</v>
      </c>
      <c r="C246" t="s">
        <v>260</v>
      </c>
      <c r="D246" t="s">
        <v>803</v>
      </c>
      <c r="E246">
        <v>2</v>
      </c>
      <c r="F246">
        <v>50000</v>
      </c>
      <c r="G246">
        <v>100000</v>
      </c>
      <c r="H246" t="s">
        <v>883</v>
      </c>
      <c r="I246">
        <v>10000</v>
      </c>
      <c r="J246">
        <v>20000</v>
      </c>
      <c r="K246">
        <v>110000</v>
      </c>
      <c r="L246" t="s">
        <v>884</v>
      </c>
      <c r="M246" t="s">
        <v>881</v>
      </c>
      <c r="N246" t="s">
        <v>875</v>
      </c>
      <c r="O246" s="9">
        <v>45658</v>
      </c>
      <c r="P246" t="s">
        <v>877</v>
      </c>
      <c r="Q246">
        <v>90000</v>
      </c>
      <c r="R246" t="s">
        <v>804</v>
      </c>
      <c r="S246" t="s">
        <v>739</v>
      </c>
      <c r="T246" t="s">
        <v>740</v>
      </c>
      <c r="U246" t="s">
        <v>261</v>
      </c>
      <c r="V246" t="s">
        <v>7</v>
      </c>
      <c r="W246" t="s">
        <v>51</v>
      </c>
      <c r="X246" t="s">
        <v>9</v>
      </c>
    </row>
    <row r="247" spans="1:24">
      <c r="A247" t="s">
        <v>1100</v>
      </c>
      <c r="B247" s="8">
        <v>45776</v>
      </c>
      <c r="C247" t="s">
        <v>260</v>
      </c>
      <c r="D247" t="s">
        <v>855</v>
      </c>
      <c r="E247">
        <v>1</v>
      </c>
      <c r="F247">
        <v>150000</v>
      </c>
      <c r="G247">
        <v>150000</v>
      </c>
      <c r="H247" t="s">
        <v>872</v>
      </c>
      <c r="I247">
        <v>0</v>
      </c>
      <c r="J247">
        <v>25000</v>
      </c>
      <c r="K247">
        <v>175000</v>
      </c>
      <c r="L247" t="s">
        <v>889</v>
      </c>
      <c r="M247" t="s">
        <v>903</v>
      </c>
      <c r="N247" t="s">
        <v>905</v>
      </c>
      <c r="O247" s="9">
        <v>45748</v>
      </c>
      <c r="P247" t="s">
        <v>892</v>
      </c>
      <c r="Q247">
        <v>150000</v>
      </c>
      <c r="R247" t="s">
        <v>856</v>
      </c>
      <c r="S247" t="s">
        <v>747</v>
      </c>
      <c r="T247" t="s">
        <v>748</v>
      </c>
      <c r="U247" t="s">
        <v>261</v>
      </c>
      <c r="V247" t="s">
        <v>7</v>
      </c>
      <c r="W247" t="s">
        <v>51</v>
      </c>
      <c r="X247" t="s">
        <v>9</v>
      </c>
    </row>
    <row r="248" spans="1:24">
      <c r="A248" t="s">
        <v>1019</v>
      </c>
      <c r="B248" s="8">
        <v>45762</v>
      </c>
      <c r="C248" t="s">
        <v>700</v>
      </c>
      <c r="D248" t="s">
        <v>729</v>
      </c>
      <c r="E248">
        <v>1</v>
      </c>
      <c r="F248">
        <v>100000</v>
      </c>
      <c r="G248">
        <v>100000</v>
      </c>
      <c r="H248" t="s">
        <v>872</v>
      </c>
      <c r="I248">
        <v>0</v>
      </c>
      <c r="J248">
        <v>15000</v>
      </c>
      <c r="K248">
        <v>115000</v>
      </c>
      <c r="L248" t="s">
        <v>884</v>
      </c>
      <c r="M248" t="s">
        <v>881</v>
      </c>
      <c r="N248" t="s">
        <v>875</v>
      </c>
      <c r="O248" s="9">
        <v>45748</v>
      </c>
      <c r="P248" t="s">
        <v>877</v>
      </c>
      <c r="Q248">
        <v>100000</v>
      </c>
      <c r="R248" t="s">
        <v>730</v>
      </c>
      <c r="S248" t="s">
        <v>731</v>
      </c>
      <c r="T248" t="s">
        <v>732</v>
      </c>
      <c r="U248" t="s">
        <v>701</v>
      </c>
      <c r="V248" t="s">
        <v>23</v>
      </c>
      <c r="W248" t="s">
        <v>12</v>
      </c>
      <c r="X248" t="s">
        <v>9</v>
      </c>
    </row>
    <row r="249" spans="1:24">
      <c r="A249" t="s">
        <v>1020</v>
      </c>
      <c r="B249" s="8">
        <v>45712</v>
      </c>
      <c r="C249" t="s">
        <v>542</v>
      </c>
      <c r="D249" t="s">
        <v>805</v>
      </c>
      <c r="E249">
        <v>3</v>
      </c>
      <c r="F249">
        <v>200000</v>
      </c>
      <c r="G249">
        <v>600000</v>
      </c>
      <c r="H249" t="s">
        <v>872</v>
      </c>
      <c r="I249">
        <v>0</v>
      </c>
      <c r="J249">
        <v>25000</v>
      </c>
      <c r="K249">
        <v>625000</v>
      </c>
      <c r="L249" t="s">
        <v>880</v>
      </c>
      <c r="M249" t="s">
        <v>901</v>
      </c>
      <c r="N249" t="s">
        <v>875</v>
      </c>
      <c r="O249" s="9">
        <v>45689</v>
      </c>
      <c r="P249" t="s">
        <v>877</v>
      </c>
      <c r="Q249">
        <v>600000</v>
      </c>
      <c r="R249" t="s">
        <v>806</v>
      </c>
      <c r="S249" t="s">
        <v>743</v>
      </c>
      <c r="T249" t="s">
        <v>744</v>
      </c>
      <c r="U249" t="s">
        <v>543</v>
      </c>
      <c r="V249" t="s">
        <v>7</v>
      </c>
      <c r="W249" t="s">
        <v>46</v>
      </c>
      <c r="X249" t="s">
        <v>9</v>
      </c>
    </row>
    <row r="250" spans="1:24">
      <c r="A250" t="s">
        <v>1130</v>
      </c>
      <c r="B250" s="8">
        <v>45707</v>
      </c>
      <c r="C250" t="s">
        <v>542</v>
      </c>
      <c r="D250" t="s">
        <v>853</v>
      </c>
      <c r="E250">
        <v>2</v>
      </c>
      <c r="F250">
        <v>75000</v>
      </c>
      <c r="G250">
        <v>150000</v>
      </c>
      <c r="H250" t="s">
        <v>883</v>
      </c>
      <c r="I250">
        <v>15000</v>
      </c>
      <c r="J250">
        <v>30000</v>
      </c>
      <c r="K250">
        <v>165000</v>
      </c>
      <c r="L250" t="s">
        <v>884</v>
      </c>
      <c r="M250" t="s">
        <v>901</v>
      </c>
      <c r="N250" t="s">
        <v>875</v>
      </c>
      <c r="O250" s="9">
        <v>45689</v>
      </c>
      <c r="P250" t="s">
        <v>877</v>
      </c>
      <c r="Q250">
        <v>135000</v>
      </c>
      <c r="R250" t="s">
        <v>854</v>
      </c>
      <c r="S250" t="s">
        <v>743</v>
      </c>
      <c r="T250" t="s">
        <v>744</v>
      </c>
      <c r="U250" t="s">
        <v>543</v>
      </c>
      <c r="V250" t="s">
        <v>7</v>
      </c>
      <c r="W250" t="s">
        <v>46</v>
      </c>
      <c r="X250" t="s">
        <v>9</v>
      </c>
    </row>
    <row r="251" spans="1:24">
      <c r="A251" t="s">
        <v>1094</v>
      </c>
      <c r="B251" s="8">
        <v>45805</v>
      </c>
      <c r="C251" t="s">
        <v>266</v>
      </c>
      <c r="D251" t="s">
        <v>725</v>
      </c>
      <c r="E251">
        <v>4</v>
      </c>
      <c r="F251">
        <v>300000</v>
      </c>
      <c r="G251">
        <v>1200000</v>
      </c>
      <c r="H251" t="s">
        <v>883</v>
      </c>
      <c r="I251">
        <v>120000</v>
      </c>
      <c r="J251">
        <v>30000</v>
      </c>
      <c r="K251">
        <v>1110000</v>
      </c>
      <c r="L251" t="s">
        <v>873</v>
      </c>
      <c r="M251" t="s">
        <v>874</v>
      </c>
      <c r="N251" t="s">
        <v>875</v>
      </c>
      <c r="O251" s="9">
        <v>45778</v>
      </c>
      <c r="P251" t="s">
        <v>877</v>
      </c>
      <c r="Q251">
        <v>1080000</v>
      </c>
      <c r="R251" t="s">
        <v>726</v>
      </c>
      <c r="S251" t="s">
        <v>727</v>
      </c>
      <c r="T251" t="s">
        <v>728</v>
      </c>
      <c r="U251" t="s">
        <v>267</v>
      </c>
      <c r="V251" t="s">
        <v>7</v>
      </c>
      <c r="W251" t="s">
        <v>137</v>
      </c>
      <c r="X251" t="s">
        <v>24</v>
      </c>
    </row>
    <row r="252" spans="1:24">
      <c r="A252" t="s">
        <v>1131</v>
      </c>
      <c r="B252" s="8">
        <v>45827</v>
      </c>
      <c r="C252" t="s">
        <v>266</v>
      </c>
      <c r="D252" t="s">
        <v>809</v>
      </c>
      <c r="E252">
        <v>1</v>
      </c>
      <c r="F252">
        <v>100000</v>
      </c>
      <c r="G252">
        <v>100000</v>
      </c>
      <c r="H252" t="s">
        <v>886</v>
      </c>
      <c r="I252">
        <v>10000</v>
      </c>
      <c r="J252">
        <v>30000</v>
      </c>
      <c r="K252">
        <v>120000</v>
      </c>
      <c r="L252" t="s">
        <v>873</v>
      </c>
      <c r="M252" t="s">
        <v>874</v>
      </c>
      <c r="N252" t="s">
        <v>911</v>
      </c>
      <c r="O252" s="9">
        <v>45809</v>
      </c>
      <c r="P252" t="s">
        <v>892</v>
      </c>
      <c r="Q252">
        <v>90000</v>
      </c>
      <c r="R252" t="s">
        <v>810</v>
      </c>
      <c r="S252" t="s">
        <v>727</v>
      </c>
      <c r="T252" t="s">
        <v>728</v>
      </c>
      <c r="U252" t="s">
        <v>267</v>
      </c>
      <c r="V252" t="s">
        <v>7</v>
      </c>
      <c r="W252" t="s">
        <v>137</v>
      </c>
      <c r="X252" t="s">
        <v>24</v>
      </c>
    </row>
    <row r="253" spans="1:24">
      <c r="A253" t="s">
        <v>1023</v>
      </c>
      <c r="B253" s="8">
        <v>45677</v>
      </c>
      <c r="C253" t="s">
        <v>530</v>
      </c>
      <c r="D253" t="s">
        <v>755</v>
      </c>
      <c r="E253">
        <v>1</v>
      </c>
      <c r="F253">
        <v>50000</v>
      </c>
      <c r="G253">
        <v>50000</v>
      </c>
      <c r="H253" t="s">
        <v>879</v>
      </c>
      <c r="I253">
        <v>10000</v>
      </c>
      <c r="J253">
        <v>10000</v>
      </c>
      <c r="K253">
        <v>50000</v>
      </c>
      <c r="L253" t="s">
        <v>884</v>
      </c>
      <c r="M253" t="s">
        <v>901</v>
      </c>
      <c r="N253" t="s">
        <v>875</v>
      </c>
      <c r="O253" s="9">
        <v>45658</v>
      </c>
      <c r="P253" t="s">
        <v>877</v>
      </c>
      <c r="Q253">
        <v>40000</v>
      </c>
      <c r="R253" t="s">
        <v>756</v>
      </c>
      <c r="S253" t="s">
        <v>739</v>
      </c>
      <c r="T253" t="s">
        <v>740</v>
      </c>
      <c r="U253" t="s">
        <v>531</v>
      </c>
      <c r="V253" t="s">
        <v>23</v>
      </c>
      <c r="W253" t="s">
        <v>8</v>
      </c>
      <c r="X253" t="s">
        <v>9</v>
      </c>
    </row>
    <row r="254" spans="1:24">
      <c r="A254" t="s">
        <v>1103</v>
      </c>
      <c r="B254" s="8">
        <v>45777</v>
      </c>
      <c r="C254" t="s">
        <v>272</v>
      </c>
      <c r="D254" t="s">
        <v>845</v>
      </c>
      <c r="E254">
        <v>2</v>
      </c>
      <c r="F254">
        <v>300000</v>
      </c>
      <c r="G254">
        <v>600000</v>
      </c>
      <c r="H254" t="s">
        <v>886</v>
      </c>
      <c r="I254">
        <v>60000</v>
      </c>
      <c r="J254">
        <v>15000</v>
      </c>
      <c r="K254">
        <v>555000</v>
      </c>
      <c r="L254" t="s">
        <v>884</v>
      </c>
      <c r="M254" t="s">
        <v>874</v>
      </c>
      <c r="N254" t="s">
        <v>905</v>
      </c>
      <c r="O254" s="9">
        <v>45748</v>
      </c>
      <c r="P254" t="s">
        <v>892</v>
      </c>
      <c r="Q254">
        <v>540000</v>
      </c>
      <c r="R254" t="s">
        <v>846</v>
      </c>
      <c r="S254" t="s">
        <v>727</v>
      </c>
      <c r="T254" t="s">
        <v>728</v>
      </c>
      <c r="U254" t="s">
        <v>273</v>
      </c>
      <c r="V254" t="s">
        <v>23</v>
      </c>
      <c r="W254" t="s">
        <v>51</v>
      </c>
      <c r="X254" t="s">
        <v>24</v>
      </c>
    </row>
    <row r="255" spans="1:24">
      <c r="A255" t="s">
        <v>1024</v>
      </c>
      <c r="B255" s="8">
        <v>45767</v>
      </c>
      <c r="C255" t="s">
        <v>690</v>
      </c>
      <c r="D255" t="s">
        <v>843</v>
      </c>
      <c r="E255">
        <v>3</v>
      </c>
      <c r="F255">
        <v>100000</v>
      </c>
      <c r="G255">
        <v>300000</v>
      </c>
      <c r="H255" t="s">
        <v>883</v>
      </c>
      <c r="I255">
        <v>30000</v>
      </c>
      <c r="J255">
        <v>30000</v>
      </c>
      <c r="K255">
        <v>300000</v>
      </c>
      <c r="L255" t="s">
        <v>884</v>
      </c>
      <c r="M255" t="s">
        <v>901</v>
      </c>
      <c r="N255" t="s">
        <v>875</v>
      </c>
      <c r="O255" s="9">
        <v>45748</v>
      </c>
      <c r="P255" t="s">
        <v>877</v>
      </c>
      <c r="Q255">
        <v>270000</v>
      </c>
      <c r="R255" t="s">
        <v>844</v>
      </c>
      <c r="S255" t="s">
        <v>747</v>
      </c>
      <c r="T255" t="s">
        <v>748</v>
      </c>
      <c r="U255" t="s">
        <v>691</v>
      </c>
      <c r="V255" t="s">
        <v>23</v>
      </c>
      <c r="W255" t="s">
        <v>46</v>
      </c>
      <c r="X255" t="s">
        <v>9</v>
      </c>
    </row>
    <row r="256" spans="1:24">
      <c r="A256" t="s">
        <v>1026</v>
      </c>
      <c r="B256" s="8">
        <v>45688</v>
      </c>
      <c r="C256" t="s">
        <v>686</v>
      </c>
      <c r="D256" t="s">
        <v>775</v>
      </c>
      <c r="E256">
        <v>1</v>
      </c>
      <c r="F256">
        <v>75000</v>
      </c>
      <c r="G256">
        <v>75000</v>
      </c>
      <c r="H256" t="s">
        <v>872</v>
      </c>
      <c r="I256">
        <v>0</v>
      </c>
      <c r="J256">
        <v>15000</v>
      </c>
      <c r="K256">
        <v>90000</v>
      </c>
      <c r="L256" t="s">
        <v>880</v>
      </c>
      <c r="N256" t="s">
        <v>875</v>
      </c>
      <c r="O256" s="9">
        <v>45658</v>
      </c>
      <c r="P256" t="s">
        <v>877</v>
      </c>
      <c r="Q256">
        <v>75000</v>
      </c>
      <c r="R256" t="s">
        <v>776</v>
      </c>
      <c r="S256" t="s">
        <v>731</v>
      </c>
      <c r="T256" t="s">
        <v>732</v>
      </c>
      <c r="U256" t="s">
        <v>687</v>
      </c>
      <c r="V256" t="s">
        <v>23</v>
      </c>
      <c r="W256" t="s">
        <v>29</v>
      </c>
      <c r="X256" t="s">
        <v>9</v>
      </c>
    </row>
    <row r="257" spans="1:24">
      <c r="A257" t="s">
        <v>1027</v>
      </c>
      <c r="B257" s="8">
        <v>45717</v>
      </c>
      <c r="C257" t="s">
        <v>320</v>
      </c>
      <c r="D257" t="s">
        <v>773</v>
      </c>
      <c r="E257">
        <v>4</v>
      </c>
      <c r="F257">
        <v>500000</v>
      </c>
      <c r="G257">
        <v>2000000</v>
      </c>
      <c r="H257" t="s">
        <v>872</v>
      </c>
      <c r="I257">
        <v>0</v>
      </c>
      <c r="J257">
        <v>20000</v>
      </c>
      <c r="K257">
        <v>2020000</v>
      </c>
      <c r="L257" t="s">
        <v>873</v>
      </c>
      <c r="M257" t="s">
        <v>903</v>
      </c>
      <c r="N257" t="s">
        <v>875</v>
      </c>
      <c r="O257" s="9">
        <v>45717</v>
      </c>
      <c r="P257" t="s">
        <v>877</v>
      </c>
      <c r="Q257">
        <v>2000000</v>
      </c>
      <c r="R257" t="s">
        <v>774</v>
      </c>
      <c r="S257" t="s">
        <v>727</v>
      </c>
      <c r="T257" t="s">
        <v>728</v>
      </c>
      <c r="U257" t="s">
        <v>321</v>
      </c>
      <c r="V257" t="s">
        <v>7</v>
      </c>
      <c r="W257" t="s">
        <v>56</v>
      </c>
      <c r="X257" t="s">
        <v>9</v>
      </c>
    </row>
    <row r="258" spans="1:24">
      <c r="A258" t="s">
        <v>1028</v>
      </c>
      <c r="B258" s="8">
        <v>45835</v>
      </c>
      <c r="C258" t="s">
        <v>524</v>
      </c>
      <c r="D258" t="s">
        <v>797</v>
      </c>
      <c r="E258">
        <v>4</v>
      </c>
      <c r="F258">
        <v>150000</v>
      </c>
      <c r="G258">
        <v>600000</v>
      </c>
      <c r="H258" t="s">
        <v>872</v>
      </c>
      <c r="I258">
        <v>0</v>
      </c>
      <c r="J258">
        <v>25000</v>
      </c>
      <c r="K258">
        <v>625000</v>
      </c>
      <c r="L258" t="s">
        <v>889</v>
      </c>
      <c r="M258" t="s">
        <v>881</v>
      </c>
      <c r="N258" t="s">
        <v>921</v>
      </c>
      <c r="O258" s="9">
        <v>45809</v>
      </c>
      <c r="P258" t="s">
        <v>892</v>
      </c>
      <c r="Q258">
        <v>600000</v>
      </c>
      <c r="R258" t="s">
        <v>798</v>
      </c>
      <c r="S258" t="s">
        <v>727</v>
      </c>
      <c r="T258" t="s">
        <v>728</v>
      </c>
      <c r="U258" t="s">
        <v>525</v>
      </c>
      <c r="V258" t="s">
        <v>23</v>
      </c>
      <c r="W258" t="s">
        <v>39</v>
      </c>
      <c r="X258" t="s">
        <v>9</v>
      </c>
    </row>
    <row r="259" spans="1:24">
      <c r="A259" t="s">
        <v>1029</v>
      </c>
      <c r="B259" s="8">
        <v>45772</v>
      </c>
      <c r="C259" t="s">
        <v>544</v>
      </c>
      <c r="D259" t="s">
        <v>767</v>
      </c>
      <c r="E259">
        <v>2</v>
      </c>
      <c r="F259">
        <v>150000</v>
      </c>
      <c r="G259">
        <v>300000</v>
      </c>
      <c r="H259" t="s">
        <v>883</v>
      </c>
      <c r="I259">
        <v>30000</v>
      </c>
      <c r="J259">
        <v>25000</v>
      </c>
      <c r="K259">
        <v>295000</v>
      </c>
      <c r="L259" t="s">
        <v>873</v>
      </c>
      <c r="M259" t="s">
        <v>874</v>
      </c>
      <c r="N259" t="s">
        <v>875</v>
      </c>
      <c r="O259" s="9">
        <v>45748</v>
      </c>
      <c r="P259" t="s">
        <v>877</v>
      </c>
      <c r="Q259">
        <v>270000</v>
      </c>
      <c r="R259" t="s">
        <v>768</v>
      </c>
      <c r="S259" t="s">
        <v>739</v>
      </c>
      <c r="T259" t="s">
        <v>740</v>
      </c>
      <c r="U259" t="s">
        <v>545</v>
      </c>
      <c r="V259" t="s">
        <v>23</v>
      </c>
      <c r="W259" t="s">
        <v>46</v>
      </c>
      <c r="X259" t="s">
        <v>15</v>
      </c>
    </row>
    <row r="260" spans="1:24">
      <c r="A260" t="s">
        <v>1030</v>
      </c>
      <c r="B260" s="8">
        <v>45709</v>
      </c>
      <c r="C260" t="s">
        <v>460</v>
      </c>
      <c r="D260" t="s">
        <v>839</v>
      </c>
      <c r="E260">
        <v>2</v>
      </c>
      <c r="F260">
        <v>200000</v>
      </c>
      <c r="G260">
        <v>400000</v>
      </c>
      <c r="H260" t="s">
        <v>895</v>
      </c>
      <c r="I260">
        <v>60000</v>
      </c>
      <c r="J260">
        <v>30000</v>
      </c>
      <c r="K260">
        <v>370000</v>
      </c>
      <c r="L260" t="s">
        <v>884</v>
      </c>
      <c r="M260" t="s">
        <v>881</v>
      </c>
      <c r="N260" t="s">
        <v>875</v>
      </c>
      <c r="O260" s="9">
        <v>45689</v>
      </c>
      <c r="P260" t="s">
        <v>877</v>
      </c>
      <c r="Q260">
        <v>340000</v>
      </c>
      <c r="R260" t="s">
        <v>840</v>
      </c>
      <c r="S260" t="s">
        <v>739</v>
      </c>
      <c r="T260" t="s">
        <v>740</v>
      </c>
      <c r="U260" t="s">
        <v>461</v>
      </c>
      <c r="V260" t="s">
        <v>23</v>
      </c>
      <c r="W260" t="s">
        <v>51</v>
      </c>
      <c r="X260" t="s">
        <v>9</v>
      </c>
    </row>
    <row r="261" spans="1:24">
      <c r="A261" t="s">
        <v>1153</v>
      </c>
      <c r="B261" s="8">
        <v>45775</v>
      </c>
      <c r="C261" t="s">
        <v>460</v>
      </c>
      <c r="D261" t="s">
        <v>813</v>
      </c>
      <c r="E261">
        <v>2</v>
      </c>
      <c r="F261">
        <v>35000</v>
      </c>
      <c r="G261">
        <v>70000</v>
      </c>
      <c r="H261" t="s">
        <v>879</v>
      </c>
      <c r="I261">
        <v>14000</v>
      </c>
      <c r="J261">
        <v>30000</v>
      </c>
      <c r="K261">
        <v>86000</v>
      </c>
      <c r="L261" t="s">
        <v>884</v>
      </c>
      <c r="M261" t="s">
        <v>903</v>
      </c>
      <c r="N261" t="s">
        <v>905</v>
      </c>
      <c r="O261" s="9">
        <v>45748</v>
      </c>
      <c r="P261" t="s">
        <v>892</v>
      </c>
      <c r="Q261">
        <v>56000</v>
      </c>
      <c r="R261" t="s">
        <v>814</v>
      </c>
      <c r="S261" t="s">
        <v>735</v>
      </c>
      <c r="T261" t="s">
        <v>736</v>
      </c>
      <c r="U261" t="s">
        <v>461</v>
      </c>
      <c r="V261" t="s">
        <v>23</v>
      </c>
      <c r="W261" t="s">
        <v>51</v>
      </c>
      <c r="X261" t="s">
        <v>9</v>
      </c>
    </row>
    <row r="262" spans="1:24">
      <c r="A262" t="s">
        <v>1173</v>
      </c>
      <c r="B262" s="8">
        <v>45819</v>
      </c>
      <c r="C262" t="s">
        <v>286</v>
      </c>
      <c r="D262" t="s">
        <v>749</v>
      </c>
      <c r="E262">
        <v>2</v>
      </c>
      <c r="F262">
        <v>150000</v>
      </c>
      <c r="G262">
        <v>300000</v>
      </c>
      <c r="H262" t="s">
        <v>872</v>
      </c>
      <c r="I262">
        <v>0</v>
      </c>
      <c r="J262">
        <v>25000</v>
      </c>
      <c r="K262">
        <v>325000</v>
      </c>
      <c r="L262" t="s">
        <v>873</v>
      </c>
      <c r="M262" t="s">
        <v>881</v>
      </c>
      <c r="N262" t="s">
        <v>875</v>
      </c>
      <c r="O262" s="9">
        <v>45809</v>
      </c>
      <c r="P262" t="s">
        <v>877</v>
      </c>
      <c r="Q262">
        <v>300000</v>
      </c>
      <c r="R262" t="s">
        <v>750</v>
      </c>
      <c r="S262" t="s">
        <v>727</v>
      </c>
      <c r="T262" t="s">
        <v>728</v>
      </c>
      <c r="U262" t="s">
        <v>287</v>
      </c>
      <c r="V262" t="s">
        <v>7</v>
      </c>
      <c r="W262" t="s">
        <v>46</v>
      </c>
      <c r="X262" t="s">
        <v>24</v>
      </c>
    </row>
    <row r="263" spans="1:24">
      <c r="A263" t="s">
        <v>1031</v>
      </c>
      <c r="B263" s="8">
        <v>45664</v>
      </c>
      <c r="C263" t="s">
        <v>328</v>
      </c>
      <c r="D263" t="s">
        <v>791</v>
      </c>
      <c r="E263">
        <v>3</v>
      </c>
      <c r="F263">
        <v>50000</v>
      </c>
      <c r="G263">
        <v>150000</v>
      </c>
      <c r="H263" t="s">
        <v>879</v>
      </c>
      <c r="I263">
        <v>30000</v>
      </c>
      <c r="J263">
        <v>15000</v>
      </c>
      <c r="K263">
        <v>135000</v>
      </c>
      <c r="L263" t="s">
        <v>873</v>
      </c>
      <c r="M263" t="s">
        <v>903</v>
      </c>
      <c r="N263" t="s">
        <v>905</v>
      </c>
      <c r="O263" s="9">
        <v>45658</v>
      </c>
      <c r="P263" t="s">
        <v>892</v>
      </c>
      <c r="Q263">
        <v>120000</v>
      </c>
      <c r="R263" t="s">
        <v>792</v>
      </c>
      <c r="S263" t="s">
        <v>739</v>
      </c>
      <c r="T263" t="s">
        <v>740</v>
      </c>
      <c r="U263" t="s">
        <v>329</v>
      </c>
      <c r="V263" t="s">
        <v>7</v>
      </c>
      <c r="W263" t="s">
        <v>46</v>
      </c>
      <c r="X263" t="s">
        <v>9</v>
      </c>
    </row>
    <row r="264" spans="1:24">
      <c r="A264" t="s">
        <v>1110</v>
      </c>
      <c r="B264" s="8">
        <v>45684</v>
      </c>
      <c r="C264" t="s">
        <v>290</v>
      </c>
      <c r="D264" t="s">
        <v>773</v>
      </c>
      <c r="E264">
        <v>2</v>
      </c>
      <c r="F264">
        <v>500000</v>
      </c>
      <c r="G264">
        <v>1000000</v>
      </c>
      <c r="H264" t="s">
        <v>886</v>
      </c>
      <c r="I264">
        <v>100000</v>
      </c>
      <c r="J264">
        <v>20000</v>
      </c>
      <c r="K264">
        <v>920000</v>
      </c>
      <c r="L264" t="s">
        <v>884</v>
      </c>
      <c r="M264" t="s">
        <v>901</v>
      </c>
      <c r="N264" t="s">
        <v>875</v>
      </c>
      <c r="O264" s="9">
        <v>45658</v>
      </c>
      <c r="P264" t="s">
        <v>877</v>
      </c>
      <c r="Q264">
        <v>900000</v>
      </c>
      <c r="R264" t="s">
        <v>774</v>
      </c>
      <c r="S264" t="s">
        <v>727</v>
      </c>
      <c r="T264" t="s">
        <v>728</v>
      </c>
      <c r="U264" t="s">
        <v>291</v>
      </c>
      <c r="V264" t="s">
        <v>23</v>
      </c>
      <c r="W264" t="s">
        <v>12</v>
      </c>
      <c r="X264" t="s">
        <v>9</v>
      </c>
    </row>
    <row r="265" spans="1:24">
      <c r="A265" t="s">
        <v>1034</v>
      </c>
      <c r="B265" s="8">
        <v>45796</v>
      </c>
      <c r="C265" t="s">
        <v>400</v>
      </c>
      <c r="D265" t="s">
        <v>777</v>
      </c>
      <c r="E265">
        <v>2</v>
      </c>
      <c r="F265">
        <v>200000</v>
      </c>
      <c r="G265">
        <v>400000</v>
      </c>
      <c r="H265" t="s">
        <v>872</v>
      </c>
      <c r="I265">
        <v>0</v>
      </c>
      <c r="J265">
        <v>25000</v>
      </c>
      <c r="K265">
        <v>425000</v>
      </c>
      <c r="L265" t="s">
        <v>889</v>
      </c>
      <c r="M265" t="s">
        <v>903</v>
      </c>
      <c r="N265" t="s">
        <v>875</v>
      </c>
      <c r="O265" s="9">
        <v>45778</v>
      </c>
      <c r="P265" t="s">
        <v>877</v>
      </c>
      <c r="Q265">
        <v>400000</v>
      </c>
      <c r="R265" t="s">
        <v>778</v>
      </c>
      <c r="S265" t="s">
        <v>735</v>
      </c>
      <c r="T265" t="s">
        <v>736</v>
      </c>
      <c r="U265" t="s">
        <v>401</v>
      </c>
      <c r="V265" t="s">
        <v>23</v>
      </c>
      <c r="W265" t="s">
        <v>20</v>
      </c>
      <c r="X265" t="s">
        <v>9</v>
      </c>
    </row>
    <row r="266" spans="1:24">
      <c r="A266" t="s">
        <v>1064</v>
      </c>
      <c r="B266" s="8">
        <v>45718</v>
      </c>
      <c r="C266" t="s">
        <v>294</v>
      </c>
      <c r="D266" t="s">
        <v>835</v>
      </c>
      <c r="E266">
        <v>1</v>
      </c>
      <c r="F266">
        <v>200000</v>
      </c>
      <c r="G266">
        <v>200000</v>
      </c>
      <c r="H266" t="s">
        <v>886</v>
      </c>
      <c r="I266">
        <v>20000</v>
      </c>
      <c r="J266">
        <v>10000</v>
      </c>
      <c r="K266">
        <v>190000</v>
      </c>
      <c r="L266" t="s">
        <v>889</v>
      </c>
      <c r="M266" t="s">
        <v>903</v>
      </c>
      <c r="N266" t="s">
        <v>875</v>
      </c>
      <c r="O266" s="9">
        <v>45717</v>
      </c>
      <c r="P266" t="s">
        <v>877</v>
      </c>
      <c r="Q266">
        <v>180000</v>
      </c>
      <c r="R266" t="s">
        <v>836</v>
      </c>
      <c r="S266" t="s">
        <v>731</v>
      </c>
      <c r="T266" t="s">
        <v>732</v>
      </c>
      <c r="U266" t="s">
        <v>295</v>
      </c>
      <c r="V266" t="s">
        <v>23</v>
      </c>
      <c r="W266" t="s">
        <v>39</v>
      </c>
      <c r="X266" t="s">
        <v>9</v>
      </c>
    </row>
    <row r="267" spans="1:24">
      <c r="A267" t="s">
        <v>1170</v>
      </c>
      <c r="B267" s="8">
        <v>45757</v>
      </c>
      <c r="C267" t="s">
        <v>294</v>
      </c>
      <c r="D267" t="s">
        <v>805</v>
      </c>
      <c r="E267">
        <v>1</v>
      </c>
      <c r="F267">
        <v>200000</v>
      </c>
      <c r="G267">
        <v>200000</v>
      </c>
      <c r="H267" t="s">
        <v>886</v>
      </c>
      <c r="I267">
        <v>20000</v>
      </c>
      <c r="J267">
        <v>30000</v>
      </c>
      <c r="K267">
        <v>210000</v>
      </c>
      <c r="L267" t="s">
        <v>884</v>
      </c>
      <c r="M267" t="s">
        <v>874</v>
      </c>
      <c r="N267" t="s">
        <v>890</v>
      </c>
      <c r="O267" s="9">
        <v>45748</v>
      </c>
      <c r="P267" t="s">
        <v>892</v>
      </c>
      <c r="Q267">
        <v>180000</v>
      </c>
      <c r="R267" t="s">
        <v>806</v>
      </c>
      <c r="S267" t="s">
        <v>743</v>
      </c>
      <c r="T267" t="s">
        <v>744</v>
      </c>
      <c r="U267" t="s">
        <v>295</v>
      </c>
      <c r="V267" t="s">
        <v>23</v>
      </c>
      <c r="W267" t="s">
        <v>39</v>
      </c>
      <c r="X267" t="s">
        <v>9</v>
      </c>
    </row>
    <row r="268" spans="1:24">
      <c r="A268" t="s">
        <v>1203</v>
      </c>
      <c r="B268" s="8">
        <v>45714</v>
      </c>
      <c r="C268" t="s">
        <v>294</v>
      </c>
      <c r="D268" t="s">
        <v>815</v>
      </c>
      <c r="E268">
        <v>4</v>
      </c>
      <c r="F268">
        <v>75000</v>
      </c>
      <c r="G268">
        <v>300000</v>
      </c>
      <c r="H268" t="s">
        <v>872</v>
      </c>
      <c r="I268">
        <v>0</v>
      </c>
      <c r="J268">
        <v>20000</v>
      </c>
      <c r="K268">
        <v>320000</v>
      </c>
      <c r="L268" t="s">
        <v>889</v>
      </c>
      <c r="M268" t="s">
        <v>874</v>
      </c>
      <c r="N268" t="s">
        <v>875</v>
      </c>
      <c r="O268" s="9">
        <v>45689</v>
      </c>
      <c r="P268" t="s">
        <v>877</v>
      </c>
      <c r="Q268">
        <v>300000</v>
      </c>
      <c r="R268" t="s">
        <v>816</v>
      </c>
      <c r="S268" t="s">
        <v>739</v>
      </c>
      <c r="T268" t="s">
        <v>740</v>
      </c>
      <c r="U268" t="s">
        <v>295</v>
      </c>
      <c r="V268" t="s">
        <v>23</v>
      </c>
      <c r="W268" t="s">
        <v>39</v>
      </c>
      <c r="X268" t="s">
        <v>9</v>
      </c>
    </row>
    <row r="269" spans="1:24">
      <c r="A269" t="s">
        <v>1035</v>
      </c>
      <c r="B269" s="8">
        <v>45769</v>
      </c>
      <c r="C269" t="s">
        <v>522</v>
      </c>
      <c r="D269" t="s">
        <v>771</v>
      </c>
      <c r="E269">
        <v>1</v>
      </c>
      <c r="F269">
        <v>500000</v>
      </c>
      <c r="G269">
        <v>500000</v>
      </c>
      <c r="I269">
        <v>0</v>
      </c>
      <c r="J269">
        <v>15000</v>
      </c>
      <c r="K269">
        <v>515000</v>
      </c>
      <c r="L269" t="s">
        <v>884</v>
      </c>
      <c r="M269" t="s">
        <v>903</v>
      </c>
      <c r="N269" t="s">
        <v>875</v>
      </c>
      <c r="O269" s="9">
        <v>45748</v>
      </c>
      <c r="P269" t="s">
        <v>877</v>
      </c>
      <c r="Q269">
        <v>500000</v>
      </c>
      <c r="R269" t="s">
        <v>772</v>
      </c>
      <c r="S269" t="s">
        <v>747</v>
      </c>
      <c r="T269" t="s">
        <v>748</v>
      </c>
      <c r="U269" t="s">
        <v>523</v>
      </c>
      <c r="V269" t="s">
        <v>7</v>
      </c>
      <c r="W269" t="s">
        <v>8</v>
      </c>
      <c r="X269" t="s">
        <v>24</v>
      </c>
    </row>
    <row r="270" spans="1:24">
      <c r="A270" t="s">
        <v>1240</v>
      </c>
      <c r="B270" s="8">
        <v>45771</v>
      </c>
      <c r="C270" t="s">
        <v>522</v>
      </c>
      <c r="D270" t="s">
        <v>821</v>
      </c>
      <c r="E270">
        <v>2</v>
      </c>
      <c r="F270">
        <v>50000</v>
      </c>
      <c r="G270">
        <v>100000</v>
      </c>
      <c r="H270" t="s">
        <v>872</v>
      </c>
      <c r="I270">
        <v>0</v>
      </c>
      <c r="J270">
        <v>20000</v>
      </c>
      <c r="K270">
        <v>120000</v>
      </c>
      <c r="L270" t="s">
        <v>884</v>
      </c>
      <c r="M270" t="s">
        <v>881</v>
      </c>
      <c r="N270" t="s">
        <v>890</v>
      </c>
      <c r="O270" s="9">
        <v>45748</v>
      </c>
      <c r="P270" t="s">
        <v>892</v>
      </c>
      <c r="Q270">
        <v>100000</v>
      </c>
      <c r="R270" t="s">
        <v>822</v>
      </c>
      <c r="S270" t="s">
        <v>727</v>
      </c>
      <c r="T270" t="s">
        <v>728</v>
      </c>
      <c r="U270" t="s">
        <v>523</v>
      </c>
      <c r="V270" t="s">
        <v>7</v>
      </c>
      <c r="W270" t="s">
        <v>8</v>
      </c>
      <c r="X270" t="s">
        <v>24</v>
      </c>
    </row>
    <row r="271" spans="1:24">
      <c r="A271" t="s">
        <v>1038</v>
      </c>
      <c r="B271" s="8">
        <v>45665</v>
      </c>
      <c r="C271" t="s">
        <v>446</v>
      </c>
      <c r="D271" t="s">
        <v>751</v>
      </c>
      <c r="E271">
        <v>1</v>
      </c>
      <c r="F271">
        <v>150000</v>
      </c>
      <c r="G271">
        <v>150000</v>
      </c>
      <c r="H271" t="s">
        <v>883</v>
      </c>
      <c r="I271">
        <v>15000</v>
      </c>
      <c r="J271">
        <v>30000</v>
      </c>
      <c r="K271">
        <v>165000</v>
      </c>
      <c r="L271" t="s">
        <v>889</v>
      </c>
      <c r="M271" t="s">
        <v>874</v>
      </c>
      <c r="N271" t="s">
        <v>875</v>
      </c>
      <c r="O271" s="9">
        <v>45658</v>
      </c>
      <c r="P271" t="s">
        <v>877</v>
      </c>
      <c r="Q271">
        <v>135000</v>
      </c>
      <c r="R271" t="s">
        <v>752</v>
      </c>
      <c r="S271" t="s">
        <v>731</v>
      </c>
      <c r="T271" t="s">
        <v>732</v>
      </c>
      <c r="U271" t="s">
        <v>447</v>
      </c>
      <c r="V271" t="s">
        <v>23</v>
      </c>
      <c r="W271" t="s">
        <v>8</v>
      </c>
      <c r="X271" t="s">
        <v>9</v>
      </c>
    </row>
    <row r="272" spans="1:24">
      <c r="A272" t="s">
        <v>1241</v>
      </c>
      <c r="B272" s="8">
        <v>45661</v>
      </c>
      <c r="C272" t="s">
        <v>446</v>
      </c>
      <c r="D272" t="s">
        <v>749</v>
      </c>
      <c r="E272">
        <v>2</v>
      </c>
      <c r="F272">
        <v>150000</v>
      </c>
      <c r="G272">
        <v>300000</v>
      </c>
      <c r="H272" t="s">
        <v>872</v>
      </c>
      <c r="I272">
        <v>0</v>
      </c>
      <c r="J272">
        <v>20000</v>
      </c>
      <c r="K272">
        <v>320000</v>
      </c>
      <c r="L272" t="s">
        <v>889</v>
      </c>
      <c r="M272" t="s">
        <v>874</v>
      </c>
      <c r="N272" t="s">
        <v>875</v>
      </c>
      <c r="O272" s="9">
        <v>45658</v>
      </c>
      <c r="P272" t="s">
        <v>877</v>
      </c>
      <c r="Q272">
        <v>300000</v>
      </c>
      <c r="R272" t="s">
        <v>750</v>
      </c>
      <c r="S272" t="s">
        <v>727</v>
      </c>
      <c r="T272" t="s">
        <v>728</v>
      </c>
      <c r="U272" t="s">
        <v>447</v>
      </c>
      <c r="V272" t="s">
        <v>23</v>
      </c>
      <c r="W272" t="s">
        <v>8</v>
      </c>
      <c r="X272" t="s">
        <v>9</v>
      </c>
    </row>
    <row r="273" spans="1:24">
      <c r="A273" t="s">
        <v>1072</v>
      </c>
      <c r="B273" s="8">
        <v>45805</v>
      </c>
      <c r="C273" t="s">
        <v>304</v>
      </c>
      <c r="D273" t="s">
        <v>831</v>
      </c>
      <c r="E273">
        <v>4</v>
      </c>
      <c r="F273">
        <v>300000</v>
      </c>
      <c r="G273">
        <v>1200000</v>
      </c>
      <c r="H273" t="s">
        <v>872</v>
      </c>
      <c r="I273">
        <v>0</v>
      </c>
      <c r="J273">
        <v>10000</v>
      </c>
      <c r="K273">
        <v>1210000</v>
      </c>
      <c r="L273" t="s">
        <v>880</v>
      </c>
      <c r="M273" t="s">
        <v>874</v>
      </c>
      <c r="N273" t="s">
        <v>875</v>
      </c>
      <c r="O273" s="9">
        <v>45778</v>
      </c>
      <c r="P273" t="s">
        <v>877</v>
      </c>
      <c r="Q273">
        <v>1200000</v>
      </c>
      <c r="R273" t="s">
        <v>832</v>
      </c>
      <c r="S273" t="s">
        <v>747</v>
      </c>
      <c r="T273" t="s">
        <v>748</v>
      </c>
      <c r="U273" t="s">
        <v>305</v>
      </c>
      <c r="V273" t="s">
        <v>7</v>
      </c>
      <c r="W273" t="s">
        <v>29</v>
      </c>
      <c r="X273" t="s">
        <v>9</v>
      </c>
    </row>
    <row r="274" spans="1:24">
      <c r="A274" t="s">
        <v>1041</v>
      </c>
      <c r="B274" s="8">
        <v>45800</v>
      </c>
      <c r="C274" t="s">
        <v>440</v>
      </c>
      <c r="D274" t="s">
        <v>749</v>
      </c>
      <c r="E274">
        <v>1</v>
      </c>
      <c r="F274">
        <v>150000</v>
      </c>
      <c r="G274">
        <v>150000</v>
      </c>
      <c r="H274" t="s">
        <v>886</v>
      </c>
      <c r="I274">
        <v>15000</v>
      </c>
      <c r="J274">
        <v>15000</v>
      </c>
      <c r="K274">
        <v>150000</v>
      </c>
      <c r="L274" t="s">
        <v>889</v>
      </c>
      <c r="M274" t="s">
        <v>901</v>
      </c>
      <c r="N274" t="s">
        <v>875</v>
      </c>
      <c r="O274" s="9">
        <v>45778</v>
      </c>
      <c r="P274" t="s">
        <v>877</v>
      </c>
      <c r="Q274">
        <v>135000</v>
      </c>
      <c r="R274" t="s">
        <v>750</v>
      </c>
      <c r="S274" t="s">
        <v>727</v>
      </c>
      <c r="T274" t="s">
        <v>728</v>
      </c>
      <c r="U274" t="s">
        <v>441</v>
      </c>
      <c r="V274" t="s">
        <v>23</v>
      </c>
      <c r="W274" t="s">
        <v>137</v>
      </c>
      <c r="X274" t="s">
        <v>9</v>
      </c>
    </row>
    <row r="275" spans="1:24">
      <c r="A275" t="s">
        <v>1060</v>
      </c>
      <c r="B275" s="8">
        <v>45720</v>
      </c>
      <c r="C275" t="s">
        <v>440</v>
      </c>
      <c r="D275" t="s">
        <v>779</v>
      </c>
      <c r="E275">
        <v>2</v>
      </c>
      <c r="F275">
        <v>150000</v>
      </c>
      <c r="G275">
        <v>300000</v>
      </c>
      <c r="H275" t="s">
        <v>895</v>
      </c>
      <c r="I275">
        <v>45000</v>
      </c>
      <c r="J275">
        <v>20000</v>
      </c>
      <c r="K275">
        <v>275000</v>
      </c>
      <c r="L275" t="s">
        <v>880</v>
      </c>
      <c r="M275" t="s">
        <v>901</v>
      </c>
      <c r="N275" t="s">
        <v>890</v>
      </c>
      <c r="O275" s="9">
        <v>45717</v>
      </c>
      <c r="P275" t="s">
        <v>892</v>
      </c>
      <c r="Q275">
        <v>255000</v>
      </c>
      <c r="R275" t="s">
        <v>780</v>
      </c>
      <c r="S275" t="s">
        <v>739</v>
      </c>
      <c r="T275" t="s">
        <v>740</v>
      </c>
      <c r="U275" t="s">
        <v>441</v>
      </c>
      <c r="V275" t="s">
        <v>23</v>
      </c>
      <c r="W275" t="s">
        <v>137</v>
      </c>
      <c r="X275" t="s">
        <v>9</v>
      </c>
    </row>
    <row r="276" spans="1:24">
      <c r="A276" t="s">
        <v>1123</v>
      </c>
      <c r="B276" s="8">
        <v>45764</v>
      </c>
      <c r="C276" t="s">
        <v>310</v>
      </c>
      <c r="D276" t="s">
        <v>807</v>
      </c>
      <c r="E276">
        <v>1</v>
      </c>
      <c r="F276">
        <v>150000</v>
      </c>
      <c r="G276">
        <v>150000</v>
      </c>
      <c r="H276" t="s">
        <v>895</v>
      </c>
      <c r="I276">
        <v>22500</v>
      </c>
      <c r="J276">
        <v>25000</v>
      </c>
      <c r="K276">
        <v>152500</v>
      </c>
      <c r="L276" t="s">
        <v>884</v>
      </c>
      <c r="M276" t="s">
        <v>903</v>
      </c>
      <c r="N276" t="s">
        <v>875</v>
      </c>
      <c r="O276" s="9">
        <v>45748</v>
      </c>
      <c r="P276" t="s">
        <v>877</v>
      </c>
      <c r="Q276">
        <v>127500</v>
      </c>
      <c r="R276" t="s">
        <v>808</v>
      </c>
      <c r="S276" t="s">
        <v>747</v>
      </c>
      <c r="T276" t="s">
        <v>748</v>
      </c>
      <c r="U276" t="s">
        <v>311</v>
      </c>
      <c r="V276" t="s">
        <v>7</v>
      </c>
      <c r="W276" t="s">
        <v>46</v>
      </c>
      <c r="X276" t="s">
        <v>15</v>
      </c>
    </row>
    <row r="277" spans="1:24">
      <c r="A277" t="s">
        <v>1199</v>
      </c>
      <c r="B277" s="8">
        <v>45769</v>
      </c>
      <c r="C277" t="s">
        <v>312</v>
      </c>
      <c r="D277" t="s">
        <v>831</v>
      </c>
      <c r="E277">
        <v>4</v>
      </c>
      <c r="F277">
        <v>300000</v>
      </c>
      <c r="G277">
        <v>1200000</v>
      </c>
      <c r="H277" t="s">
        <v>872</v>
      </c>
      <c r="I277">
        <v>0</v>
      </c>
      <c r="J277">
        <v>20000</v>
      </c>
      <c r="K277">
        <v>1220000</v>
      </c>
      <c r="L277" t="s">
        <v>873</v>
      </c>
      <c r="M277" t="s">
        <v>881</v>
      </c>
      <c r="N277" t="s">
        <v>875</v>
      </c>
      <c r="O277" s="9">
        <v>45748</v>
      </c>
      <c r="P277" t="s">
        <v>877</v>
      </c>
      <c r="Q277">
        <v>1200000</v>
      </c>
      <c r="R277" t="s">
        <v>832</v>
      </c>
      <c r="S277" t="s">
        <v>747</v>
      </c>
      <c r="T277" t="s">
        <v>748</v>
      </c>
      <c r="U277" t="s">
        <v>313</v>
      </c>
      <c r="V277" t="s">
        <v>23</v>
      </c>
      <c r="W277" t="s">
        <v>39</v>
      </c>
      <c r="X277" t="s">
        <v>9</v>
      </c>
    </row>
    <row r="278" spans="1:24">
      <c r="A278" t="s">
        <v>1044</v>
      </c>
      <c r="B278" s="8">
        <v>45667</v>
      </c>
      <c r="C278" t="s">
        <v>316</v>
      </c>
      <c r="D278" t="s">
        <v>807</v>
      </c>
      <c r="E278">
        <v>2</v>
      </c>
      <c r="F278">
        <v>150000</v>
      </c>
      <c r="G278">
        <v>300000</v>
      </c>
      <c r="H278" t="s">
        <v>886</v>
      </c>
      <c r="I278">
        <v>30000</v>
      </c>
      <c r="J278">
        <v>25000</v>
      </c>
      <c r="K278">
        <v>295000</v>
      </c>
      <c r="L278" t="s">
        <v>889</v>
      </c>
      <c r="M278" t="s">
        <v>901</v>
      </c>
      <c r="N278" t="s">
        <v>875</v>
      </c>
      <c r="O278" s="9">
        <v>45658</v>
      </c>
      <c r="P278" t="s">
        <v>877</v>
      </c>
      <c r="Q278">
        <v>270000</v>
      </c>
      <c r="R278" t="s">
        <v>808</v>
      </c>
      <c r="S278" t="s">
        <v>747</v>
      </c>
      <c r="T278" t="s">
        <v>748</v>
      </c>
      <c r="U278" t="s">
        <v>317</v>
      </c>
      <c r="V278" t="s">
        <v>23</v>
      </c>
      <c r="W278" t="s">
        <v>46</v>
      </c>
      <c r="X278" t="s">
        <v>9</v>
      </c>
    </row>
    <row r="279" spans="1:24">
      <c r="A279" t="s">
        <v>1226</v>
      </c>
      <c r="B279" s="8">
        <v>45698</v>
      </c>
      <c r="C279" t="s">
        <v>314</v>
      </c>
      <c r="D279" t="s">
        <v>823</v>
      </c>
      <c r="E279">
        <v>1</v>
      </c>
      <c r="F279">
        <v>500000</v>
      </c>
      <c r="G279">
        <v>500000</v>
      </c>
      <c r="H279" t="s">
        <v>886</v>
      </c>
      <c r="I279">
        <v>50000</v>
      </c>
      <c r="J279">
        <v>20000</v>
      </c>
      <c r="K279">
        <v>470000</v>
      </c>
      <c r="L279" t="s">
        <v>873</v>
      </c>
      <c r="M279" t="s">
        <v>903</v>
      </c>
      <c r="N279" t="s">
        <v>875</v>
      </c>
      <c r="O279" s="9">
        <v>45689</v>
      </c>
      <c r="P279" t="s">
        <v>877</v>
      </c>
      <c r="Q279">
        <v>450000</v>
      </c>
      <c r="R279" t="s">
        <v>824</v>
      </c>
      <c r="S279" t="s">
        <v>731</v>
      </c>
      <c r="T279" t="s">
        <v>732</v>
      </c>
      <c r="U279" t="s">
        <v>315</v>
      </c>
      <c r="V279" t="s">
        <v>23</v>
      </c>
      <c r="W279" t="s">
        <v>56</v>
      </c>
      <c r="X279" t="s">
        <v>9</v>
      </c>
    </row>
    <row r="280" spans="1:24">
      <c r="A280" t="s">
        <v>1046</v>
      </c>
      <c r="B280" s="8">
        <v>45771</v>
      </c>
      <c r="C280" t="s">
        <v>574</v>
      </c>
      <c r="D280" t="s">
        <v>839</v>
      </c>
      <c r="E280">
        <v>3</v>
      </c>
      <c r="F280">
        <v>200000</v>
      </c>
      <c r="G280">
        <v>600000</v>
      </c>
      <c r="H280" t="s">
        <v>883</v>
      </c>
      <c r="I280">
        <v>60000</v>
      </c>
      <c r="J280">
        <v>30000</v>
      </c>
      <c r="K280">
        <v>570000</v>
      </c>
      <c r="L280" t="s">
        <v>873</v>
      </c>
      <c r="M280" t="s">
        <v>881</v>
      </c>
      <c r="N280" t="s">
        <v>911</v>
      </c>
      <c r="O280" s="9">
        <v>45748</v>
      </c>
      <c r="P280" t="s">
        <v>892</v>
      </c>
      <c r="Q280">
        <v>540000</v>
      </c>
      <c r="R280" t="s">
        <v>840</v>
      </c>
      <c r="S280" t="s">
        <v>739</v>
      </c>
      <c r="T280" t="s">
        <v>740</v>
      </c>
      <c r="U280" t="s">
        <v>575</v>
      </c>
      <c r="V280" t="s">
        <v>7</v>
      </c>
      <c r="W280" t="s">
        <v>46</v>
      </c>
      <c r="X280" t="s">
        <v>24</v>
      </c>
    </row>
    <row r="281" spans="1:24">
      <c r="A281" t="s">
        <v>1247</v>
      </c>
      <c r="B281" s="8">
        <v>45696</v>
      </c>
      <c r="C281" t="s">
        <v>318</v>
      </c>
      <c r="D281" t="s">
        <v>817</v>
      </c>
      <c r="E281">
        <v>3</v>
      </c>
      <c r="F281">
        <v>75000</v>
      </c>
      <c r="G281">
        <v>225000</v>
      </c>
      <c r="H281" t="s">
        <v>883</v>
      </c>
      <c r="I281">
        <v>22500</v>
      </c>
      <c r="J281">
        <v>20000</v>
      </c>
      <c r="K281">
        <v>222500</v>
      </c>
      <c r="L281" t="s">
        <v>880</v>
      </c>
      <c r="M281" t="s">
        <v>874</v>
      </c>
      <c r="N281" t="s">
        <v>890</v>
      </c>
      <c r="O281" s="9">
        <v>45689</v>
      </c>
      <c r="P281" t="s">
        <v>892</v>
      </c>
      <c r="Q281">
        <v>202500</v>
      </c>
      <c r="R281" t="s">
        <v>818</v>
      </c>
      <c r="S281" t="s">
        <v>743</v>
      </c>
      <c r="T281" t="s">
        <v>744</v>
      </c>
      <c r="U281" t="s">
        <v>319</v>
      </c>
      <c r="V281" t="s">
        <v>7</v>
      </c>
      <c r="W281" t="s">
        <v>29</v>
      </c>
      <c r="X281" t="s">
        <v>9</v>
      </c>
    </row>
    <row r="282" spans="1:24">
      <c r="A282" t="s">
        <v>1146</v>
      </c>
      <c r="B282" s="8">
        <v>45826</v>
      </c>
      <c r="C282" t="s">
        <v>322</v>
      </c>
      <c r="D282" t="s">
        <v>805</v>
      </c>
      <c r="E282">
        <v>3</v>
      </c>
      <c r="F282">
        <v>200000</v>
      </c>
      <c r="G282">
        <v>600000</v>
      </c>
      <c r="H282" t="s">
        <v>872</v>
      </c>
      <c r="I282">
        <v>0</v>
      </c>
      <c r="J282">
        <v>15000</v>
      </c>
      <c r="K282">
        <v>615000</v>
      </c>
      <c r="L282" t="s">
        <v>889</v>
      </c>
      <c r="M282" t="s">
        <v>881</v>
      </c>
      <c r="N282" t="s">
        <v>921</v>
      </c>
      <c r="O282" s="9">
        <v>45809</v>
      </c>
      <c r="P282" t="s">
        <v>892</v>
      </c>
      <c r="Q282">
        <v>600000</v>
      </c>
      <c r="R282" t="s">
        <v>806</v>
      </c>
      <c r="S282" t="s">
        <v>743</v>
      </c>
      <c r="T282" t="s">
        <v>744</v>
      </c>
      <c r="U282" t="s">
        <v>323</v>
      </c>
      <c r="V282" t="s">
        <v>7</v>
      </c>
      <c r="W282" t="s">
        <v>8</v>
      </c>
      <c r="X282" t="s">
        <v>9</v>
      </c>
    </row>
    <row r="283" spans="1:24">
      <c r="A283" t="s">
        <v>1051</v>
      </c>
      <c r="B283" s="8">
        <v>45754</v>
      </c>
      <c r="C283" t="s">
        <v>386</v>
      </c>
      <c r="D283" t="s">
        <v>733</v>
      </c>
      <c r="E283">
        <v>4</v>
      </c>
      <c r="F283">
        <v>150000</v>
      </c>
      <c r="G283">
        <v>600000</v>
      </c>
      <c r="H283" t="s">
        <v>883</v>
      </c>
      <c r="I283">
        <v>60000</v>
      </c>
      <c r="J283">
        <v>10000</v>
      </c>
      <c r="K283">
        <v>550000</v>
      </c>
      <c r="L283" t="s">
        <v>889</v>
      </c>
      <c r="M283" t="s">
        <v>903</v>
      </c>
      <c r="N283" t="s">
        <v>875</v>
      </c>
      <c r="O283" s="9">
        <v>45748</v>
      </c>
      <c r="P283" t="s">
        <v>877</v>
      </c>
      <c r="Q283">
        <v>540000</v>
      </c>
      <c r="R283" t="s">
        <v>734</v>
      </c>
      <c r="S283" t="s">
        <v>735</v>
      </c>
      <c r="T283" t="s">
        <v>736</v>
      </c>
      <c r="U283" t="s">
        <v>387</v>
      </c>
      <c r="V283" t="s">
        <v>7</v>
      </c>
      <c r="W283" t="s">
        <v>36</v>
      </c>
      <c r="X283" t="s">
        <v>9</v>
      </c>
    </row>
    <row r="284" spans="1:24">
      <c r="A284" t="s">
        <v>1139</v>
      </c>
      <c r="B284" s="8">
        <v>45662</v>
      </c>
      <c r="C284" t="s">
        <v>386</v>
      </c>
      <c r="D284" t="s">
        <v>775</v>
      </c>
      <c r="E284">
        <v>1</v>
      </c>
      <c r="F284">
        <v>75000</v>
      </c>
      <c r="G284">
        <v>75000</v>
      </c>
      <c r="H284" t="s">
        <v>879</v>
      </c>
      <c r="I284">
        <v>15000</v>
      </c>
      <c r="J284">
        <v>15000</v>
      </c>
      <c r="K284">
        <v>75000</v>
      </c>
      <c r="L284" t="s">
        <v>880</v>
      </c>
      <c r="M284" t="s">
        <v>901</v>
      </c>
      <c r="N284" t="s">
        <v>905</v>
      </c>
      <c r="O284" s="9">
        <v>45658</v>
      </c>
      <c r="P284" t="s">
        <v>892</v>
      </c>
      <c r="Q284">
        <v>60000</v>
      </c>
      <c r="R284" t="s">
        <v>776</v>
      </c>
      <c r="S284" t="s">
        <v>731</v>
      </c>
      <c r="T284" t="s">
        <v>732</v>
      </c>
      <c r="U284" t="s">
        <v>387</v>
      </c>
      <c r="V284" t="s">
        <v>7</v>
      </c>
      <c r="W284" t="s">
        <v>36</v>
      </c>
      <c r="X284" t="s">
        <v>9</v>
      </c>
    </row>
    <row r="285" spans="1:24">
      <c r="A285" t="s">
        <v>1152</v>
      </c>
      <c r="B285" s="8">
        <v>45670</v>
      </c>
      <c r="C285" t="s">
        <v>386</v>
      </c>
      <c r="D285" t="s">
        <v>829</v>
      </c>
      <c r="E285">
        <v>4</v>
      </c>
      <c r="F285">
        <v>500000</v>
      </c>
      <c r="G285">
        <v>2000000</v>
      </c>
      <c r="H285" t="s">
        <v>872</v>
      </c>
      <c r="I285">
        <v>0</v>
      </c>
      <c r="J285">
        <v>20000</v>
      </c>
      <c r="K285">
        <v>2020000</v>
      </c>
      <c r="L285" t="s">
        <v>884</v>
      </c>
      <c r="M285" t="s">
        <v>874</v>
      </c>
      <c r="N285" t="s">
        <v>875</v>
      </c>
      <c r="O285" s="9">
        <v>45658</v>
      </c>
      <c r="P285" t="s">
        <v>877</v>
      </c>
      <c r="Q285">
        <v>2000000</v>
      </c>
      <c r="R285" t="s">
        <v>830</v>
      </c>
      <c r="S285" t="s">
        <v>743</v>
      </c>
      <c r="T285" t="s">
        <v>744</v>
      </c>
      <c r="U285" t="s">
        <v>387</v>
      </c>
      <c r="V285" t="s">
        <v>7</v>
      </c>
      <c r="W285" t="s">
        <v>36</v>
      </c>
      <c r="X285" t="s">
        <v>9</v>
      </c>
    </row>
    <row r="286" spans="1:24">
      <c r="A286" t="s">
        <v>1052</v>
      </c>
      <c r="B286" s="8">
        <v>45785</v>
      </c>
      <c r="C286" t="s">
        <v>476</v>
      </c>
      <c r="D286" t="s">
        <v>829</v>
      </c>
      <c r="E286">
        <v>1</v>
      </c>
      <c r="F286">
        <v>500000</v>
      </c>
      <c r="G286">
        <v>500000</v>
      </c>
      <c r="H286" t="s">
        <v>895</v>
      </c>
      <c r="I286">
        <v>75000</v>
      </c>
      <c r="J286">
        <v>10000</v>
      </c>
      <c r="K286">
        <v>435000</v>
      </c>
      <c r="L286" t="s">
        <v>880</v>
      </c>
      <c r="M286" t="s">
        <v>874</v>
      </c>
      <c r="N286" t="s">
        <v>875</v>
      </c>
      <c r="O286" s="9">
        <v>45778</v>
      </c>
      <c r="P286" t="s">
        <v>877</v>
      </c>
      <c r="Q286">
        <v>425000</v>
      </c>
      <c r="R286" t="s">
        <v>830</v>
      </c>
      <c r="S286" t="s">
        <v>743</v>
      </c>
      <c r="T286" t="s">
        <v>744</v>
      </c>
      <c r="U286" t="s">
        <v>477</v>
      </c>
      <c r="V286" t="s">
        <v>7</v>
      </c>
      <c r="W286" t="s">
        <v>12</v>
      </c>
      <c r="X286" t="s">
        <v>9</v>
      </c>
    </row>
    <row r="287" spans="1:24">
      <c r="A287" t="s">
        <v>1176</v>
      </c>
      <c r="B287" s="8">
        <v>45814</v>
      </c>
      <c r="C287" t="s">
        <v>332</v>
      </c>
      <c r="D287" t="s">
        <v>803</v>
      </c>
      <c r="E287">
        <v>1</v>
      </c>
      <c r="F287">
        <v>50000</v>
      </c>
      <c r="G287">
        <v>50000</v>
      </c>
      <c r="H287" t="s">
        <v>895</v>
      </c>
      <c r="I287">
        <v>7500</v>
      </c>
      <c r="J287">
        <v>25000</v>
      </c>
      <c r="K287">
        <v>67500</v>
      </c>
      <c r="L287" t="s">
        <v>873</v>
      </c>
      <c r="M287" t="s">
        <v>881</v>
      </c>
      <c r="N287" t="s">
        <v>875</v>
      </c>
      <c r="O287" s="9">
        <v>45809</v>
      </c>
      <c r="P287" t="s">
        <v>877</v>
      </c>
      <c r="Q287">
        <v>42500</v>
      </c>
      <c r="R287" t="s">
        <v>804</v>
      </c>
      <c r="S287" t="s">
        <v>739</v>
      </c>
      <c r="T287" t="s">
        <v>740</v>
      </c>
      <c r="U287" t="s">
        <v>333</v>
      </c>
      <c r="V287" t="s">
        <v>23</v>
      </c>
      <c r="W287" t="s">
        <v>12</v>
      </c>
      <c r="X287" t="s">
        <v>9</v>
      </c>
    </row>
    <row r="288" spans="1:24">
      <c r="A288" t="s">
        <v>1125</v>
      </c>
      <c r="B288" s="8">
        <v>45705</v>
      </c>
      <c r="C288" t="s">
        <v>338</v>
      </c>
      <c r="D288" t="s">
        <v>851</v>
      </c>
      <c r="E288">
        <v>1</v>
      </c>
      <c r="F288">
        <v>35000</v>
      </c>
      <c r="G288">
        <v>35000</v>
      </c>
      <c r="H288" t="s">
        <v>886</v>
      </c>
      <c r="I288">
        <v>3500</v>
      </c>
      <c r="J288">
        <v>15000</v>
      </c>
      <c r="K288">
        <v>46500</v>
      </c>
      <c r="L288" t="s">
        <v>873</v>
      </c>
      <c r="M288" t="s">
        <v>901</v>
      </c>
      <c r="N288" t="s">
        <v>875</v>
      </c>
      <c r="O288" s="9">
        <v>45689</v>
      </c>
      <c r="P288" t="s">
        <v>877</v>
      </c>
      <c r="Q288">
        <v>31500</v>
      </c>
      <c r="R288" t="s">
        <v>852</v>
      </c>
      <c r="S288" t="s">
        <v>739</v>
      </c>
      <c r="T288" t="s">
        <v>740</v>
      </c>
      <c r="U288" t="s">
        <v>339</v>
      </c>
      <c r="V288" t="s">
        <v>7</v>
      </c>
      <c r="W288" t="s">
        <v>36</v>
      </c>
      <c r="X288" t="s">
        <v>15</v>
      </c>
    </row>
    <row r="289" spans="1:24">
      <c r="A289" t="s">
        <v>1057</v>
      </c>
      <c r="B289" s="8">
        <v>45694</v>
      </c>
      <c r="C289" t="s">
        <v>478</v>
      </c>
      <c r="D289" t="s">
        <v>777</v>
      </c>
      <c r="E289">
        <v>3</v>
      </c>
      <c r="F289">
        <v>200000</v>
      </c>
      <c r="G289">
        <v>600000</v>
      </c>
      <c r="H289" t="s">
        <v>872</v>
      </c>
      <c r="I289">
        <v>0</v>
      </c>
      <c r="J289">
        <v>25000</v>
      </c>
      <c r="K289">
        <v>625000</v>
      </c>
      <c r="L289" t="s">
        <v>889</v>
      </c>
      <c r="M289" t="s">
        <v>903</v>
      </c>
      <c r="N289" t="s">
        <v>890</v>
      </c>
      <c r="O289" s="9">
        <v>45689</v>
      </c>
      <c r="P289" t="s">
        <v>892</v>
      </c>
      <c r="Q289">
        <v>600000</v>
      </c>
      <c r="R289" t="s">
        <v>778</v>
      </c>
      <c r="S289" t="s">
        <v>735</v>
      </c>
      <c r="T289" t="s">
        <v>736</v>
      </c>
      <c r="U289" t="s">
        <v>479</v>
      </c>
      <c r="V289" t="s">
        <v>23</v>
      </c>
      <c r="W289" t="s">
        <v>51</v>
      </c>
      <c r="X289" t="s">
        <v>15</v>
      </c>
    </row>
    <row r="290" spans="1:24">
      <c r="A290" t="s">
        <v>1059</v>
      </c>
      <c r="B290" s="8">
        <v>45712</v>
      </c>
      <c r="C290" t="s">
        <v>526</v>
      </c>
      <c r="D290" t="s">
        <v>783</v>
      </c>
      <c r="E290">
        <v>1</v>
      </c>
      <c r="F290">
        <v>500000</v>
      </c>
      <c r="G290">
        <v>500000</v>
      </c>
      <c r="H290" t="s">
        <v>883</v>
      </c>
      <c r="I290">
        <v>50000</v>
      </c>
      <c r="J290">
        <v>10000</v>
      </c>
      <c r="K290">
        <v>460000</v>
      </c>
      <c r="L290" t="s">
        <v>873</v>
      </c>
      <c r="M290" t="s">
        <v>874</v>
      </c>
      <c r="N290" t="s">
        <v>875</v>
      </c>
      <c r="O290" s="9">
        <v>45689</v>
      </c>
      <c r="P290" t="s">
        <v>877</v>
      </c>
      <c r="Q290">
        <v>450000</v>
      </c>
      <c r="R290" t="s">
        <v>784</v>
      </c>
      <c r="S290" t="s">
        <v>747</v>
      </c>
      <c r="T290" t="s">
        <v>748</v>
      </c>
      <c r="U290" t="s">
        <v>527</v>
      </c>
      <c r="V290" t="s">
        <v>7</v>
      </c>
      <c r="W290" t="s">
        <v>36</v>
      </c>
      <c r="X290" t="s">
        <v>9</v>
      </c>
    </row>
    <row r="291" spans="1:24">
      <c r="A291" t="s">
        <v>1202</v>
      </c>
      <c r="B291" s="8">
        <v>45752</v>
      </c>
      <c r="C291" t="s">
        <v>526</v>
      </c>
      <c r="D291" t="s">
        <v>841</v>
      </c>
      <c r="E291">
        <v>3</v>
      </c>
      <c r="F291">
        <v>75000</v>
      </c>
      <c r="G291">
        <v>225000</v>
      </c>
      <c r="H291" t="s">
        <v>886</v>
      </c>
      <c r="I291">
        <v>22500</v>
      </c>
      <c r="J291">
        <v>30000</v>
      </c>
      <c r="K291">
        <v>232500</v>
      </c>
      <c r="L291" t="s">
        <v>884</v>
      </c>
      <c r="M291" t="s">
        <v>874</v>
      </c>
      <c r="N291" t="s">
        <v>875</v>
      </c>
      <c r="O291" s="9">
        <v>45748</v>
      </c>
      <c r="P291" t="s">
        <v>877</v>
      </c>
      <c r="Q291">
        <v>202500</v>
      </c>
      <c r="R291" t="s">
        <v>842</v>
      </c>
      <c r="S291" t="s">
        <v>743</v>
      </c>
      <c r="T291" t="s">
        <v>744</v>
      </c>
      <c r="U291" t="s">
        <v>527</v>
      </c>
      <c r="V291" t="s">
        <v>7</v>
      </c>
      <c r="W291" t="s">
        <v>36</v>
      </c>
      <c r="X291" t="s">
        <v>9</v>
      </c>
    </row>
    <row r="292" spans="1:24">
      <c r="A292" t="s">
        <v>1069</v>
      </c>
      <c r="B292" s="8">
        <v>45792</v>
      </c>
      <c r="C292" t="s">
        <v>344</v>
      </c>
      <c r="D292" t="s">
        <v>845</v>
      </c>
      <c r="E292">
        <v>2</v>
      </c>
      <c r="F292">
        <v>300000</v>
      </c>
      <c r="G292">
        <v>600000</v>
      </c>
      <c r="H292" t="s">
        <v>895</v>
      </c>
      <c r="I292">
        <v>90000</v>
      </c>
      <c r="J292">
        <v>15000</v>
      </c>
      <c r="K292">
        <v>525000</v>
      </c>
      <c r="L292" t="s">
        <v>880</v>
      </c>
      <c r="M292" t="s">
        <v>874</v>
      </c>
      <c r="N292" t="s">
        <v>890</v>
      </c>
      <c r="O292" s="9">
        <v>45778</v>
      </c>
      <c r="P292" t="s">
        <v>892</v>
      </c>
      <c r="Q292">
        <v>510000</v>
      </c>
      <c r="R292" t="s">
        <v>846</v>
      </c>
      <c r="S292" t="s">
        <v>727</v>
      </c>
      <c r="T292" t="s">
        <v>728</v>
      </c>
      <c r="U292" t="s">
        <v>345</v>
      </c>
      <c r="V292" t="s">
        <v>23</v>
      </c>
      <c r="W292" t="s">
        <v>137</v>
      </c>
      <c r="X292" t="s">
        <v>24</v>
      </c>
    </row>
    <row r="293" spans="1:24">
      <c r="A293" t="s">
        <v>1062</v>
      </c>
      <c r="B293" s="8">
        <v>45704</v>
      </c>
      <c r="C293" t="s">
        <v>644</v>
      </c>
      <c r="D293" t="s">
        <v>855</v>
      </c>
      <c r="E293">
        <v>3</v>
      </c>
      <c r="F293">
        <v>150000</v>
      </c>
      <c r="G293">
        <v>450000</v>
      </c>
      <c r="H293" t="s">
        <v>886</v>
      </c>
      <c r="I293">
        <v>45000</v>
      </c>
      <c r="J293">
        <v>20000</v>
      </c>
      <c r="K293">
        <v>425000</v>
      </c>
      <c r="L293" t="s">
        <v>884</v>
      </c>
      <c r="M293" t="s">
        <v>874</v>
      </c>
      <c r="N293" t="s">
        <v>875</v>
      </c>
      <c r="O293" s="9">
        <v>45689</v>
      </c>
      <c r="P293" t="s">
        <v>877</v>
      </c>
      <c r="Q293">
        <v>405000</v>
      </c>
      <c r="R293" t="s">
        <v>856</v>
      </c>
      <c r="S293" t="s">
        <v>747</v>
      </c>
      <c r="T293" t="s">
        <v>748</v>
      </c>
      <c r="U293" t="s">
        <v>645</v>
      </c>
      <c r="V293" t="s">
        <v>23</v>
      </c>
      <c r="W293" t="s">
        <v>8</v>
      </c>
      <c r="X293" t="s">
        <v>24</v>
      </c>
    </row>
    <row r="294" spans="1:24">
      <c r="A294" t="s">
        <v>1211</v>
      </c>
      <c r="B294" s="8">
        <v>45783</v>
      </c>
      <c r="C294" t="s">
        <v>644</v>
      </c>
      <c r="D294" t="s">
        <v>769</v>
      </c>
      <c r="E294">
        <v>1</v>
      </c>
      <c r="F294">
        <v>100000</v>
      </c>
      <c r="G294">
        <v>100000</v>
      </c>
      <c r="H294" t="s">
        <v>872</v>
      </c>
      <c r="I294">
        <v>0</v>
      </c>
      <c r="J294">
        <v>25000</v>
      </c>
      <c r="K294">
        <v>125000</v>
      </c>
      <c r="L294" t="s">
        <v>889</v>
      </c>
      <c r="M294" t="s">
        <v>901</v>
      </c>
      <c r="N294" t="s">
        <v>905</v>
      </c>
      <c r="O294" s="9">
        <v>45778</v>
      </c>
      <c r="P294" t="s">
        <v>892</v>
      </c>
      <c r="Q294">
        <v>100000</v>
      </c>
      <c r="R294" t="s">
        <v>770</v>
      </c>
      <c r="S294" t="s">
        <v>743</v>
      </c>
      <c r="T294" t="s">
        <v>744</v>
      </c>
      <c r="U294" t="s">
        <v>645</v>
      </c>
      <c r="V294" t="s">
        <v>23</v>
      </c>
      <c r="W294" t="s">
        <v>8</v>
      </c>
      <c r="X294" t="s">
        <v>24</v>
      </c>
    </row>
    <row r="295" spans="1:24">
      <c r="A295" t="s">
        <v>1067</v>
      </c>
      <c r="B295" s="8">
        <v>45786</v>
      </c>
      <c r="C295" t="s">
        <v>578</v>
      </c>
      <c r="D295" t="s">
        <v>849</v>
      </c>
      <c r="E295">
        <v>2</v>
      </c>
      <c r="F295">
        <v>500000</v>
      </c>
      <c r="G295">
        <v>1000000</v>
      </c>
      <c r="H295" t="s">
        <v>872</v>
      </c>
      <c r="I295">
        <v>0</v>
      </c>
      <c r="J295">
        <v>10000</v>
      </c>
      <c r="K295">
        <v>1010000</v>
      </c>
      <c r="L295" t="s">
        <v>889</v>
      </c>
      <c r="M295" t="s">
        <v>874</v>
      </c>
      <c r="N295" t="s">
        <v>890</v>
      </c>
      <c r="O295" s="9">
        <v>45778</v>
      </c>
      <c r="P295" t="s">
        <v>892</v>
      </c>
      <c r="Q295">
        <v>1000000</v>
      </c>
      <c r="R295" t="s">
        <v>850</v>
      </c>
      <c r="S295" t="s">
        <v>735</v>
      </c>
      <c r="T295" t="s">
        <v>736</v>
      </c>
      <c r="U295" t="s">
        <v>579</v>
      </c>
      <c r="V295" t="s">
        <v>23</v>
      </c>
      <c r="W295" t="s">
        <v>56</v>
      </c>
      <c r="X295" t="s">
        <v>24</v>
      </c>
    </row>
    <row r="296" spans="1:24">
      <c r="A296" t="s">
        <v>1225</v>
      </c>
      <c r="B296" s="8">
        <v>45781</v>
      </c>
      <c r="C296" t="s">
        <v>578</v>
      </c>
      <c r="D296" t="s">
        <v>755</v>
      </c>
      <c r="E296">
        <v>3</v>
      </c>
      <c r="F296">
        <v>50000</v>
      </c>
      <c r="G296">
        <v>150000</v>
      </c>
      <c r="H296" t="s">
        <v>872</v>
      </c>
      <c r="I296">
        <v>0</v>
      </c>
      <c r="J296">
        <v>25000</v>
      </c>
      <c r="K296">
        <v>175000</v>
      </c>
      <c r="L296" t="s">
        <v>873</v>
      </c>
      <c r="M296" t="s">
        <v>881</v>
      </c>
      <c r="N296" t="s">
        <v>921</v>
      </c>
      <c r="O296" s="9">
        <v>45778</v>
      </c>
      <c r="P296" t="s">
        <v>892</v>
      </c>
      <c r="Q296">
        <v>150000</v>
      </c>
      <c r="R296" t="s">
        <v>756</v>
      </c>
      <c r="S296" t="s">
        <v>739</v>
      </c>
      <c r="T296" t="s">
        <v>740</v>
      </c>
      <c r="U296" t="s">
        <v>579</v>
      </c>
      <c r="V296" t="s">
        <v>23</v>
      </c>
      <c r="W296" t="s">
        <v>56</v>
      </c>
      <c r="X296" t="s">
        <v>24</v>
      </c>
    </row>
    <row r="297" spans="1:24">
      <c r="A297" t="s">
        <v>1106</v>
      </c>
      <c r="B297" s="8">
        <v>45733</v>
      </c>
      <c r="C297" t="s">
        <v>366</v>
      </c>
      <c r="D297" t="s">
        <v>829</v>
      </c>
      <c r="E297">
        <v>4</v>
      </c>
      <c r="F297">
        <v>500000</v>
      </c>
      <c r="G297">
        <v>2000000</v>
      </c>
      <c r="H297" t="s">
        <v>872</v>
      </c>
      <c r="I297">
        <v>0</v>
      </c>
      <c r="J297">
        <v>30000</v>
      </c>
      <c r="K297">
        <v>2030000</v>
      </c>
      <c r="L297" t="s">
        <v>880</v>
      </c>
      <c r="M297" t="s">
        <v>901</v>
      </c>
      <c r="N297" t="s">
        <v>875</v>
      </c>
      <c r="O297" s="9">
        <v>45717</v>
      </c>
      <c r="P297" t="s">
        <v>877</v>
      </c>
      <c r="Q297">
        <v>2000000</v>
      </c>
      <c r="R297" t="s">
        <v>830</v>
      </c>
      <c r="S297" t="s">
        <v>743</v>
      </c>
      <c r="T297" t="s">
        <v>744</v>
      </c>
      <c r="U297" t="s">
        <v>367</v>
      </c>
      <c r="V297" t="s">
        <v>23</v>
      </c>
      <c r="W297" t="s">
        <v>36</v>
      </c>
      <c r="X297" t="s">
        <v>24</v>
      </c>
    </row>
    <row r="298" spans="1:24">
      <c r="A298" t="s">
        <v>1071</v>
      </c>
      <c r="B298" s="8">
        <v>45678</v>
      </c>
      <c r="C298" t="s">
        <v>410</v>
      </c>
      <c r="D298" t="s">
        <v>835</v>
      </c>
      <c r="E298">
        <v>1</v>
      </c>
      <c r="F298">
        <v>200000</v>
      </c>
      <c r="G298">
        <v>200000</v>
      </c>
      <c r="H298" t="s">
        <v>872</v>
      </c>
      <c r="I298">
        <v>0</v>
      </c>
      <c r="J298">
        <v>20000</v>
      </c>
      <c r="K298">
        <v>220000</v>
      </c>
      <c r="L298" t="s">
        <v>889</v>
      </c>
      <c r="M298" t="s">
        <v>881</v>
      </c>
      <c r="N298" t="s">
        <v>890</v>
      </c>
      <c r="O298" s="9">
        <v>45658</v>
      </c>
      <c r="P298" t="s">
        <v>892</v>
      </c>
      <c r="Q298">
        <v>200000</v>
      </c>
      <c r="R298" t="s">
        <v>836</v>
      </c>
      <c r="S298" t="s">
        <v>731</v>
      </c>
      <c r="T298" t="s">
        <v>732</v>
      </c>
      <c r="U298" t="s">
        <v>411</v>
      </c>
      <c r="V298" t="s">
        <v>7</v>
      </c>
      <c r="W298" t="s">
        <v>46</v>
      </c>
      <c r="X298" t="s">
        <v>9</v>
      </c>
    </row>
    <row r="299" spans="1:24">
      <c r="A299" t="s">
        <v>1244</v>
      </c>
      <c r="B299" s="8">
        <v>45786</v>
      </c>
      <c r="C299" t="s">
        <v>410</v>
      </c>
      <c r="D299" t="s">
        <v>759</v>
      </c>
      <c r="E299">
        <v>2</v>
      </c>
      <c r="F299">
        <v>300000</v>
      </c>
      <c r="G299">
        <v>600000</v>
      </c>
      <c r="H299" t="s">
        <v>872</v>
      </c>
      <c r="I299">
        <v>0</v>
      </c>
      <c r="J299">
        <v>15000</v>
      </c>
      <c r="K299">
        <v>615000</v>
      </c>
      <c r="L299" t="s">
        <v>884</v>
      </c>
      <c r="M299" t="s">
        <v>901</v>
      </c>
      <c r="N299" t="s">
        <v>875</v>
      </c>
      <c r="O299" s="9">
        <v>45778</v>
      </c>
      <c r="P299" t="s">
        <v>877</v>
      </c>
      <c r="Q299">
        <v>600000</v>
      </c>
      <c r="R299" t="s">
        <v>760</v>
      </c>
      <c r="S299" t="s">
        <v>747</v>
      </c>
      <c r="T299" t="s">
        <v>748</v>
      </c>
      <c r="U299" t="s">
        <v>411</v>
      </c>
      <c r="V299" t="s">
        <v>7</v>
      </c>
      <c r="W299" t="s">
        <v>46</v>
      </c>
      <c r="X299" t="s">
        <v>9</v>
      </c>
    </row>
    <row r="300" spans="1:24">
      <c r="A300" t="s">
        <v>1073</v>
      </c>
      <c r="B300" s="8">
        <v>45822</v>
      </c>
      <c r="C300" t="s">
        <v>646</v>
      </c>
      <c r="D300" t="s">
        <v>777</v>
      </c>
      <c r="E300">
        <v>1</v>
      </c>
      <c r="F300">
        <v>200000</v>
      </c>
      <c r="G300">
        <v>200000</v>
      </c>
      <c r="H300" t="s">
        <v>886</v>
      </c>
      <c r="I300">
        <v>20000</v>
      </c>
      <c r="J300">
        <v>20000</v>
      </c>
      <c r="K300">
        <v>200000</v>
      </c>
      <c r="L300" t="s">
        <v>873</v>
      </c>
      <c r="M300" t="s">
        <v>901</v>
      </c>
      <c r="N300" t="s">
        <v>875</v>
      </c>
      <c r="O300" s="9">
        <v>45809</v>
      </c>
      <c r="P300" t="s">
        <v>877</v>
      </c>
      <c r="Q300">
        <v>180000</v>
      </c>
      <c r="R300" t="s">
        <v>778</v>
      </c>
      <c r="S300" t="s">
        <v>735</v>
      </c>
      <c r="T300" t="s">
        <v>736</v>
      </c>
      <c r="U300" t="s">
        <v>647</v>
      </c>
      <c r="V300" t="s">
        <v>23</v>
      </c>
      <c r="W300" t="s">
        <v>56</v>
      </c>
      <c r="X300" t="s">
        <v>15</v>
      </c>
    </row>
    <row r="301" spans="1:24">
      <c r="A301" t="s">
        <v>1246</v>
      </c>
      <c r="B301" s="8">
        <v>45834</v>
      </c>
      <c r="C301" t="s">
        <v>646</v>
      </c>
      <c r="D301" t="s">
        <v>813</v>
      </c>
      <c r="E301">
        <v>1</v>
      </c>
      <c r="F301">
        <v>35000</v>
      </c>
      <c r="G301">
        <v>35000</v>
      </c>
      <c r="H301" t="s">
        <v>886</v>
      </c>
      <c r="I301">
        <v>3500</v>
      </c>
      <c r="J301">
        <v>20000</v>
      </c>
      <c r="K301">
        <v>51500</v>
      </c>
      <c r="L301" t="s">
        <v>880</v>
      </c>
      <c r="M301" t="s">
        <v>903</v>
      </c>
      <c r="N301" t="s">
        <v>875</v>
      </c>
      <c r="O301" s="9">
        <v>45809</v>
      </c>
      <c r="P301" t="s">
        <v>877</v>
      </c>
      <c r="Q301">
        <v>31500</v>
      </c>
      <c r="R301" t="s">
        <v>814</v>
      </c>
      <c r="S301" t="s">
        <v>735</v>
      </c>
      <c r="T301" t="s">
        <v>736</v>
      </c>
      <c r="U301" t="s">
        <v>647</v>
      </c>
      <c r="V301" t="s">
        <v>23</v>
      </c>
      <c r="W301" t="s">
        <v>56</v>
      </c>
      <c r="X301" t="s">
        <v>15</v>
      </c>
    </row>
    <row r="302" spans="1:24">
      <c r="A302" t="s">
        <v>1239</v>
      </c>
      <c r="B302" s="8">
        <v>45713</v>
      </c>
      <c r="C302" t="s">
        <v>392</v>
      </c>
      <c r="D302" t="s">
        <v>777</v>
      </c>
      <c r="E302">
        <v>1</v>
      </c>
      <c r="F302">
        <v>200000</v>
      </c>
      <c r="G302">
        <v>200000</v>
      </c>
      <c r="H302" t="s">
        <v>883</v>
      </c>
      <c r="I302">
        <v>20000</v>
      </c>
      <c r="J302">
        <v>25000</v>
      </c>
      <c r="K302">
        <v>205000</v>
      </c>
      <c r="L302" t="s">
        <v>889</v>
      </c>
      <c r="M302" t="s">
        <v>874</v>
      </c>
      <c r="N302" t="s">
        <v>875</v>
      </c>
      <c r="O302" s="9">
        <v>45689</v>
      </c>
      <c r="P302" t="s">
        <v>877</v>
      </c>
      <c r="Q302">
        <v>180000</v>
      </c>
      <c r="R302" t="s">
        <v>778</v>
      </c>
      <c r="S302" t="s">
        <v>735</v>
      </c>
      <c r="T302" t="s">
        <v>736</v>
      </c>
      <c r="U302" t="s">
        <v>393</v>
      </c>
      <c r="V302" t="s">
        <v>7</v>
      </c>
      <c r="W302" t="s">
        <v>20</v>
      </c>
      <c r="X302" t="s">
        <v>9</v>
      </c>
    </row>
    <row r="303" spans="1:24">
      <c r="A303" t="s">
        <v>1087</v>
      </c>
      <c r="B303" s="8">
        <v>45796</v>
      </c>
      <c r="C303" t="s">
        <v>622</v>
      </c>
      <c r="D303" t="s">
        <v>845</v>
      </c>
      <c r="E303">
        <v>1</v>
      </c>
      <c r="F303">
        <v>300000</v>
      </c>
      <c r="G303">
        <v>300000</v>
      </c>
      <c r="H303" t="s">
        <v>895</v>
      </c>
      <c r="I303">
        <v>45000</v>
      </c>
      <c r="J303">
        <v>15000</v>
      </c>
      <c r="K303">
        <v>270000</v>
      </c>
      <c r="L303" t="s">
        <v>880</v>
      </c>
      <c r="M303" t="s">
        <v>901</v>
      </c>
      <c r="N303" t="s">
        <v>875</v>
      </c>
      <c r="O303" s="9">
        <v>45778</v>
      </c>
      <c r="P303" t="s">
        <v>877</v>
      </c>
      <c r="Q303">
        <v>255000</v>
      </c>
      <c r="R303" t="s">
        <v>846</v>
      </c>
      <c r="S303" t="s">
        <v>727</v>
      </c>
      <c r="T303" t="s">
        <v>728</v>
      </c>
      <c r="U303" t="s">
        <v>623</v>
      </c>
      <c r="V303" t="s">
        <v>7</v>
      </c>
      <c r="W303" t="s">
        <v>39</v>
      </c>
      <c r="X303" t="s">
        <v>9</v>
      </c>
    </row>
    <row r="304" spans="1:24">
      <c r="A304" t="s">
        <v>1114</v>
      </c>
      <c r="B304" s="8">
        <v>45696</v>
      </c>
      <c r="C304" t="s">
        <v>402</v>
      </c>
      <c r="D304" t="s">
        <v>757</v>
      </c>
      <c r="E304">
        <v>3</v>
      </c>
      <c r="F304">
        <v>75000</v>
      </c>
      <c r="G304">
        <v>225000</v>
      </c>
      <c r="H304" t="s">
        <v>872</v>
      </c>
      <c r="I304">
        <v>0</v>
      </c>
      <c r="J304">
        <v>25000</v>
      </c>
      <c r="K304">
        <v>250000</v>
      </c>
      <c r="L304" t="s">
        <v>889</v>
      </c>
      <c r="M304" t="s">
        <v>903</v>
      </c>
      <c r="N304" t="s">
        <v>921</v>
      </c>
      <c r="O304" s="9">
        <v>45689</v>
      </c>
      <c r="P304" t="s">
        <v>892</v>
      </c>
      <c r="Q304">
        <v>225000</v>
      </c>
      <c r="R304" t="s">
        <v>758</v>
      </c>
      <c r="S304" t="s">
        <v>743</v>
      </c>
      <c r="T304" t="s">
        <v>744</v>
      </c>
      <c r="U304" t="s">
        <v>403</v>
      </c>
      <c r="V304" t="s">
        <v>7</v>
      </c>
      <c r="W304" t="s">
        <v>8</v>
      </c>
      <c r="X304" t="s">
        <v>9</v>
      </c>
    </row>
    <row r="305" spans="1:24">
      <c r="A305" t="s">
        <v>1090</v>
      </c>
      <c r="B305" s="8">
        <v>45717</v>
      </c>
      <c r="C305" t="s">
        <v>444</v>
      </c>
      <c r="D305" t="s">
        <v>783</v>
      </c>
      <c r="E305">
        <v>1</v>
      </c>
      <c r="F305">
        <v>500000</v>
      </c>
      <c r="G305">
        <v>500000</v>
      </c>
      <c r="H305" t="s">
        <v>872</v>
      </c>
      <c r="I305">
        <v>0</v>
      </c>
      <c r="J305">
        <v>30000</v>
      </c>
      <c r="K305">
        <v>530000</v>
      </c>
      <c r="L305" t="s">
        <v>880</v>
      </c>
      <c r="M305" t="s">
        <v>903</v>
      </c>
      <c r="N305" t="s">
        <v>905</v>
      </c>
      <c r="O305" s="9">
        <v>45717</v>
      </c>
      <c r="P305" t="s">
        <v>892</v>
      </c>
      <c r="Q305">
        <v>500000</v>
      </c>
      <c r="R305" t="s">
        <v>784</v>
      </c>
      <c r="S305" t="s">
        <v>747</v>
      </c>
      <c r="T305" t="s">
        <v>748</v>
      </c>
      <c r="U305" t="s">
        <v>445</v>
      </c>
      <c r="V305" t="s">
        <v>23</v>
      </c>
      <c r="W305" t="s">
        <v>20</v>
      </c>
      <c r="X305" t="s">
        <v>9</v>
      </c>
    </row>
    <row r="306" spans="1:24">
      <c r="A306" t="s">
        <v>1122</v>
      </c>
      <c r="B306" s="8">
        <v>45758</v>
      </c>
      <c r="C306" t="s">
        <v>444</v>
      </c>
      <c r="D306" t="s">
        <v>833</v>
      </c>
      <c r="E306">
        <v>4</v>
      </c>
      <c r="F306">
        <v>200000</v>
      </c>
      <c r="G306">
        <v>800000</v>
      </c>
      <c r="H306" t="s">
        <v>872</v>
      </c>
      <c r="I306">
        <v>0</v>
      </c>
      <c r="J306">
        <v>30000</v>
      </c>
      <c r="K306">
        <v>830000</v>
      </c>
      <c r="L306" t="s">
        <v>873</v>
      </c>
      <c r="M306" t="s">
        <v>901</v>
      </c>
      <c r="N306" t="s">
        <v>875</v>
      </c>
      <c r="O306" s="9">
        <v>45748</v>
      </c>
      <c r="P306" t="s">
        <v>877</v>
      </c>
      <c r="Q306">
        <v>800000</v>
      </c>
      <c r="R306" t="s">
        <v>834</v>
      </c>
      <c r="S306" t="s">
        <v>727</v>
      </c>
      <c r="T306" t="s">
        <v>728</v>
      </c>
      <c r="U306" t="s">
        <v>445</v>
      </c>
      <c r="V306" t="s">
        <v>23</v>
      </c>
      <c r="W306" t="s">
        <v>20</v>
      </c>
      <c r="X306" t="s">
        <v>9</v>
      </c>
    </row>
    <row r="307" spans="1:24">
      <c r="A307" t="s">
        <v>1096</v>
      </c>
      <c r="B307" s="8">
        <v>45734</v>
      </c>
      <c r="C307" t="s">
        <v>432</v>
      </c>
      <c r="D307" t="s">
        <v>771</v>
      </c>
      <c r="E307">
        <v>1</v>
      </c>
      <c r="F307">
        <v>500000</v>
      </c>
      <c r="G307">
        <v>500000</v>
      </c>
      <c r="I307">
        <v>0</v>
      </c>
      <c r="J307">
        <v>15000</v>
      </c>
      <c r="K307">
        <v>515000</v>
      </c>
      <c r="L307" t="s">
        <v>873</v>
      </c>
      <c r="M307" t="s">
        <v>881</v>
      </c>
      <c r="N307" t="s">
        <v>911</v>
      </c>
      <c r="O307" s="9">
        <v>45717</v>
      </c>
      <c r="P307" t="s">
        <v>892</v>
      </c>
      <c r="Q307">
        <v>500000</v>
      </c>
      <c r="R307" t="s">
        <v>772</v>
      </c>
      <c r="S307" t="s">
        <v>747</v>
      </c>
      <c r="T307" t="s">
        <v>748</v>
      </c>
      <c r="U307" t="s">
        <v>433</v>
      </c>
      <c r="V307" t="s">
        <v>23</v>
      </c>
      <c r="W307" t="s">
        <v>39</v>
      </c>
      <c r="X307" t="s">
        <v>9</v>
      </c>
    </row>
    <row r="308" spans="1:24">
      <c r="A308" t="s">
        <v>1227</v>
      </c>
      <c r="B308" s="8">
        <v>45791</v>
      </c>
      <c r="C308" t="s">
        <v>432</v>
      </c>
      <c r="D308" t="s">
        <v>789</v>
      </c>
      <c r="E308">
        <v>1</v>
      </c>
      <c r="F308">
        <v>200000</v>
      </c>
      <c r="G308">
        <v>200000</v>
      </c>
      <c r="H308" t="s">
        <v>872</v>
      </c>
      <c r="I308">
        <v>0</v>
      </c>
      <c r="J308">
        <v>25000</v>
      </c>
      <c r="K308">
        <v>225000</v>
      </c>
      <c r="L308" t="s">
        <v>873</v>
      </c>
      <c r="M308" t="s">
        <v>903</v>
      </c>
      <c r="N308" t="s">
        <v>875</v>
      </c>
      <c r="O308" s="9">
        <v>45778</v>
      </c>
      <c r="P308" t="s">
        <v>877</v>
      </c>
      <c r="Q308">
        <v>200000</v>
      </c>
      <c r="R308" t="s">
        <v>790</v>
      </c>
      <c r="S308" t="s">
        <v>735</v>
      </c>
      <c r="T308" t="s">
        <v>736</v>
      </c>
      <c r="U308" t="s">
        <v>433</v>
      </c>
      <c r="V308" t="s">
        <v>23</v>
      </c>
      <c r="W308" t="s">
        <v>39</v>
      </c>
      <c r="X308" t="s">
        <v>9</v>
      </c>
    </row>
    <row r="309" spans="1:24">
      <c r="A309" t="s">
        <v>1098</v>
      </c>
      <c r="B309" s="8">
        <v>45741</v>
      </c>
      <c r="C309" t="s">
        <v>580</v>
      </c>
      <c r="D309" t="s">
        <v>815</v>
      </c>
      <c r="E309">
        <v>3</v>
      </c>
      <c r="F309">
        <v>75000</v>
      </c>
      <c r="G309">
        <v>225000</v>
      </c>
      <c r="H309" t="s">
        <v>895</v>
      </c>
      <c r="I309">
        <v>33750</v>
      </c>
      <c r="J309">
        <v>20000</v>
      </c>
      <c r="K309">
        <v>211250</v>
      </c>
      <c r="L309" t="s">
        <v>884</v>
      </c>
      <c r="M309" t="s">
        <v>874</v>
      </c>
      <c r="N309" t="s">
        <v>911</v>
      </c>
      <c r="O309" s="9">
        <v>45717</v>
      </c>
      <c r="P309" t="s">
        <v>892</v>
      </c>
      <c r="Q309">
        <v>191250</v>
      </c>
      <c r="R309" t="s">
        <v>816</v>
      </c>
      <c r="S309" t="s">
        <v>739</v>
      </c>
      <c r="T309" t="s">
        <v>740</v>
      </c>
      <c r="U309" t="s">
        <v>581</v>
      </c>
      <c r="V309" t="s">
        <v>7</v>
      </c>
      <c r="W309" t="s">
        <v>20</v>
      </c>
      <c r="X309" t="s">
        <v>24</v>
      </c>
    </row>
    <row r="310" spans="1:24">
      <c r="A310" t="s">
        <v>1163</v>
      </c>
      <c r="B310" s="8">
        <v>45832</v>
      </c>
      <c r="C310" t="s">
        <v>580</v>
      </c>
      <c r="D310" t="s">
        <v>795</v>
      </c>
      <c r="E310">
        <v>1</v>
      </c>
      <c r="F310">
        <v>100000</v>
      </c>
      <c r="G310">
        <v>100000</v>
      </c>
      <c r="H310" t="s">
        <v>879</v>
      </c>
      <c r="I310">
        <v>20000</v>
      </c>
      <c r="J310">
        <v>10000</v>
      </c>
      <c r="K310">
        <v>90000</v>
      </c>
      <c r="L310" t="s">
        <v>873</v>
      </c>
      <c r="M310" t="s">
        <v>874</v>
      </c>
      <c r="N310" t="s">
        <v>875</v>
      </c>
      <c r="O310" s="9">
        <v>45809</v>
      </c>
      <c r="P310" t="s">
        <v>877</v>
      </c>
      <c r="Q310">
        <v>80000</v>
      </c>
      <c r="R310" t="s">
        <v>796</v>
      </c>
      <c r="S310" t="s">
        <v>747</v>
      </c>
      <c r="T310" t="s">
        <v>748</v>
      </c>
      <c r="U310" t="s">
        <v>581</v>
      </c>
      <c r="V310" t="s">
        <v>7</v>
      </c>
      <c r="W310" t="s">
        <v>20</v>
      </c>
      <c r="X310" t="s">
        <v>24</v>
      </c>
    </row>
    <row r="311" spans="1:24">
      <c r="A311" t="s">
        <v>1183</v>
      </c>
      <c r="B311" s="8">
        <v>45735</v>
      </c>
      <c r="C311" t="s">
        <v>422</v>
      </c>
      <c r="D311" t="s">
        <v>827</v>
      </c>
      <c r="E311">
        <v>2</v>
      </c>
      <c r="F311">
        <v>100000</v>
      </c>
      <c r="G311">
        <v>200000</v>
      </c>
      <c r="H311" t="s">
        <v>872</v>
      </c>
      <c r="I311">
        <v>0</v>
      </c>
      <c r="J311">
        <v>25000</v>
      </c>
      <c r="K311">
        <v>225000</v>
      </c>
      <c r="L311" t="s">
        <v>884</v>
      </c>
      <c r="M311" t="s">
        <v>903</v>
      </c>
      <c r="N311" t="s">
        <v>875</v>
      </c>
      <c r="O311" s="9">
        <v>45717</v>
      </c>
      <c r="P311" t="s">
        <v>877</v>
      </c>
      <c r="Q311">
        <v>200000</v>
      </c>
      <c r="R311" t="s">
        <v>828</v>
      </c>
      <c r="S311" t="s">
        <v>739</v>
      </c>
      <c r="T311" t="s">
        <v>740</v>
      </c>
      <c r="U311" t="s">
        <v>423</v>
      </c>
      <c r="V311" t="s">
        <v>23</v>
      </c>
      <c r="W311" t="s">
        <v>20</v>
      </c>
      <c r="X311" t="s">
        <v>9</v>
      </c>
    </row>
    <row r="312" spans="1:24">
      <c r="A312" t="s">
        <v>1099</v>
      </c>
      <c r="B312" s="8">
        <v>45788</v>
      </c>
      <c r="C312" t="s">
        <v>568</v>
      </c>
      <c r="D312" t="s">
        <v>753</v>
      </c>
      <c r="E312">
        <v>2</v>
      </c>
      <c r="F312">
        <v>300000</v>
      </c>
      <c r="G312">
        <v>600000</v>
      </c>
      <c r="H312" t="s">
        <v>886</v>
      </c>
      <c r="I312">
        <v>60000</v>
      </c>
      <c r="J312">
        <v>25000</v>
      </c>
      <c r="K312">
        <v>565000</v>
      </c>
      <c r="L312" t="s">
        <v>880</v>
      </c>
      <c r="M312" t="s">
        <v>881</v>
      </c>
      <c r="N312" t="s">
        <v>875</v>
      </c>
      <c r="O312" s="9">
        <v>45778</v>
      </c>
      <c r="P312" t="s">
        <v>877</v>
      </c>
      <c r="Q312">
        <v>540000</v>
      </c>
      <c r="R312" t="s">
        <v>754</v>
      </c>
      <c r="S312" t="s">
        <v>735</v>
      </c>
      <c r="T312" t="s">
        <v>736</v>
      </c>
      <c r="U312" t="s">
        <v>569</v>
      </c>
      <c r="V312" t="s">
        <v>23</v>
      </c>
      <c r="W312" t="s">
        <v>137</v>
      </c>
      <c r="X312" t="s">
        <v>9</v>
      </c>
    </row>
    <row r="313" spans="1:24">
      <c r="A313" t="s">
        <v>1216</v>
      </c>
      <c r="B313" s="8">
        <v>45804</v>
      </c>
      <c r="C313" t="s">
        <v>426</v>
      </c>
      <c r="D313" t="s">
        <v>767</v>
      </c>
      <c r="E313">
        <v>1</v>
      </c>
      <c r="F313">
        <v>150000</v>
      </c>
      <c r="G313">
        <v>150000</v>
      </c>
      <c r="H313" t="s">
        <v>872</v>
      </c>
      <c r="I313">
        <v>0</v>
      </c>
      <c r="J313">
        <v>15000</v>
      </c>
      <c r="K313">
        <v>165000</v>
      </c>
      <c r="L313" t="s">
        <v>880</v>
      </c>
      <c r="M313" t="s">
        <v>881</v>
      </c>
      <c r="N313" t="s">
        <v>905</v>
      </c>
      <c r="O313" s="9">
        <v>45778</v>
      </c>
      <c r="P313" t="s">
        <v>892</v>
      </c>
      <c r="Q313">
        <v>150000</v>
      </c>
      <c r="R313" t="s">
        <v>768</v>
      </c>
      <c r="S313" t="s">
        <v>739</v>
      </c>
      <c r="T313" t="s">
        <v>740</v>
      </c>
      <c r="U313" t="s">
        <v>427</v>
      </c>
      <c r="V313" t="s">
        <v>7</v>
      </c>
      <c r="W313" t="s">
        <v>20</v>
      </c>
      <c r="X313" t="s">
        <v>9</v>
      </c>
    </row>
    <row r="314" spans="1:24">
      <c r="A314" t="s">
        <v>1102</v>
      </c>
      <c r="B314" s="8">
        <v>45735</v>
      </c>
      <c r="C314" t="s">
        <v>462</v>
      </c>
      <c r="D314" t="s">
        <v>817</v>
      </c>
      <c r="E314">
        <v>2</v>
      </c>
      <c r="F314">
        <v>75000</v>
      </c>
      <c r="G314">
        <v>150000</v>
      </c>
      <c r="H314" t="s">
        <v>895</v>
      </c>
      <c r="I314">
        <v>22500</v>
      </c>
      <c r="J314">
        <v>10000</v>
      </c>
      <c r="K314">
        <v>137500</v>
      </c>
      <c r="L314" t="s">
        <v>880</v>
      </c>
      <c r="M314" t="s">
        <v>903</v>
      </c>
      <c r="N314" t="s">
        <v>875</v>
      </c>
      <c r="O314" s="9">
        <v>45717</v>
      </c>
      <c r="P314" t="s">
        <v>877</v>
      </c>
      <c r="Q314">
        <v>127500</v>
      </c>
      <c r="R314" t="s">
        <v>818</v>
      </c>
      <c r="S314" t="s">
        <v>743</v>
      </c>
      <c r="T314" t="s">
        <v>744</v>
      </c>
      <c r="U314" t="s">
        <v>463</v>
      </c>
      <c r="V314" t="s">
        <v>23</v>
      </c>
      <c r="W314" t="s">
        <v>36</v>
      </c>
      <c r="X314" t="s">
        <v>24</v>
      </c>
    </row>
    <row r="315" spans="1:24">
      <c r="A315" t="s">
        <v>1105</v>
      </c>
      <c r="B315" s="8">
        <v>45794</v>
      </c>
      <c r="C315" t="s">
        <v>666</v>
      </c>
      <c r="D315" t="s">
        <v>805</v>
      </c>
      <c r="E315">
        <v>1</v>
      </c>
      <c r="F315">
        <v>200000</v>
      </c>
      <c r="G315">
        <v>200000</v>
      </c>
      <c r="H315" t="s">
        <v>886</v>
      </c>
      <c r="I315">
        <v>20000</v>
      </c>
      <c r="J315">
        <v>25000</v>
      </c>
      <c r="K315">
        <v>205000</v>
      </c>
      <c r="L315" t="s">
        <v>880</v>
      </c>
      <c r="M315" t="s">
        <v>874</v>
      </c>
      <c r="N315" t="s">
        <v>875</v>
      </c>
      <c r="O315" s="9">
        <v>45778</v>
      </c>
      <c r="P315" t="s">
        <v>877</v>
      </c>
      <c r="Q315">
        <v>180000</v>
      </c>
      <c r="R315" t="s">
        <v>806</v>
      </c>
      <c r="S315" t="s">
        <v>743</v>
      </c>
      <c r="T315" t="s">
        <v>744</v>
      </c>
      <c r="U315" t="s">
        <v>667</v>
      </c>
      <c r="V315" t="s">
        <v>7</v>
      </c>
      <c r="W315" t="s">
        <v>12</v>
      </c>
      <c r="X315" t="s">
        <v>9</v>
      </c>
    </row>
    <row r="316" spans="1:24">
      <c r="A316" t="s">
        <v>1135</v>
      </c>
      <c r="B316" s="8">
        <v>45760</v>
      </c>
      <c r="C316" t="s">
        <v>666</v>
      </c>
      <c r="D316" t="s">
        <v>837</v>
      </c>
      <c r="E316">
        <v>1</v>
      </c>
      <c r="F316">
        <v>300000</v>
      </c>
      <c r="G316">
        <v>300000</v>
      </c>
      <c r="H316" t="s">
        <v>872</v>
      </c>
      <c r="I316">
        <v>0</v>
      </c>
      <c r="J316">
        <v>15000</v>
      </c>
      <c r="K316">
        <v>315000</v>
      </c>
      <c r="L316" t="s">
        <v>889</v>
      </c>
      <c r="M316" t="s">
        <v>881</v>
      </c>
      <c r="N316" t="s">
        <v>875</v>
      </c>
      <c r="O316" s="9">
        <v>45748</v>
      </c>
      <c r="P316" t="s">
        <v>877</v>
      </c>
      <c r="Q316">
        <v>300000</v>
      </c>
      <c r="R316" t="s">
        <v>838</v>
      </c>
      <c r="S316" t="s">
        <v>735</v>
      </c>
      <c r="T316" t="s">
        <v>736</v>
      </c>
      <c r="U316" t="s">
        <v>667</v>
      </c>
      <c r="V316" t="s">
        <v>7</v>
      </c>
      <c r="W316" t="s">
        <v>12</v>
      </c>
      <c r="X316" t="s">
        <v>9</v>
      </c>
    </row>
    <row r="317" spans="1:24">
      <c r="A317" t="s">
        <v>1111</v>
      </c>
      <c r="B317" s="8">
        <v>45833</v>
      </c>
      <c r="C317" t="s">
        <v>492</v>
      </c>
      <c r="D317" t="s">
        <v>775</v>
      </c>
      <c r="E317">
        <v>1</v>
      </c>
      <c r="F317">
        <v>75000</v>
      </c>
      <c r="G317">
        <v>75000</v>
      </c>
      <c r="H317" t="s">
        <v>872</v>
      </c>
      <c r="I317">
        <v>0</v>
      </c>
      <c r="J317">
        <v>20000</v>
      </c>
      <c r="K317">
        <v>95000</v>
      </c>
      <c r="L317" t="s">
        <v>889</v>
      </c>
      <c r="M317" t="s">
        <v>903</v>
      </c>
      <c r="N317" t="s">
        <v>875</v>
      </c>
      <c r="O317" s="9">
        <v>45809</v>
      </c>
      <c r="P317" t="s">
        <v>877</v>
      </c>
      <c r="Q317">
        <v>75000</v>
      </c>
      <c r="R317" t="s">
        <v>776</v>
      </c>
      <c r="S317" t="s">
        <v>731</v>
      </c>
      <c r="T317" t="s">
        <v>732</v>
      </c>
      <c r="U317" t="s">
        <v>493</v>
      </c>
      <c r="V317" t="s">
        <v>23</v>
      </c>
      <c r="W317" t="s">
        <v>56</v>
      </c>
      <c r="X317" t="s">
        <v>9</v>
      </c>
    </row>
    <row r="318" spans="1:24">
      <c r="A318" t="s">
        <v>1196</v>
      </c>
      <c r="B318" s="8">
        <v>45679</v>
      </c>
      <c r="C318" t="s">
        <v>492</v>
      </c>
      <c r="D318" t="s">
        <v>817</v>
      </c>
      <c r="E318">
        <v>2</v>
      </c>
      <c r="F318">
        <v>75000</v>
      </c>
      <c r="G318">
        <v>150000</v>
      </c>
      <c r="H318" t="s">
        <v>886</v>
      </c>
      <c r="I318">
        <v>15000</v>
      </c>
      <c r="J318">
        <v>20000</v>
      </c>
      <c r="K318">
        <v>155000</v>
      </c>
      <c r="L318" t="s">
        <v>873</v>
      </c>
      <c r="M318" t="s">
        <v>874</v>
      </c>
      <c r="N318" t="s">
        <v>875</v>
      </c>
      <c r="O318" s="9">
        <v>45658</v>
      </c>
      <c r="P318" t="s">
        <v>877</v>
      </c>
      <c r="Q318">
        <v>135000</v>
      </c>
      <c r="R318" t="s">
        <v>818</v>
      </c>
      <c r="S318" t="s">
        <v>743</v>
      </c>
      <c r="T318" t="s">
        <v>744</v>
      </c>
      <c r="U318" t="s">
        <v>493</v>
      </c>
      <c r="V318" t="s">
        <v>23</v>
      </c>
      <c r="W318" t="s">
        <v>56</v>
      </c>
      <c r="X318" t="s">
        <v>9</v>
      </c>
    </row>
    <row r="319" spans="1:24">
      <c r="A319" t="s">
        <v>1141</v>
      </c>
      <c r="B319" s="8">
        <v>45818</v>
      </c>
      <c r="C319" t="s">
        <v>450</v>
      </c>
      <c r="D319" t="s">
        <v>781</v>
      </c>
      <c r="E319">
        <v>4</v>
      </c>
      <c r="F319">
        <v>50000</v>
      </c>
      <c r="G319">
        <v>200000</v>
      </c>
      <c r="H319" t="s">
        <v>886</v>
      </c>
      <c r="I319">
        <v>20000</v>
      </c>
      <c r="J319">
        <v>20000</v>
      </c>
      <c r="K319">
        <v>200000</v>
      </c>
      <c r="L319" t="s">
        <v>880</v>
      </c>
      <c r="M319" t="s">
        <v>881</v>
      </c>
      <c r="N319" t="s">
        <v>875</v>
      </c>
      <c r="O319" s="9">
        <v>45809</v>
      </c>
      <c r="P319" t="s">
        <v>877</v>
      </c>
      <c r="Q319">
        <v>180000</v>
      </c>
      <c r="R319" t="s">
        <v>782</v>
      </c>
      <c r="S319" t="s">
        <v>743</v>
      </c>
      <c r="T319" t="s">
        <v>744</v>
      </c>
      <c r="U319" t="s">
        <v>451</v>
      </c>
      <c r="V319" t="s">
        <v>23</v>
      </c>
      <c r="W319" t="s">
        <v>56</v>
      </c>
      <c r="X319" t="s">
        <v>9</v>
      </c>
    </row>
    <row r="320" spans="1:24">
      <c r="A320" t="s">
        <v>1116</v>
      </c>
      <c r="B320" s="8">
        <v>45760</v>
      </c>
      <c r="C320" t="s">
        <v>518</v>
      </c>
      <c r="D320" t="s">
        <v>741</v>
      </c>
      <c r="E320">
        <v>1</v>
      </c>
      <c r="F320">
        <v>75000</v>
      </c>
      <c r="G320">
        <v>75000</v>
      </c>
      <c r="H320" t="s">
        <v>883</v>
      </c>
      <c r="I320">
        <v>7500</v>
      </c>
      <c r="J320">
        <v>10000</v>
      </c>
      <c r="K320">
        <v>77500</v>
      </c>
      <c r="L320" t="s">
        <v>889</v>
      </c>
      <c r="M320" t="s">
        <v>901</v>
      </c>
      <c r="N320" t="s">
        <v>875</v>
      </c>
      <c r="O320" s="9">
        <v>45748</v>
      </c>
      <c r="P320" t="s">
        <v>877</v>
      </c>
      <c r="Q320">
        <v>67500</v>
      </c>
      <c r="R320" t="s">
        <v>742</v>
      </c>
      <c r="S320" t="s">
        <v>743</v>
      </c>
      <c r="T320" t="s">
        <v>744</v>
      </c>
      <c r="U320" t="s">
        <v>519</v>
      </c>
      <c r="V320" t="s">
        <v>23</v>
      </c>
      <c r="W320" t="s">
        <v>12</v>
      </c>
      <c r="X320" t="s">
        <v>15</v>
      </c>
    </row>
    <row r="321" spans="1:24">
      <c r="A321" t="s">
        <v>1117</v>
      </c>
      <c r="B321" s="8">
        <v>45832</v>
      </c>
      <c r="C321" t="s">
        <v>698</v>
      </c>
      <c r="D321" t="s">
        <v>771</v>
      </c>
      <c r="E321">
        <v>1</v>
      </c>
      <c r="F321">
        <v>500000</v>
      </c>
      <c r="G321">
        <v>500000</v>
      </c>
      <c r="H321" t="s">
        <v>895</v>
      </c>
      <c r="I321">
        <v>75000</v>
      </c>
      <c r="J321">
        <v>30000</v>
      </c>
      <c r="K321">
        <v>455000</v>
      </c>
      <c r="L321" t="s">
        <v>884</v>
      </c>
      <c r="M321" t="s">
        <v>881</v>
      </c>
      <c r="N321" t="s">
        <v>875</v>
      </c>
      <c r="O321" s="9">
        <v>45809</v>
      </c>
      <c r="P321" t="s">
        <v>877</v>
      </c>
      <c r="Q321">
        <v>425000</v>
      </c>
      <c r="R321" t="s">
        <v>772</v>
      </c>
      <c r="S321" t="s">
        <v>747</v>
      </c>
      <c r="T321" t="s">
        <v>748</v>
      </c>
      <c r="U321" t="s">
        <v>699</v>
      </c>
      <c r="V321" t="s">
        <v>7</v>
      </c>
      <c r="W321" t="s">
        <v>36</v>
      </c>
      <c r="X321" t="s">
        <v>15</v>
      </c>
    </row>
    <row r="322" spans="1:24">
      <c r="A322" t="s">
        <v>1121</v>
      </c>
      <c r="B322" s="8">
        <v>45801</v>
      </c>
      <c r="C322" t="s">
        <v>718</v>
      </c>
      <c r="D322" t="s">
        <v>815</v>
      </c>
      <c r="E322">
        <v>1</v>
      </c>
      <c r="F322">
        <v>75000</v>
      </c>
      <c r="G322">
        <v>75000</v>
      </c>
      <c r="H322" t="s">
        <v>872</v>
      </c>
      <c r="I322">
        <v>0</v>
      </c>
      <c r="J322">
        <v>30000</v>
      </c>
      <c r="K322">
        <v>105000</v>
      </c>
      <c r="L322" t="s">
        <v>884</v>
      </c>
      <c r="M322" t="s">
        <v>881</v>
      </c>
      <c r="N322" t="s">
        <v>875</v>
      </c>
      <c r="O322" s="9">
        <v>45778</v>
      </c>
      <c r="P322" t="s">
        <v>877</v>
      </c>
      <c r="Q322">
        <v>75000</v>
      </c>
      <c r="R322" t="s">
        <v>816</v>
      </c>
      <c r="S322" t="s">
        <v>739</v>
      </c>
      <c r="T322" t="s">
        <v>740</v>
      </c>
      <c r="U322" t="s">
        <v>719</v>
      </c>
      <c r="V322" t="s">
        <v>23</v>
      </c>
      <c r="W322" t="s">
        <v>56</v>
      </c>
      <c r="X322" t="s">
        <v>9</v>
      </c>
    </row>
    <row r="323" spans="1:24">
      <c r="A323" t="s">
        <v>1175</v>
      </c>
      <c r="B323" s="8">
        <v>45665</v>
      </c>
      <c r="C323" t="s">
        <v>468</v>
      </c>
      <c r="D323" t="s">
        <v>781</v>
      </c>
      <c r="E323">
        <v>1</v>
      </c>
      <c r="F323">
        <v>50000</v>
      </c>
      <c r="G323">
        <v>50000</v>
      </c>
      <c r="H323" t="s">
        <v>872</v>
      </c>
      <c r="I323">
        <v>0</v>
      </c>
      <c r="J323">
        <v>20000</v>
      </c>
      <c r="K323">
        <v>70000</v>
      </c>
      <c r="L323" t="s">
        <v>889</v>
      </c>
      <c r="M323" t="s">
        <v>881</v>
      </c>
      <c r="N323" t="s">
        <v>875</v>
      </c>
      <c r="O323" s="9">
        <v>45658</v>
      </c>
      <c r="P323" t="s">
        <v>877</v>
      </c>
      <c r="Q323">
        <v>50000</v>
      </c>
      <c r="R323" t="s">
        <v>782</v>
      </c>
      <c r="S323" t="s">
        <v>743</v>
      </c>
      <c r="T323" t="s">
        <v>744</v>
      </c>
      <c r="U323" t="s">
        <v>469</v>
      </c>
      <c r="V323" t="s">
        <v>23</v>
      </c>
      <c r="W323" t="s">
        <v>12</v>
      </c>
      <c r="X323" t="s">
        <v>24</v>
      </c>
    </row>
    <row r="324" spans="1:24">
      <c r="A324" t="s">
        <v>1124</v>
      </c>
      <c r="B324" s="8">
        <v>45765</v>
      </c>
      <c r="C324" t="s">
        <v>594</v>
      </c>
      <c r="D324" t="s">
        <v>733</v>
      </c>
      <c r="E324">
        <v>1</v>
      </c>
      <c r="F324">
        <v>150000</v>
      </c>
      <c r="G324">
        <v>150000</v>
      </c>
      <c r="H324" t="s">
        <v>872</v>
      </c>
      <c r="I324">
        <v>0</v>
      </c>
      <c r="J324">
        <v>20000</v>
      </c>
      <c r="K324">
        <v>170000</v>
      </c>
      <c r="L324" t="s">
        <v>880</v>
      </c>
      <c r="M324" t="s">
        <v>881</v>
      </c>
      <c r="N324" t="s">
        <v>905</v>
      </c>
      <c r="O324" s="9">
        <v>45748</v>
      </c>
      <c r="P324" t="s">
        <v>892</v>
      </c>
      <c r="Q324">
        <v>150000</v>
      </c>
      <c r="R324" t="s">
        <v>734</v>
      </c>
      <c r="S324" t="s">
        <v>735</v>
      </c>
      <c r="T324" t="s">
        <v>736</v>
      </c>
      <c r="U324" t="s">
        <v>595</v>
      </c>
      <c r="V324" t="s">
        <v>23</v>
      </c>
      <c r="W324" t="s">
        <v>51</v>
      </c>
      <c r="X324" t="s">
        <v>9</v>
      </c>
    </row>
    <row r="325" spans="1:24">
      <c r="A325" t="s">
        <v>1171</v>
      </c>
      <c r="B325" s="8">
        <v>45828</v>
      </c>
      <c r="C325" t="s">
        <v>474</v>
      </c>
      <c r="D325" t="s">
        <v>851</v>
      </c>
      <c r="E325">
        <v>2</v>
      </c>
      <c r="F325">
        <v>35000</v>
      </c>
      <c r="G325">
        <v>70000</v>
      </c>
      <c r="H325" t="s">
        <v>895</v>
      </c>
      <c r="I325">
        <v>10500</v>
      </c>
      <c r="J325">
        <v>10000</v>
      </c>
      <c r="K325">
        <v>69500</v>
      </c>
      <c r="L325" t="s">
        <v>873</v>
      </c>
      <c r="M325" t="s">
        <v>881</v>
      </c>
      <c r="N325" t="s">
        <v>875</v>
      </c>
      <c r="O325" s="9">
        <v>45809</v>
      </c>
      <c r="P325" t="s">
        <v>877</v>
      </c>
      <c r="Q325">
        <v>59500</v>
      </c>
      <c r="R325" t="s">
        <v>852</v>
      </c>
      <c r="S325" t="s">
        <v>739</v>
      </c>
      <c r="T325" t="s">
        <v>740</v>
      </c>
      <c r="U325" t="s">
        <v>475</v>
      </c>
      <c r="V325" t="s">
        <v>7</v>
      </c>
      <c r="W325" t="s">
        <v>46</v>
      </c>
      <c r="X325" t="s">
        <v>9</v>
      </c>
    </row>
    <row r="326" spans="1:24">
      <c r="A326" t="s">
        <v>1148</v>
      </c>
      <c r="B326" s="8">
        <v>45798</v>
      </c>
      <c r="C326" t="s">
        <v>482</v>
      </c>
      <c r="D326" t="s">
        <v>751</v>
      </c>
      <c r="E326">
        <v>2</v>
      </c>
      <c r="F326">
        <v>150000</v>
      </c>
      <c r="G326">
        <v>300000</v>
      </c>
      <c r="H326" t="s">
        <v>883</v>
      </c>
      <c r="I326">
        <v>30000</v>
      </c>
      <c r="J326">
        <v>15000</v>
      </c>
      <c r="K326">
        <v>285000</v>
      </c>
      <c r="L326" t="s">
        <v>880</v>
      </c>
      <c r="M326" t="s">
        <v>901</v>
      </c>
      <c r="N326" t="s">
        <v>905</v>
      </c>
      <c r="O326" s="9">
        <v>45778</v>
      </c>
      <c r="P326" t="s">
        <v>892</v>
      </c>
      <c r="Q326">
        <v>270000</v>
      </c>
      <c r="R326" t="s">
        <v>752</v>
      </c>
      <c r="S326" t="s">
        <v>731</v>
      </c>
      <c r="T326" t="s">
        <v>732</v>
      </c>
      <c r="U326" t="s">
        <v>483</v>
      </c>
      <c r="V326" t="s">
        <v>7</v>
      </c>
      <c r="W326" t="s">
        <v>39</v>
      </c>
      <c r="X326" t="s">
        <v>15</v>
      </c>
    </row>
    <row r="327" spans="1:24">
      <c r="A327" t="s">
        <v>1178</v>
      </c>
      <c r="B327" s="8">
        <v>45679</v>
      </c>
      <c r="C327" t="s">
        <v>484</v>
      </c>
      <c r="D327" t="s">
        <v>769</v>
      </c>
      <c r="E327">
        <v>1</v>
      </c>
      <c r="F327">
        <v>100000</v>
      </c>
      <c r="G327">
        <v>100000</v>
      </c>
      <c r="H327" t="s">
        <v>886</v>
      </c>
      <c r="I327">
        <v>10000</v>
      </c>
      <c r="J327">
        <v>15000</v>
      </c>
      <c r="K327">
        <v>105000</v>
      </c>
      <c r="L327" t="s">
        <v>873</v>
      </c>
      <c r="M327" t="s">
        <v>901</v>
      </c>
      <c r="N327" t="s">
        <v>890</v>
      </c>
      <c r="O327" s="9">
        <v>45658</v>
      </c>
      <c r="P327" t="s">
        <v>892</v>
      </c>
      <c r="Q327">
        <v>90000</v>
      </c>
      <c r="R327" t="s">
        <v>770</v>
      </c>
      <c r="S327" t="s">
        <v>743</v>
      </c>
      <c r="T327" t="s">
        <v>744</v>
      </c>
      <c r="U327" t="s">
        <v>485</v>
      </c>
      <c r="V327" t="s">
        <v>7</v>
      </c>
      <c r="W327" t="s">
        <v>8</v>
      </c>
      <c r="X327" t="s">
        <v>9</v>
      </c>
    </row>
    <row r="328" spans="1:24">
      <c r="A328" t="s">
        <v>1133</v>
      </c>
      <c r="B328" s="8">
        <v>45822</v>
      </c>
      <c r="C328" t="s">
        <v>628</v>
      </c>
      <c r="D328" t="s">
        <v>761</v>
      </c>
      <c r="E328">
        <v>1</v>
      </c>
      <c r="F328">
        <v>75000</v>
      </c>
      <c r="G328">
        <v>75000</v>
      </c>
      <c r="H328" t="s">
        <v>872</v>
      </c>
      <c r="I328">
        <v>0</v>
      </c>
      <c r="J328">
        <v>15000</v>
      </c>
      <c r="K328">
        <v>90000</v>
      </c>
      <c r="L328" t="s">
        <v>889</v>
      </c>
      <c r="M328" t="s">
        <v>881</v>
      </c>
      <c r="N328" t="s">
        <v>875</v>
      </c>
      <c r="O328" s="9">
        <v>45809</v>
      </c>
      <c r="P328" t="s">
        <v>877</v>
      </c>
      <c r="Q328">
        <v>75000</v>
      </c>
      <c r="R328" t="s">
        <v>762</v>
      </c>
      <c r="S328" t="s">
        <v>727</v>
      </c>
      <c r="T328" t="s">
        <v>728</v>
      </c>
      <c r="U328" t="s">
        <v>629</v>
      </c>
      <c r="V328" t="s">
        <v>7</v>
      </c>
      <c r="W328" t="s">
        <v>36</v>
      </c>
      <c r="X328" t="s">
        <v>9</v>
      </c>
    </row>
    <row r="329" spans="1:24">
      <c r="A329" t="s">
        <v>1136</v>
      </c>
      <c r="B329" s="8">
        <v>45796</v>
      </c>
      <c r="C329" t="s">
        <v>564</v>
      </c>
      <c r="D329" t="s">
        <v>805</v>
      </c>
      <c r="E329">
        <v>2</v>
      </c>
      <c r="F329">
        <v>200000</v>
      </c>
      <c r="G329">
        <v>400000</v>
      </c>
      <c r="H329" t="s">
        <v>886</v>
      </c>
      <c r="I329">
        <v>40000</v>
      </c>
      <c r="J329">
        <v>30000</v>
      </c>
      <c r="K329">
        <v>390000</v>
      </c>
      <c r="L329" t="s">
        <v>884</v>
      </c>
      <c r="M329" t="s">
        <v>874</v>
      </c>
      <c r="N329" t="s">
        <v>875</v>
      </c>
      <c r="O329" s="9">
        <v>45778</v>
      </c>
      <c r="P329" t="s">
        <v>877</v>
      </c>
      <c r="Q329">
        <v>360000</v>
      </c>
      <c r="R329" t="s">
        <v>806</v>
      </c>
      <c r="S329" t="s">
        <v>743</v>
      </c>
      <c r="T329" t="s">
        <v>744</v>
      </c>
      <c r="U329" t="s">
        <v>565</v>
      </c>
      <c r="V329" t="s">
        <v>23</v>
      </c>
      <c r="W329" t="s">
        <v>46</v>
      </c>
      <c r="X329" t="s">
        <v>15</v>
      </c>
    </row>
    <row r="330" spans="1:24">
      <c r="A330" t="s">
        <v>1138</v>
      </c>
      <c r="B330" s="8">
        <v>45774</v>
      </c>
      <c r="C330" t="s">
        <v>552</v>
      </c>
      <c r="D330" t="s">
        <v>843</v>
      </c>
      <c r="E330">
        <v>2</v>
      </c>
      <c r="F330">
        <v>100000</v>
      </c>
      <c r="G330">
        <v>200000</v>
      </c>
      <c r="H330" t="s">
        <v>895</v>
      </c>
      <c r="I330">
        <v>30000</v>
      </c>
      <c r="J330">
        <v>25000</v>
      </c>
      <c r="K330">
        <v>195000</v>
      </c>
      <c r="L330" t="s">
        <v>889</v>
      </c>
      <c r="M330" t="s">
        <v>903</v>
      </c>
      <c r="N330" t="s">
        <v>875</v>
      </c>
      <c r="O330" s="9">
        <v>45748</v>
      </c>
      <c r="P330" t="s">
        <v>877</v>
      </c>
      <c r="Q330">
        <v>170000</v>
      </c>
      <c r="R330" t="s">
        <v>844</v>
      </c>
      <c r="S330" t="s">
        <v>747</v>
      </c>
      <c r="T330" t="s">
        <v>748</v>
      </c>
      <c r="U330" t="s">
        <v>553</v>
      </c>
      <c r="V330" t="s">
        <v>7</v>
      </c>
      <c r="W330" t="s">
        <v>46</v>
      </c>
      <c r="X330" t="s">
        <v>24</v>
      </c>
    </row>
    <row r="331" spans="1:24">
      <c r="A331" t="s">
        <v>1181</v>
      </c>
      <c r="B331" s="8">
        <v>45831</v>
      </c>
      <c r="C331" t="s">
        <v>502</v>
      </c>
      <c r="D331" t="s">
        <v>787</v>
      </c>
      <c r="E331">
        <v>1</v>
      </c>
      <c r="F331">
        <v>200000</v>
      </c>
      <c r="G331">
        <v>200000</v>
      </c>
      <c r="H331" t="s">
        <v>872</v>
      </c>
      <c r="I331">
        <v>0</v>
      </c>
      <c r="J331">
        <v>10000</v>
      </c>
      <c r="K331">
        <v>210000</v>
      </c>
      <c r="L331" t="s">
        <v>884</v>
      </c>
      <c r="M331" t="s">
        <v>901</v>
      </c>
      <c r="N331" t="s">
        <v>911</v>
      </c>
      <c r="O331" s="9">
        <v>45809</v>
      </c>
      <c r="P331" t="s">
        <v>892</v>
      </c>
      <c r="Q331">
        <v>200000</v>
      </c>
      <c r="R331" t="s">
        <v>788</v>
      </c>
      <c r="S331" t="s">
        <v>731</v>
      </c>
      <c r="T331" t="s">
        <v>732</v>
      </c>
      <c r="U331" t="s">
        <v>503</v>
      </c>
      <c r="V331" t="s">
        <v>7</v>
      </c>
      <c r="W331" t="s">
        <v>56</v>
      </c>
      <c r="X331" t="s">
        <v>24</v>
      </c>
    </row>
    <row r="332" spans="1:24">
      <c r="A332" t="s">
        <v>1242</v>
      </c>
      <c r="B332" s="8">
        <v>45823</v>
      </c>
      <c r="C332" t="s">
        <v>502</v>
      </c>
      <c r="D332" t="s">
        <v>849</v>
      </c>
      <c r="E332">
        <v>1</v>
      </c>
      <c r="F332">
        <v>500000</v>
      </c>
      <c r="G332">
        <v>500000</v>
      </c>
      <c r="H332" t="s">
        <v>872</v>
      </c>
      <c r="I332">
        <v>0</v>
      </c>
      <c r="J332">
        <v>15000</v>
      </c>
      <c r="K332">
        <v>515000</v>
      </c>
      <c r="L332" t="s">
        <v>889</v>
      </c>
      <c r="M332" t="s">
        <v>901</v>
      </c>
      <c r="N332" t="s">
        <v>911</v>
      </c>
      <c r="O332" s="9">
        <v>45809</v>
      </c>
      <c r="P332" t="s">
        <v>892</v>
      </c>
      <c r="Q332">
        <v>500000</v>
      </c>
      <c r="R332" t="s">
        <v>850</v>
      </c>
      <c r="S332" t="s">
        <v>735</v>
      </c>
      <c r="T332" t="s">
        <v>736</v>
      </c>
      <c r="U332" t="s">
        <v>503</v>
      </c>
      <c r="V332" t="s">
        <v>7</v>
      </c>
      <c r="W332" t="s">
        <v>56</v>
      </c>
      <c r="X332" t="s">
        <v>24</v>
      </c>
    </row>
    <row r="333" spans="1:24">
      <c r="A333" t="s">
        <v>1232</v>
      </c>
      <c r="B333" s="8">
        <v>45820</v>
      </c>
      <c r="C333" t="s">
        <v>506</v>
      </c>
      <c r="D333" t="s">
        <v>853</v>
      </c>
      <c r="E333">
        <v>2</v>
      </c>
      <c r="F333">
        <v>75000</v>
      </c>
      <c r="G333">
        <v>150000</v>
      </c>
      <c r="H333" t="s">
        <v>883</v>
      </c>
      <c r="I333">
        <v>15000</v>
      </c>
      <c r="J333">
        <v>20000</v>
      </c>
      <c r="K333">
        <v>155000</v>
      </c>
      <c r="L333" t="s">
        <v>884</v>
      </c>
      <c r="M333" t="s">
        <v>881</v>
      </c>
      <c r="N333" t="s">
        <v>911</v>
      </c>
      <c r="O333" s="9">
        <v>45809</v>
      </c>
      <c r="P333" t="s">
        <v>892</v>
      </c>
      <c r="Q333">
        <v>135000</v>
      </c>
      <c r="R333" t="s">
        <v>854</v>
      </c>
      <c r="S333" t="s">
        <v>743</v>
      </c>
      <c r="T333" t="s">
        <v>744</v>
      </c>
      <c r="U333" t="s">
        <v>507</v>
      </c>
      <c r="V333" t="s">
        <v>23</v>
      </c>
      <c r="W333" t="s">
        <v>12</v>
      </c>
      <c r="X333" t="s">
        <v>9</v>
      </c>
    </row>
    <row r="334" spans="1:24">
      <c r="A334" t="s">
        <v>1212</v>
      </c>
      <c r="B334" s="8">
        <v>45709</v>
      </c>
      <c r="C334" t="s">
        <v>508</v>
      </c>
      <c r="D334" t="s">
        <v>733</v>
      </c>
      <c r="E334">
        <v>1</v>
      </c>
      <c r="F334">
        <v>150000</v>
      </c>
      <c r="G334">
        <v>150000</v>
      </c>
      <c r="H334" t="s">
        <v>872</v>
      </c>
      <c r="I334">
        <v>0</v>
      </c>
      <c r="J334">
        <v>10000</v>
      </c>
      <c r="K334">
        <v>160000</v>
      </c>
      <c r="L334" t="s">
        <v>873</v>
      </c>
      <c r="M334" t="s">
        <v>881</v>
      </c>
      <c r="N334" t="s">
        <v>890</v>
      </c>
      <c r="O334" s="9">
        <v>45689</v>
      </c>
      <c r="P334" t="s">
        <v>892</v>
      </c>
      <c r="Q334">
        <v>150000</v>
      </c>
      <c r="R334" t="s">
        <v>734</v>
      </c>
      <c r="S334" t="s">
        <v>735</v>
      </c>
      <c r="T334" t="s">
        <v>736</v>
      </c>
      <c r="U334" t="s">
        <v>509</v>
      </c>
      <c r="V334" t="s">
        <v>23</v>
      </c>
      <c r="W334" t="s">
        <v>8</v>
      </c>
      <c r="X334" t="s">
        <v>9</v>
      </c>
    </row>
    <row r="335" spans="1:24">
      <c r="A335" t="s">
        <v>1147</v>
      </c>
      <c r="B335" s="8">
        <v>45770</v>
      </c>
      <c r="C335" t="s">
        <v>672</v>
      </c>
      <c r="D335" t="s">
        <v>795</v>
      </c>
      <c r="E335">
        <v>4</v>
      </c>
      <c r="F335">
        <v>100000</v>
      </c>
      <c r="G335">
        <v>400000</v>
      </c>
      <c r="H335" t="s">
        <v>895</v>
      </c>
      <c r="I335">
        <v>60000</v>
      </c>
      <c r="J335">
        <v>30000</v>
      </c>
      <c r="K335">
        <v>370000</v>
      </c>
      <c r="L335" t="s">
        <v>884</v>
      </c>
      <c r="M335" t="s">
        <v>901</v>
      </c>
      <c r="N335" t="s">
        <v>875</v>
      </c>
      <c r="O335" s="9">
        <v>45748</v>
      </c>
      <c r="P335" t="s">
        <v>877</v>
      </c>
      <c r="Q335">
        <v>340000</v>
      </c>
      <c r="R335" t="s">
        <v>796</v>
      </c>
      <c r="S335" t="s">
        <v>747</v>
      </c>
      <c r="T335" t="s">
        <v>748</v>
      </c>
      <c r="U335" t="s">
        <v>673</v>
      </c>
      <c r="V335" t="s">
        <v>7</v>
      </c>
      <c r="W335" t="s">
        <v>51</v>
      </c>
      <c r="X335" t="s">
        <v>9</v>
      </c>
    </row>
    <row r="336" spans="1:24">
      <c r="A336" t="s">
        <v>1190</v>
      </c>
      <c r="B336" s="8">
        <v>45813</v>
      </c>
      <c r="C336" t="s">
        <v>528</v>
      </c>
      <c r="D336" t="s">
        <v>821</v>
      </c>
      <c r="E336">
        <v>2</v>
      </c>
      <c r="F336">
        <v>50000</v>
      </c>
      <c r="G336">
        <v>100000</v>
      </c>
      <c r="H336" t="s">
        <v>886</v>
      </c>
      <c r="I336">
        <v>10000</v>
      </c>
      <c r="J336">
        <v>20000</v>
      </c>
      <c r="K336">
        <v>110000</v>
      </c>
      <c r="L336" t="s">
        <v>884</v>
      </c>
      <c r="M336" t="s">
        <v>903</v>
      </c>
      <c r="N336" t="s">
        <v>875</v>
      </c>
      <c r="O336" s="9">
        <v>45809</v>
      </c>
      <c r="P336" t="s">
        <v>877</v>
      </c>
      <c r="Q336">
        <v>90000</v>
      </c>
      <c r="R336" t="s">
        <v>822</v>
      </c>
      <c r="S336" t="s">
        <v>727</v>
      </c>
      <c r="T336" t="s">
        <v>728</v>
      </c>
      <c r="U336" t="s">
        <v>529</v>
      </c>
      <c r="V336" t="s">
        <v>7</v>
      </c>
      <c r="W336" t="s">
        <v>12</v>
      </c>
      <c r="X336" t="s">
        <v>9</v>
      </c>
    </row>
    <row r="337" spans="1:24">
      <c r="A337" t="s">
        <v>1228</v>
      </c>
      <c r="B337" s="8">
        <v>45716</v>
      </c>
      <c r="C337" t="s">
        <v>534</v>
      </c>
      <c r="D337" t="s">
        <v>793</v>
      </c>
      <c r="E337">
        <v>2</v>
      </c>
      <c r="F337">
        <v>500000</v>
      </c>
      <c r="G337">
        <v>1000000</v>
      </c>
      <c r="H337" t="s">
        <v>886</v>
      </c>
      <c r="I337">
        <v>100000</v>
      </c>
      <c r="J337">
        <v>20000</v>
      </c>
      <c r="K337">
        <v>920000</v>
      </c>
      <c r="L337" t="s">
        <v>889</v>
      </c>
      <c r="M337" t="s">
        <v>903</v>
      </c>
      <c r="N337" t="s">
        <v>911</v>
      </c>
      <c r="O337" s="9">
        <v>45689</v>
      </c>
      <c r="P337" t="s">
        <v>892</v>
      </c>
      <c r="Q337">
        <v>900000</v>
      </c>
      <c r="R337" t="s">
        <v>794</v>
      </c>
      <c r="S337" t="s">
        <v>743</v>
      </c>
      <c r="T337" t="s">
        <v>744</v>
      </c>
      <c r="U337" t="s">
        <v>535</v>
      </c>
      <c r="V337" t="s">
        <v>7</v>
      </c>
      <c r="W337" t="s">
        <v>56</v>
      </c>
      <c r="X337" t="s">
        <v>9</v>
      </c>
    </row>
    <row r="338" spans="1:24">
      <c r="A338" t="s">
        <v>1157</v>
      </c>
      <c r="B338" s="8">
        <v>45776</v>
      </c>
      <c r="C338" t="s">
        <v>598</v>
      </c>
      <c r="D338" t="s">
        <v>771</v>
      </c>
      <c r="E338">
        <v>1</v>
      </c>
      <c r="F338">
        <v>500000</v>
      </c>
      <c r="G338">
        <v>500000</v>
      </c>
      <c r="H338" t="s">
        <v>872</v>
      </c>
      <c r="I338">
        <v>0</v>
      </c>
      <c r="J338">
        <v>10000</v>
      </c>
      <c r="K338">
        <v>510000</v>
      </c>
      <c r="L338" t="s">
        <v>884</v>
      </c>
      <c r="M338" t="s">
        <v>901</v>
      </c>
      <c r="N338" t="s">
        <v>890</v>
      </c>
      <c r="O338" s="9">
        <v>45748</v>
      </c>
      <c r="P338" t="s">
        <v>892</v>
      </c>
      <c r="Q338">
        <v>500000</v>
      </c>
      <c r="R338" t="s">
        <v>772</v>
      </c>
      <c r="S338" t="s">
        <v>747</v>
      </c>
      <c r="T338" t="s">
        <v>748</v>
      </c>
      <c r="U338" t="s">
        <v>599</v>
      </c>
      <c r="V338" t="s">
        <v>7</v>
      </c>
      <c r="W338" t="s">
        <v>12</v>
      </c>
      <c r="X338" t="s">
        <v>9</v>
      </c>
    </row>
    <row r="339" spans="1:24">
      <c r="A339" t="s">
        <v>1235</v>
      </c>
      <c r="B339" s="8">
        <v>45833</v>
      </c>
      <c r="C339" t="s">
        <v>598</v>
      </c>
      <c r="D339" t="s">
        <v>815</v>
      </c>
      <c r="E339">
        <v>1</v>
      </c>
      <c r="F339">
        <v>75000</v>
      </c>
      <c r="G339">
        <v>75000</v>
      </c>
      <c r="H339" t="s">
        <v>886</v>
      </c>
      <c r="I339">
        <v>7500</v>
      </c>
      <c r="J339">
        <v>15000</v>
      </c>
      <c r="K339">
        <v>82500</v>
      </c>
      <c r="L339" t="s">
        <v>873</v>
      </c>
      <c r="M339" t="s">
        <v>903</v>
      </c>
      <c r="N339" t="s">
        <v>875</v>
      </c>
      <c r="O339" s="9">
        <v>45809</v>
      </c>
      <c r="P339" t="s">
        <v>877</v>
      </c>
      <c r="Q339">
        <v>67500</v>
      </c>
      <c r="R339" t="s">
        <v>816</v>
      </c>
      <c r="S339" t="s">
        <v>739</v>
      </c>
      <c r="T339" t="s">
        <v>740</v>
      </c>
      <c r="U339" t="s">
        <v>599</v>
      </c>
      <c r="V339" t="s">
        <v>7</v>
      </c>
      <c r="W339" t="s">
        <v>12</v>
      </c>
      <c r="X339" t="s">
        <v>9</v>
      </c>
    </row>
    <row r="340" spans="1:24">
      <c r="A340" t="s">
        <v>1159</v>
      </c>
      <c r="B340" s="8">
        <v>45829</v>
      </c>
      <c r="C340" t="s">
        <v>658</v>
      </c>
      <c r="D340" t="s">
        <v>793</v>
      </c>
      <c r="E340">
        <v>2</v>
      </c>
      <c r="F340">
        <v>500000</v>
      </c>
      <c r="G340">
        <v>1000000</v>
      </c>
      <c r="H340" t="s">
        <v>886</v>
      </c>
      <c r="I340">
        <v>100000</v>
      </c>
      <c r="J340">
        <v>15000</v>
      </c>
      <c r="K340">
        <v>915000</v>
      </c>
      <c r="L340" t="s">
        <v>884</v>
      </c>
      <c r="M340" t="s">
        <v>881</v>
      </c>
      <c r="N340" t="s">
        <v>875</v>
      </c>
      <c r="O340" s="9">
        <v>45809</v>
      </c>
      <c r="P340" t="s">
        <v>877</v>
      </c>
      <c r="Q340">
        <v>900000</v>
      </c>
      <c r="R340" t="s">
        <v>794</v>
      </c>
      <c r="S340" t="s">
        <v>743</v>
      </c>
      <c r="T340" t="s">
        <v>744</v>
      </c>
      <c r="U340" t="s">
        <v>659</v>
      </c>
      <c r="V340" t="s">
        <v>7</v>
      </c>
      <c r="W340" t="s">
        <v>12</v>
      </c>
      <c r="X340" t="s">
        <v>24</v>
      </c>
    </row>
    <row r="341" spans="1:24">
      <c r="A341" t="s">
        <v>1164</v>
      </c>
      <c r="B341" s="8">
        <v>45758</v>
      </c>
      <c r="C341" t="s">
        <v>626</v>
      </c>
      <c r="D341" t="s">
        <v>813</v>
      </c>
      <c r="E341">
        <v>2</v>
      </c>
      <c r="F341">
        <v>35000</v>
      </c>
      <c r="G341">
        <v>70000</v>
      </c>
      <c r="H341" t="s">
        <v>872</v>
      </c>
      <c r="I341">
        <v>0</v>
      </c>
      <c r="J341">
        <v>20000</v>
      </c>
      <c r="K341">
        <v>90000</v>
      </c>
      <c r="L341" t="s">
        <v>884</v>
      </c>
      <c r="M341" t="s">
        <v>874</v>
      </c>
      <c r="N341" t="s">
        <v>905</v>
      </c>
      <c r="O341" s="9">
        <v>45748</v>
      </c>
      <c r="P341" t="s">
        <v>892</v>
      </c>
      <c r="Q341">
        <v>70000</v>
      </c>
      <c r="R341" t="s">
        <v>814</v>
      </c>
      <c r="S341" t="s">
        <v>735</v>
      </c>
      <c r="T341" t="s">
        <v>736</v>
      </c>
      <c r="U341" t="s">
        <v>627</v>
      </c>
      <c r="V341" t="s">
        <v>23</v>
      </c>
      <c r="W341" t="s">
        <v>12</v>
      </c>
      <c r="X341" t="s">
        <v>15</v>
      </c>
    </row>
    <row r="342" spans="1:24">
      <c r="A342" t="s">
        <v>1236</v>
      </c>
      <c r="B342" s="8">
        <v>45751</v>
      </c>
      <c r="C342" t="s">
        <v>626</v>
      </c>
      <c r="D342" t="s">
        <v>845</v>
      </c>
      <c r="E342">
        <v>1</v>
      </c>
      <c r="F342">
        <v>300000</v>
      </c>
      <c r="G342">
        <v>300000</v>
      </c>
      <c r="H342" t="s">
        <v>879</v>
      </c>
      <c r="I342">
        <v>60000</v>
      </c>
      <c r="J342">
        <v>30000</v>
      </c>
      <c r="K342">
        <v>270000</v>
      </c>
      <c r="L342" t="s">
        <v>884</v>
      </c>
      <c r="M342" t="s">
        <v>874</v>
      </c>
      <c r="N342" t="s">
        <v>911</v>
      </c>
      <c r="O342" s="9">
        <v>45748</v>
      </c>
      <c r="P342" t="s">
        <v>892</v>
      </c>
      <c r="Q342">
        <v>240000</v>
      </c>
      <c r="R342" t="s">
        <v>846</v>
      </c>
      <c r="S342" t="s">
        <v>727</v>
      </c>
      <c r="T342" t="s">
        <v>728</v>
      </c>
      <c r="U342" t="s">
        <v>627</v>
      </c>
      <c r="V342" t="s">
        <v>23</v>
      </c>
      <c r="W342" t="s">
        <v>12</v>
      </c>
      <c r="X342" t="s">
        <v>15</v>
      </c>
    </row>
    <row r="343" spans="1:24">
      <c r="A343" t="s">
        <v>1210</v>
      </c>
      <c r="B343" s="8">
        <v>45761</v>
      </c>
      <c r="C343" t="s">
        <v>560</v>
      </c>
      <c r="D343" t="s">
        <v>799</v>
      </c>
      <c r="E343">
        <v>4</v>
      </c>
      <c r="F343">
        <v>35000</v>
      </c>
      <c r="G343">
        <v>140000</v>
      </c>
      <c r="H343" t="s">
        <v>872</v>
      </c>
      <c r="I343">
        <v>0</v>
      </c>
      <c r="J343">
        <v>30000</v>
      </c>
      <c r="K343">
        <v>170000</v>
      </c>
      <c r="L343" t="s">
        <v>880</v>
      </c>
      <c r="M343" t="s">
        <v>881</v>
      </c>
      <c r="N343" t="s">
        <v>875</v>
      </c>
      <c r="O343" s="9">
        <v>45748</v>
      </c>
      <c r="P343" t="s">
        <v>877</v>
      </c>
      <c r="Q343">
        <v>140000</v>
      </c>
      <c r="R343" t="s">
        <v>800</v>
      </c>
      <c r="S343" t="s">
        <v>731</v>
      </c>
      <c r="T343" t="s">
        <v>732</v>
      </c>
      <c r="U343" t="s">
        <v>561</v>
      </c>
      <c r="V343" t="s">
        <v>7</v>
      </c>
      <c r="W343" t="s">
        <v>12</v>
      </c>
      <c r="X343" t="s">
        <v>24</v>
      </c>
    </row>
    <row r="344" spans="1:24">
      <c r="A344" t="s">
        <v>1213</v>
      </c>
      <c r="B344" s="8">
        <v>45738</v>
      </c>
      <c r="C344" t="s">
        <v>560</v>
      </c>
      <c r="D344" t="s">
        <v>807</v>
      </c>
      <c r="E344">
        <v>2</v>
      </c>
      <c r="F344">
        <v>150000</v>
      </c>
      <c r="G344">
        <v>300000</v>
      </c>
      <c r="H344" t="s">
        <v>872</v>
      </c>
      <c r="I344">
        <v>0</v>
      </c>
      <c r="J344">
        <v>15000</v>
      </c>
      <c r="K344">
        <v>315000</v>
      </c>
      <c r="L344" t="s">
        <v>889</v>
      </c>
      <c r="M344" t="s">
        <v>874</v>
      </c>
      <c r="N344" t="s">
        <v>875</v>
      </c>
      <c r="O344" s="9">
        <v>45717</v>
      </c>
      <c r="P344" t="s">
        <v>877</v>
      </c>
      <c r="Q344">
        <v>300000</v>
      </c>
      <c r="R344" t="s">
        <v>808</v>
      </c>
      <c r="S344" t="s">
        <v>747</v>
      </c>
      <c r="T344" t="s">
        <v>748</v>
      </c>
      <c r="U344" t="s">
        <v>561</v>
      </c>
      <c r="V344" t="s">
        <v>7</v>
      </c>
      <c r="W344" t="s">
        <v>12</v>
      </c>
      <c r="X344" t="s">
        <v>24</v>
      </c>
    </row>
    <row r="345" spans="1:24">
      <c r="A345" t="s">
        <v>1197</v>
      </c>
      <c r="B345" s="8">
        <v>45733</v>
      </c>
      <c r="C345" t="s">
        <v>582</v>
      </c>
      <c r="D345" t="s">
        <v>837</v>
      </c>
      <c r="E345">
        <v>1</v>
      </c>
      <c r="F345">
        <v>300000</v>
      </c>
      <c r="G345">
        <v>300000</v>
      </c>
      <c r="H345" t="s">
        <v>879</v>
      </c>
      <c r="I345">
        <v>60000</v>
      </c>
      <c r="J345">
        <v>30000</v>
      </c>
      <c r="K345">
        <v>270000</v>
      </c>
      <c r="L345" t="s">
        <v>884</v>
      </c>
      <c r="M345" t="s">
        <v>881</v>
      </c>
      <c r="N345" t="s">
        <v>875</v>
      </c>
      <c r="O345" s="9">
        <v>45717</v>
      </c>
      <c r="P345" t="s">
        <v>877</v>
      </c>
      <c r="Q345">
        <v>240000</v>
      </c>
      <c r="R345" t="s">
        <v>838</v>
      </c>
      <c r="S345" t="s">
        <v>735</v>
      </c>
      <c r="T345" t="s">
        <v>736</v>
      </c>
      <c r="U345" t="s">
        <v>583</v>
      </c>
      <c r="V345" t="s">
        <v>23</v>
      </c>
      <c r="W345" t="s">
        <v>12</v>
      </c>
      <c r="X345" t="s">
        <v>15</v>
      </c>
    </row>
    <row r="346" spans="1:24">
      <c r="A346" t="s">
        <v>1179</v>
      </c>
      <c r="B346" s="8">
        <v>45702</v>
      </c>
      <c r="C346" t="s">
        <v>696</v>
      </c>
      <c r="D346" t="s">
        <v>757</v>
      </c>
      <c r="E346">
        <v>2</v>
      </c>
      <c r="F346">
        <v>75000</v>
      </c>
      <c r="G346">
        <v>150000</v>
      </c>
      <c r="H346" t="s">
        <v>872</v>
      </c>
      <c r="I346">
        <v>0</v>
      </c>
      <c r="J346">
        <v>20000</v>
      </c>
      <c r="K346">
        <v>170000</v>
      </c>
      <c r="L346" t="s">
        <v>873</v>
      </c>
      <c r="M346" t="s">
        <v>881</v>
      </c>
      <c r="N346" t="s">
        <v>905</v>
      </c>
      <c r="O346" s="9">
        <v>45689</v>
      </c>
      <c r="P346" t="s">
        <v>892</v>
      </c>
      <c r="Q346">
        <v>150000</v>
      </c>
      <c r="R346" t="s">
        <v>758</v>
      </c>
      <c r="S346" t="s">
        <v>743</v>
      </c>
      <c r="T346" t="s">
        <v>744</v>
      </c>
      <c r="U346" t="s">
        <v>697</v>
      </c>
      <c r="V346" t="s">
        <v>23</v>
      </c>
      <c r="W346" t="s">
        <v>8</v>
      </c>
      <c r="X346" t="s">
        <v>9</v>
      </c>
    </row>
    <row r="347" spans="1:24">
      <c r="A347" t="s">
        <v>1219</v>
      </c>
      <c r="B347" s="8">
        <v>45732</v>
      </c>
      <c r="C347" t="s">
        <v>584</v>
      </c>
      <c r="D347" t="s">
        <v>759</v>
      </c>
      <c r="E347">
        <v>1</v>
      </c>
      <c r="F347">
        <v>300000</v>
      </c>
      <c r="G347">
        <v>300000</v>
      </c>
      <c r="H347" t="s">
        <v>872</v>
      </c>
      <c r="I347">
        <v>0</v>
      </c>
      <c r="J347">
        <v>20000</v>
      </c>
      <c r="K347">
        <v>320000</v>
      </c>
      <c r="L347" t="s">
        <v>884</v>
      </c>
      <c r="M347" t="s">
        <v>874</v>
      </c>
      <c r="N347" t="s">
        <v>911</v>
      </c>
      <c r="O347" s="9">
        <v>45717</v>
      </c>
      <c r="P347" t="s">
        <v>892</v>
      </c>
      <c r="Q347">
        <v>300000</v>
      </c>
      <c r="R347" t="s">
        <v>760</v>
      </c>
      <c r="S347" t="s">
        <v>747</v>
      </c>
      <c r="T347" t="s">
        <v>748</v>
      </c>
      <c r="U347" t="s">
        <v>585</v>
      </c>
      <c r="V347" t="s">
        <v>7</v>
      </c>
      <c r="W347" t="s">
        <v>137</v>
      </c>
      <c r="X347" t="s">
        <v>9</v>
      </c>
    </row>
    <row r="348" spans="1:24">
      <c r="A348" t="s">
        <v>1187</v>
      </c>
      <c r="B348" s="8">
        <v>45765</v>
      </c>
      <c r="C348" t="s">
        <v>588</v>
      </c>
      <c r="D348" t="s">
        <v>853</v>
      </c>
      <c r="E348">
        <v>2</v>
      </c>
      <c r="F348">
        <v>75000</v>
      </c>
      <c r="G348">
        <v>150000</v>
      </c>
      <c r="H348" t="s">
        <v>879</v>
      </c>
      <c r="I348">
        <v>30000</v>
      </c>
      <c r="J348">
        <v>15000</v>
      </c>
      <c r="K348">
        <v>135000</v>
      </c>
      <c r="L348" t="s">
        <v>880</v>
      </c>
      <c r="M348" t="s">
        <v>901</v>
      </c>
      <c r="N348" t="s">
        <v>911</v>
      </c>
      <c r="O348" s="9">
        <v>45748</v>
      </c>
      <c r="P348" t="s">
        <v>892</v>
      </c>
      <c r="Q348">
        <v>120000</v>
      </c>
      <c r="R348" t="s">
        <v>854</v>
      </c>
      <c r="S348" t="s">
        <v>743</v>
      </c>
      <c r="T348" t="s">
        <v>744</v>
      </c>
      <c r="U348" t="s">
        <v>589</v>
      </c>
      <c r="V348" t="s">
        <v>7</v>
      </c>
      <c r="W348" t="s">
        <v>39</v>
      </c>
      <c r="X348" t="s">
        <v>9</v>
      </c>
    </row>
    <row r="349" spans="1:24">
      <c r="A349" t="s">
        <v>1205</v>
      </c>
      <c r="B349" s="8">
        <v>45798</v>
      </c>
      <c r="C349" t="s">
        <v>704</v>
      </c>
      <c r="D349" t="s">
        <v>851</v>
      </c>
      <c r="E349">
        <v>1</v>
      </c>
      <c r="F349">
        <v>35000</v>
      </c>
      <c r="G349">
        <v>35000</v>
      </c>
      <c r="H349" t="s">
        <v>883</v>
      </c>
      <c r="I349">
        <v>3500</v>
      </c>
      <c r="J349">
        <v>10000</v>
      </c>
      <c r="K349">
        <v>41500</v>
      </c>
      <c r="L349" t="s">
        <v>880</v>
      </c>
      <c r="M349" t="s">
        <v>874</v>
      </c>
      <c r="N349" t="s">
        <v>911</v>
      </c>
      <c r="O349" s="9">
        <v>45778</v>
      </c>
      <c r="P349" t="s">
        <v>892</v>
      </c>
      <c r="Q349">
        <v>31500</v>
      </c>
      <c r="R349" t="s">
        <v>852</v>
      </c>
      <c r="S349" t="s">
        <v>739</v>
      </c>
      <c r="T349" t="s">
        <v>740</v>
      </c>
      <c r="U349" t="s">
        <v>705</v>
      </c>
      <c r="V349" t="s">
        <v>7</v>
      </c>
      <c r="W349" t="s">
        <v>12</v>
      </c>
      <c r="X349" t="s">
        <v>24</v>
      </c>
    </row>
    <row r="350" spans="1:24">
      <c r="A350" t="s">
        <v>1220</v>
      </c>
      <c r="B350" s="8">
        <v>45690</v>
      </c>
      <c r="C350" t="s">
        <v>654</v>
      </c>
      <c r="D350" t="s">
        <v>835</v>
      </c>
      <c r="E350">
        <v>1</v>
      </c>
      <c r="F350">
        <v>200000</v>
      </c>
      <c r="G350">
        <v>200000</v>
      </c>
      <c r="H350" t="s">
        <v>872</v>
      </c>
      <c r="I350">
        <v>0</v>
      </c>
      <c r="J350">
        <v>25000</v>
      </c>
      <c r="K350">
        <v>225000</v>
      </c>
      <c r="L350" t="s">
        <v>884</v>
      </c>
      <c r="M350" t="s">
        <v>903</v>
      </c>
      <c r="N350" t="s">
        <v>890</v>
      </c>
      <c r="O350" s="9">
        <v>45689</v>
      </c>
      <c r="P350" t="s">
        <v>892</v>
      </c>
      <c r="Q350">
        <v>200000</v>
      </c>
      <c r="R350" t="s">
        <v>836</v>
      </c>
      <c r="S350" t="s">
        <v>731</v>
      </c>
      <c r="T350" t="s">
        <v>732</v>
      </c>
      <c r="U350" t="s">
        <v>655</v>
      </c>
      <c r="V350" t="s">
        <v>7</v>
      </c>
      <c r="W350" t="s">
        <v>36</v>
      </c>
      <c r="X350" t="s">
        <v>24</v>
      </c>
    </row>
    <row r="351" spans="1:24">
      <c r="A351" t="s">
        <v>1237</v>
      </c>
      <c r="B351" s="8">
        <v>45831</v>
      </c>
      <c r="C351" t="s">
        <v>660</v>
      </c>
      <c r="D351" t="s">
        <v>845</v>
      </c>
      <c r="E351">
        <v>1</v>
      </c>
      <c r="F351">
        <v>300000</v>
      </c>
      <c r="G351">
        <v>300000</v>
      </c>
      <c r="H351" t="s">
        <v>872</v>
      </c>
      <c r="I351">
        <v>0</v>
      </c>
      <c r="J351">
        <v>30000</v>
      </c>
      <c r="K351">
        <v>330000</v>
      </c>
      <c r="L351" t="s">
        <v>889</v>
      </c>
      <c r="M351" t="s">
        <v>903</v>
      </c>
      <c r="N351" t="s">
        <v>875</v>
      </c>
      <c r="O351" s="9">
        <v>45809</v>
      </c>
      <c r="P351" t="s">
        <v>877</v>
      </c>
      <c r="Q351">
        <v>300000</v>
      </c>
      <c r="R351" t="s">
        <v>846</v>
      </c>
      <c r="S351" t="s">
        <v>727</v>
      </c>
      <c r="T351" t="s">
        <v>728</v>
      </c>
      <c r="U351" t="s">
        <v>661</v>
      </c>
      <c r="V351" t="s">
        <v>23</v>
      </c>
      <c r="W351" t="s">
        <v>56</v>
      </c>
      <c r="X351" t="s">
        <v>15</v>
      </c>
    </row>
    <row r="352" spans="1:24">
      <c r="A352" t="s">
        <v>1223</v>
      </c>
      <c r="B352" s="8">
        <v>45674</v>
      </c>
      <c r="C352" t="s">
        <v>662</v>
      </c>
      <c r="D352" t="s">
        <v>745</v>
      </c>
      <c r="E352">
        <v>1</v>
      </c>
      <c r="F352">
        <v>500000</v>
      </c>
      <c r="G352">
        <v>500000</v>
      </c>
      <c r="H352" t="s">
        <v>872</v>
      </c>
      <c r="I352">
        <v>0</v>
      </c>
      <c r="J352">
        <v>25000</v>
      </c>
      <c r="K352">
        <v>525000</v>
      </c>
      <c r="L352" t="s">
        <v>884</v>
      </c>
      <c r="M352" t="s">
        <v>901</v>
      </c>
      <c r="N352" t="s">
        <v>875</v>
      </c>
      <c r="O352" s="9">
        <v>45658</v>
      </c>
      <c r="P352" t="s">
        <v>877</v>
      </c>
      <c r="Q352">
        <v>500000</v>
      </c>
      <c r="R352" t="s">
        <v>746</v>
      </c>
      <c r="S352" t="s">
        <v>747</v>
      </c>
      <c r="T352" t="s">
        <v>748</v>
      </c>
      <c r="U352" t="s">
        <v>663</v>
      </c>
      <c r="V352" t="s">
        <v>23</v>
      </c>
      <c r="W352" t="s">
        <v>39</v>
      </c>
      <c r="X352" t="s">
        <v>15</v>
      </c>
    </row>
    <row r="353" spans="1:24">
      <c r="A353" t="s">
        <v>1248</v>
      </c>
      <c r="B353" s="8">
        <v>45815</v>
      </c>
      <c r="C353" t="s">
        <v>644</v>
      </c>
      <c r="D353" t="s">
        <v>779</v>
      </c>
      <c r="E353">
        <v>1</v>
      </c>
      <c r="F353">
        <v>150000</v>
      </c>
      <c r="G353">
        <v>150000</v>
      </c>
      <c r="H353" t="s">
        <v>895</v>
      </c>
      <c r="I353">
        <v>22500</v>
      </c>
      <c r="J353">
        <v>25000</v>
      </c>
      <c r="K353">
        <v>152500</v>
      </c>
      <c r="L353" t="s">
        <v>873</v>
      </c>
      <c r="M353" t="s">
        <v>901</v>
      </c>
      <c r="N353" t="s">
        <v>875</v>
      </c>
      <c r="O353" s="9">
        <v>45809</v>
      </c>
      <c r="P353" t="s">
        <v>877</v>
      </c>
      <c r="Q353">
        <v>127500</v>
      </c>
      <c r="R353" t="s">
        <v>780</v>
      </c>
      <c r="S353" t="s">
        <v>739</v>
      </c>
      <c r="T353" t="s">
        <v>740</v>
      </c>
      <c r="U353" t="s">
        <v>645</v>
      </c>
      <c r="V353" t="s">
        <v>23</v>
      </c>
      <c r="W353" t="s">
        <v>8</v>
      </c>
      <c r="X353" t="s">
        <v>24</v>
      </c>
    </row>
    <row r="354" spans="1:24">
      <c r="A354" t="s">
        <v>1249</v>
      </c>
      <c r="B354" s="8">
        <v>45769</v>
      </c>
      <c r="C354" t="s">
        <v>107</v>
      </c>
      <c r="D354" t="s">
        <v>769</v>
      </c>
      <c r="E354">
        <v>4</v>
      </c>
      <c r="F354">
        <v>100000</v>
      </c>
      <c r="G354">
        <v>400000</v>
      </c>
      <c r="H354" t="s">
        <v>895</v>
      </c>
      <c r="I354">
        <v>60000</v>
      </c>
      <c r="J354">
        <v>10000</v>
      </c>
      <c r="K354">
        <v>350000</v>
      </c>
      <c r="L354" t="s">
        <v>873</v>
      </c>
      <c r="M354" t="s">
        <v>903</v>
      </c>
      <c r="N354" t="s">
        <v>875</v>
      </c>
      <c r="O354" s="9">
        <v>45748</v>
      </c>
      <c r="P354" t="s">
        <v>877</v>
      </c>
      <c r="Q354">
        <v>340000</v>
      </c>
      <c r="R354" t="s">
        <v>770</v>
      </c>
      <c r="S354" t="s">
        <v>743</v>
      </c>
      <c r="T354" t="s">
        <v>744</v>
      </c>
      <c r="U354" t="s">
        <v>108</v>
      </c>
      <c r="V354" t="s">
        <v>23</v>
      </c>
      <c r="W354" t="s">
        <v>12</v>
      </c>
      <c r="X354" t="s">
        <v>24</v>
      </c>
    </row>
    <row r="355" spans="1:24">
      <c r="A355" t="s">
        <v>1250</v>
      </c>
      <c r="B355" s="8">
        <v>45815</v>
      </c>
      <c r="C355" t="s">
        <v>436</v>
      </c>
      <c r="D355" t="s">
        <v>821</v>
      </c>
      <c r="E355">
        <v>1</v>
      </c>
      <c r="F355">
        <v>50000</v>
      </c>
      <c r="G355">
        <v>50000</v>
      </c>
      <c r="H355" t="s">
        <v>872</v>
      </c>
      <c r="I355">
        <v>0</v>
      </c>
      <c r="J355">
        <v>25000</v>
      </c>
      <c r="K355">
        <v>75000</v>
      </c>
      <c r="L355" t="s">
        <v>889</v>
      </c>
      <c r="M355" t="s">
        <v>881</v>
      </c>
      <c r="N355" t="s">
        <v>911</v>
      </c>
      <c r="O355" s="9">
        <v>45809</v>
      </c>
      <c r="P355" t="s">
        <v>892</v>
      </c>
      <c r="Q355">
        <v>50000</v>
      </c>
      <c r="R355" t="s">
        <v>822</v>
      </c>
      <c r="S355" t="s">
        <v>727</v>
      </c>
      <c r="T355" t="s">
        <v>728</v>
      </c>
      <c r="U355" t="s">
        <v>437</v>
      </c>
      <c r="V355" t="s">
        <v>7</v>
      </c>
      <c r="W355" t="s">
        <v>51</v>
      </c>
      <c r="X355" t="s">
        <v>9</v>
      </c>
    </row>
    <row r="356" spans="1:24">
      <c r="A356" t="s">
        <v>1251</v>
      </c>
      <c r="B356" s="8">
        <v>45819</v>
      </c>
      <c r="C356" t="s">
        <v>420</v>
      </c>
      <c r="D356" t="s">
        <v>819</v>
      </c>
      <c r="E356">
        <v>2</v>
      </c>
      <c r="F356">
        <v>300000</v>
      </c>
      <c r="G356">
        <v>600000</v>
      </c>
      <c r="H356" t="s">
        <v>872</v>
      </c>
      <c r="I356">
        <v>0</v>
      </c>
      <c r="J356">
        <v>20000</v>
      </c>
      <c r="K356">
        <v>620000</v>
      </c>
      <c r="L356" t="s">
        <v>889</v>
      </c>
      <c r="M356" t="s">
        <v>881</v>
      </c>
      <c r="N356" t="s">
        <v>875</v>
      </c>
      <c r="O356" s="9">
        <v>45809</v>
      </c>
      <c r="P356" t="s">
        <v>877</v>
      </c>
      <c r="Q356">
        <v>600000</v>
      </c>
      <c r="R356" t="s">
        <v>820</v>
      </c>
      <c r="S356" t="s">
        <v>747</v>
      </c>
      <c r="T356" t="s">
        <v>748</v>
      </c>
      <c r="U356" t="s">
        <v>421</v>
      </c>
      <c r="V356" t="s">
        <v>7</v>
      </c>
      <c r="W356" t="s">
        <v>137</v>
      </c>
      <c r="X356" t="s">
        <v>24</v>
      </c>
    </row>
    <row r="357" spans="1:24">
      <c r="A357" t="s">
        <v>1252</v>
      </c>
      <c r="B357" s="8">
        <v>45775</v>
      </c>
      <c r="C357" t="s">
        <v>322</v>
      </c>
      <c r="D357" t="s">
        <v>751</v>
      </c>
      <c r="E357">
        <v>1</v>
      </c>
      <c r="F357">
        <v>150000</v>
      </c>
      <c r="G357">
        <v>150000</v>
      </c>
      <c r="H357" t="s">
        <v>883</v>
      </c>
      <c r="I357">
        <v>15000</v>
      </c>
      <c r="J357">
        <v>20000</v>
      </c>
      <c r="K357">
        <v>155000</v>
      </c>
      <c r="L357" t="s">
        <v>884</v>
      </c>
      <c r="M357" t="s">
        <v>903</v>
      </c>
      <c r="N357" t="s">
        <v>875</v>
      </c>
      <c r="O357" s="9">
        <v>45748</v>
      </c>
      <c r="P357" t="s">
        <v>877</v>
      </c>
      <c r="Q357">
        <v>135000</v>
      </c>
      <c r="R357" t="s">
        <v>752</v>
      </c>
      <c r="S357" t="s">
        <v>731</v>
      </c>
      <c r="T357" t="s">
        <v>732</v>
      </c>
      <c r="U357" t="s">
        <v>323</v>
      </c>
      <c r="V357" t="s">
        <v>7</v>
      </c>
      <c r="W357" t="s">
        <v>8</v>
      </c>
      <c r="X357" t="s">
        <v>9</v>
      </c>
    </row>
    <row r="358" spans="1:24">
      <c r="A358" t="s">
        <v>1253</v>
      </c>
      <c r="B358" s="8">
        <v>45731</v>
      </c>
      <c r="C358" t="s">
        <v>368</v>
      </c>
      <c r="D358" t="s">
        <v>819</v>
      </c>
      <c r="E358">
        <v>1</v>
      </c>
      <c r="F358">
        <v>300000</v>
      </c>
      <c r="G358">
        <v>300000</v>
      </c>
      <c r="H358" t="s">
        <v>883</v>
      </c>
      <c r="I358">
        <v>30000</v>
      </c>
      <c r="J358">
        <v>15000</v>
      </c>
      <c r="K358">
        <v>285000</v>
      </c>
      <c r="L358" t="s">
        <v>884</v>
      </c>
      <c r="M358" t="s">
        <v>901</v>
      </c>
      <c r="N358" t="s">
        <v>875</v>
      </c>
      <c r="O358" s="9">
        <v>45717</v>
      </c>
      <c r="P358" t="s">
        <v>877</v>
      </c>
      <c r="Q358">
        <v>270000</v>
      </c>
      <c r="R358" t="s">
        <v>820</v>
      </c>
      <c r="S358" t="s">
        <v>747</v>
      </c>
      <c r="T358" t="s">
        <v>748</v>
      </c>
      <c r="U358" t="s">
        <v>369</v>
      </c>
      <c r="V358" t="s">
        <v>23</v>
      </c>
      <c r="W358" t="s">
        <v>20</v>
      </c>
      <c r="X358" t="s">
        <v>9</v>
      </c>
    </row>
    <row r="359" spans="1:24">
      <c r="A359" t="s">
        <v>1254</v>
      </c>
      <c r="B359" s="8">
        <v>45750</v>
      </c>
      <c r="C359" t="s">
        <v>496</v>
      </c>
      <c r="D359" t="s">
        <v>761</v>
      </c>
      <c r="E359">
        <v>1</v>
      </c>
      <c r="F359">
        <v>75000</v>
      </c>
      <c r="G359">
        <v>75000</v>
      </c>
      <c r="H359" t="s">
        <v>872</v>
      </c>
      <c r="I359">
        <v>0</v>
      </c>
      <c r="J359">
        <v>15000</v>
      </c>
      <c r="K359">
        <v>90000</v>
      </c>
      <c r="L359" t="s">
        <v>880</v>
      </c>
      <c r="M359" t="s">
        <v>881</v>
      </c>
      <c r="N359" t="s">
        <v>875</v>
      </c>
      <c r="O359" s="9">
        <v>45748</v>
      </c>
      <c r="P359" t="s">
        <v>877</v>
      </c>
      <c r="Q359">
        <v>75000</v>
      </c>
      <c r="R359" t="s">
        <v>762</v>
      </c>
      <c r="S359" t="s">
        <v>727</v>
      </c>
      <c r="T359" t="s">
        <v>728</v>
      </c>
      <c r="U359" t="s">
        <v>497</v>
      </c>
      <c r="V359" t="s">
        <v>7</v>
      </c>
      <c r="W359" t="s">
        <v>56</v>
      </c>
      <c r="X359" t="s">
        <v>24</v>
      </c>
    </row>
    <row r="360" spans="1:24">
      <c r="A360" t="s">
        <v>1255</v>
      </c>
      <c r="B360" s="8">
        <v>45674</v>
      </c>
      <c r="C360" t="s">
        <v>160</v>
      </c>
      <c r="D360" t="s">
        <v>761</v>
      </c>
      <c r="E360">
        <v>2</v>
      </c>
      <c r="F360">
        <v>75000</v>
      </c>
      <c r="G360">
        <v>150000</v>
      </c>
      <c r="H360" t="s">
        <v>886</v>
      </c>
      <c r="I360">
        <v>15000</v>
      </c>
      <c r="J360">
        <v>30000</v>
      </c>
      <c r="K360">
        <v>165000</v>
      </c>
      <c r="L360" t="s">
        <v>873</v>
      </c>
      <c r="M360" t="s">
        <v>903</v>
      </c>
      <c r="N360" t="s">
        <v>890</v>
      </c>
      <c r="O360" s="9">
        <v>45658</v>
      </c>
      <c r="P360" t="s">
        <v>892</v>
      </c>
      <c r="Q360">
        <v>135000</v>
      </c>
      <c r="R360" t="s">
        <v>762</v>
      </c>
      <c r="S360" t="s">
        <v>727</v>
      </c>
      <c r="T360" t="s">
        <v>728</v>
      </c>
      <c r="U360" t="s">
        <v>161</v>
      </c>
      <c r="V360" t="s">
        <v>23</v>
      </c>
      <c r="W360" t="s">
        <v>137</v>
      </c>
      <c r="X360" t="s">
        <v>9</v>
      </c>
    </row>
    <row r="361" spans="1:24">
      <c r="A361" t="s">
        <v>1256</v>
      </c>
      <c r="B361" s="8">
        <v>45719</v>
      </c>
      <c r="C361" t="s">
        <v>49</v>
      </c>
      <c r="D361" t="s">
        <v>821</v>
      </c>
      <c r="E361">
        <v>1</v>
      </c>
      <c r="F361">
        <v>50000</v>
      </c>
      <c r="G361">
        <v>50000</v>
      </c>
      <c r="H361" t="s">
        <v>886</v>
      </c>
      <c r="I361">
        <v>5000</v>
      </c>
      <c r="J361">
        <v>15000</v>
      </c>
      <c r="K361">
        <v>60000</v>
      </c>
      <c r="L361" t="s">
        <v>884</v>
      </c>
      <c r="M361" t="s">
        <v>901</v>
      </c>
      <c r="N361" t="s">
        <v>875</v>
      </c>
      <c r="O361" s="9">
        <v>45717</v>
      </c>
      <c r="P361" t="s">
        <v>877</v>
      </c>
      <c r="Q361">
        <v>45000</v>
      </c>
      <c r="R361" t="s">
        <v>822</v>
      </c>
      <c r="S361" t="s">
        <v>727</v>
      </c>
      <c r="T361" t="s">
        <v>728</v>
      </c>
      <c r="U361" t="s">
        <v>50</v>
      </c>
      <c r="V361" t="s">
        <v>23</v>
      </c>
      <c r="W361" t="s">
        <v>51</v>
      </c>
      <c r="X361" t="s">
        <v>9</v>
      </c>
    </row>
    <row r="362" spans="1:24">
      <c r="A362" t="s">
        <v>1257</v>
      </c>
      <c r="B362" s="8">
        <v>45781</v>
      </c>
      <c r="C362" t="s">
        <v>306</v>
      </c>
      <c r="D362" t="s">
        <v>785</v>
      </c>
      <c r="E362">
        <v>3</v>
      </c>
      <c r="F362">
        <v>100000</v>
      </c>
      <c r="G362">
        <v>300000</v>
      </c>
      <c r="H362" t="s">
        <v>886</v>
      </c>
      <c r="I362">
        <v>30000</v>
      </c>
      <c r="J362">
        <v>10000</v>
      </c>
      <c r="K362">
        <v>280000</v>
      </c>
      <c r="L362" t="s">
        <v>884</v>
      </c>
      <c r="M362" t="s">
        <v>901</v>
      </c>
      <c r="N362" t="s">
        <v>890</v>
      </c>
      <c r="O362" s="9">
        <v>45778</v>
      </c>
      <c r="P362" t="s">
        <v>892</v>
      </c>
      <c r="Q362">
        <v>270000</v>
      </c>
      <c r="R362" t="s">
        <v>786</v>
      </c>
      <c r="S362" t="s">
        <v>727</v>
      </c>
      <c r="T362" t="s">
        <v>728</v>
      </c>
      <c r="U362" t="s">
        <v>307</v>
      </c>
      <c r="V362" t="s">
        <v>7</v>
      </c>
      <c r="W362" t="s">
        <v>12</v>
      </c>
      <c r="X362" t="s">
        <v>9</v>
      </c>
    </row>
    <row r="363" spans="1:24">
      <c r="A363" t="s">
        <v>1258</v>
      </c>
      <c r="B363" s="8">
        <v>45765</v>
      </c>
      <c r="C363" t="s">
        <v>254</v>
      </c>
      <c r="D363" t="s">
        <v>817</v>
      </c>
      <c r="E363">
        <v>4</v>
      </c>
      <c r="F363">
        <v>75000</v>
      </c>
      <c r="G363">
        <v>300000</v>
      </c>
      <c r="H363" t="s">
        <v>872</v>
      </c>
      <c r="I363">
        <v>0</v>
      </c>
      <c r="J363">
        <v>20000</v>
      </c>
      <c r="K363">
        <v>320000</v>
      </c>
      <c r="L363" t="s">
        <v>889</v>
      </c>
      <c r="M363" t="s">
        <v>903</v>
      </c>
      <c r="N363" t="s">
        <v>875</v>
      </c>
      <c r="O363" s="9">
        <v>45748</v>
      </c>
      <c r="P363" t="s">
        <v>877</v>
      </c>
      <c r="Q363">
        <v>300000</v>
      </c>
      <c r="R363" t="s">
        <v>818</v>
      </c>
      <c r="S363" t="s">
        <v>743</v>
      </c>
      <c r="T363" t="s">
        <v>744</v>
      </c>
      <c r="U363" t="s">
        <v>255</v>
      </c>
      <c r="V363" t="s">
        <v>7</v>
      </c>
      <c r="W363" t="s">
        <v>36</v>
      </c>
      <c r="X363" t="s">
        <v>9</v>
      </c>
    </row>
    <row r="364" spans="1:24">
      <c r="A364" t="s">
        <v>1259</v>
      </c>
      <c r="B364" s="8">
        <v>45796</v>
      </c>
      <c r="C364" t="s">
        <v>380</v>
      </c>
      <c r="D364" t="s">
        <v>827</v>
      </c>
      <c r="E364">
        <v>3</v>
      </c>
      <c r="F364">
        <v>100000</v>
      </c>
      <c r="G364">
        <v>300000</v>
      </c>
      <c r="H364" t="s">
        <v>872</v>
      </c>
      <c r="I364">
        <v>0</v>
      </c>
      <c r="J364">
        <v>25000</v>
      </c>
      <c r="K364">
        <v>325000</v>
      </c>
      <c r="L364" t="s">
        <v>889</v>
      </c>
      <c r="M364" t="s">
        <v>874</v>
      </c>
      <c r="N364" t="s">
        <v>875</v>
      </c>
      <c r="O364" s="9">
        <v>45778</v>
      </c>
      <c r="P364" t="s">
        <v>877</v>
      </c>
      <c r="Q364">
        <v>300000</v>
      </c>
      <c r="R364" t="s">
        <v>828</v>
      </c>
      <c r="S364" t="s">
        <v>739</v>
      </c>
      <c r="T364" t="s">
        <v>740</v>
      </c>
      <c r="U364" t="s">
        <v>381</v>
      </c>
      <c r="V364" t="s">
        <v>23</v>
      </c>
      <c r="W364" t="s">
        <v>39</v>
      </c>
      <c r="X364" t="s">
        <v>9</v>
      </c>
    </row>
    <row r="365" spans="1:24">
      <c r="A365" t="s">
        <v>1260</v>
      </c>
      <c r="B365" s="8">
        <v>45761</v>
      </c>
      <c r="C365" t="s">
        <v>602</v>
      </c>
      <c r="D365" t="s">
        <v>765</v>
      </c>
      <c r="E365">
        <v>2</v>
      </c>
      <c r="F365">
        <v>500000</v>
      </c>
      <c r="G365">
        <v>1000000</v>
      </c>
      <c r="H365" t="s">
        <v>872</v>
      </c>
      <c r="I365">
        <v>0</v>
      </c>
      <c r="J365">
        <v>30000</v>
      </c>
      <c r="K365">
        <v>1030000</v>
      </c>
      <c r="L365" t="s">
        <v>880</v>
      </c>
      <c r="M365" t="s">
        <v>903</v>
      </c>
      <c r="N365" t="s">
        <v>875</v>
      </c>
      <c r="O365" s="9">
        <v>45748</v>
      </c>
      <c r="P365" t="s">
        <v>877</v>
      </c>
      <c r="Q365">
        <v>1000000</v>
      </c>
      <c r="R365" t="s">
        <v>766</v>
      </c>
      <c r="S365" t="s">
        <v>735</v>
      </c>
      <c r="T365" t="s">
        <v>736</v>
      </c>
      <c r="U365" t="s">
        <v>603</v>
      </c>
      <c r="V365" t="s">
        <v>7</v>
      </c>
      <c r="W365" t="s">
        <v>137</v>
      </c>
      <c r="X365" t="s">
        <v>24</v>
      </c>
    </row>
    <row r="366" spans="1:24">
      <c r="A366" t="s">
        <v>1261</v>
      </c>
      <c r="B366" s="8">
        <v>45736</v>
      </c>
      <c r="C366" t="s">
        <v>57</v>
      </c>
      <c r="D366" t="s">
        <v>793</v>
      </c>
      <c r="E366">
        <v>1</v>
      </c>
      <c r="F366">
        <v>500000</v>
      </c>
      <c r="G366">
        <v>500000</v>
      </c>
      <c r="H366" t="s">
        <v>872</v>
      </c>
      <c r="I366">
        <v>0</v>
      </c>
      <c r="J366">
        <v>20000</v>
      </c>
      <c r="K366">
        <v>520000</v>
      </c>
      <c r="L366" t="s">
        <v>884</v>
      </c>
      <c r="M366" t="s">
        <v>881</v>
      </c>
      <c r="N366" t="s">
        <v>875</v>
      </c>
      <c r="O366" s="9">
        <v>45717</v>
      </c>
      <c r="P366" t="s">
        <v>877</v>
      </c>
      <c r="Q366">
        <v>500000</v>
      </c>
      <c r="R366" t="s">
        <v>794</v>
      </c>
      <c r="S366" t="s">
        <v>743</v>
      </c>
      <c r="T366" t="s">
        <v>744</v>
      </c>
      <c r="U366" t="s">
        <v>58</v>
      </c>
      <c r="V366" t="s">
        <v>23</v>
      </c>
      <c r="W366" t="s">
        <v>8</v>
      </c>
      <c r="X366" t="s">
        <v>9</v>
      </c>
    </row>
    <row r="367" spans="1:24">
      <c r="A367" t="s">
        <v>1262</v>
      </c>
      <c r="B367" s="8">
        <v>45719</v>
      </c>
      <c r="C367" t="s">
        <v>282</v>
      </c>
      <c r="D367" t="s">
        <v>853</v>
      </c>
      <c r="E367">
        <v>2</v>
      </c>
      <c r="F367">
        <v>75000</v>
      </c>
      <c r="G367">
        <v>150000</v>
      </c>
      <c r="H367" t="s">
        <v>879</v>
      </c>
      <c r="I367">
        <v>30000</v>
      </c>
      <c r="J367">
        <v>20000</v>
      </c>
      <c r="K367">
        <v>140000</v>
      </c>
      <c r="L367" t="s">
        <v>873</v>
      </c>
      <c r="M367" t="s">
        <v>881</v>
      </c>
      <c r="N367" t="s">
        <v>890</v>
      </c>
      <c r="O367" s="9">
        <v>45717</v>
      </c>
      <c r="P367" t="s">
        <v>892</v>
      </c>
      <c r="Q367">
        <v>120000</v>
      </c>
      <c r="R367" t="s">
        <v>854</v>
      </c>
      <c r="S367" t="s">
        <v>743</v>
      </c>
      <c r="T367" t="s">
        <v>744</v>
      </c>
      <c r="U367" t="s">
        <v>283</v>
      </c>
      <c r="V367" t="s">
        <v>7</v>
      </c>
      <c r="W367" t="s">
        <v>46</v>
      </c>
      <c r="X367" t="s">
        <v>9</v>
      </c>
    </row>
    <row r="368" spans="1:24">
      <c r="A368" t="s">
        <v>1263</v>
      </c>
      <c r="B368" s="8">
        <v>45787</v>
      </c>
      <c r="C368" t="s">
        <v>142</v>
      </c>
      <c r="D368" t="s">
        <v>833</v>
      </c>
      <c r="E368">
        <v>1</v>
      </c>
      <c r="F368">
        <v>200000</v>
      </c>
      <c r="G368">
        <v>200000</v>
      </c>
      <c r="H368" t="s">
        <v>872</v>
      </c>
      <c r="I368">
        <v>0</v>
      </c>
      <c r="J368">
        <v>10000</v>
      </c>
      <c r="K368">
        <v>210000</v>
      </c>
      <c r="L368" t="s">
        <v>880</v>
      </c>
      <c r="M368" t="s">
        <v>901</v>
      </c>
      <c r="N368" t="s">
        <v>875</v>
      </c>
      <c r="O368" s="9">
        <v>45778</v>
      </c>
      <c r="P368" t="s">
        <v>877</v>
      </c>
      <c r="Q368">
        <v>200000</v>
      </c>
      <c r="R368" t="s">
        <v>834</v>
      </c>
      <c r="S368" t="s">
        <v>727</v>
      </c>
      <c r="T368" t="s">
        <v>728</v>
      </c>
      <c r="U368" t="s">
        <v>143</v>
      </c>
      <c r="V368" t="s">
        <v>7</v>
      </c>
      <c r="W368" t="s">
        <v>8</v>
      </c>
      <c r="X368" t="s">
        <v>24</v>
      </c>
    </row>
    <row r="369" spans="1:24">
      <c r="A369" t="s">
        <v>1264</v>
      </c>
      <c r="B369" s="8">
        <v>45821</v>
      </c>
      <c r="C369" t="s">
        <v>290</v>
      </c>
      <c r="D369" t="s">
        <v>753</v>
      </c>
      <c r="E369">
        <v>1</v>
      </c>
      <c r="F369">
        <v>300000</v>
      </c>
      <c r="G369">
        <v>300000</v>
      </c>
      <c r="H369" t="s">
        <v>883</v>
      </c>
      <c r="I369">
        <v>30000</v>
      </c>
      <c r="J369">
        <v>15000</v>
      </c>
      <c r="K369">
        <v>285000</v>
      </c>
      <c r="L369" t="s">
        <v>884</v>
      </c>
      <c r="M369" t="s">
        <v>903</v>
      </c>
      <c r="N369" t="s">
        <v>875</v>
      </c>
      <c r="O369" s="9">
        <v>45809</v>
      </c>
      <c r="P369" t="s">
        <v>877</v>
      </c>
      <c r="Q369">
        <v>270000</v>
      </c>
      <c r="R369" t="s">
        <v>754</v>
      </c>
      <c r="S369" t="s">
        <v>735</v>
      </c>
      <c r="T369" t="s">
        <v>736</v>
      </c>
      <c r="U369" t="s">
        <v>291</v>
      </c>
      <c r="V369" t="s">
        <v>23</v>
      </c>
      <c r="W369" t="s">
        <v>12</v>
      </c>
      <c r="X369" t="s">
        <v>9</v>
      </c>
    </row>
    <row r="370" spans="1:24">
      <c r="A370" t="s">
        <v>1265</v>
      </c>
      <c r="B370" s="8">
        <v>45756</v>
      </c>
      <c r="C370" t="s">
        <v>440</v>
      </c>
      <c r="D370" t="s">
        <v>823</v>
      </c>
      <c r="E370">
        <v>2</v>
      </c>
      <c r="F370">
        <v>500000</v>
      </c>
      <c r="G370">
        <v>1000000</v>
      </c>
      <c r="H370" t="s">
        <v>883</v>
      </c>
      <c r="I370">
        <v>100000</v>
      </c>
      <c r="J370">
        <v>30000</v>
      </c>
      <c r="K370">
        <v>930000</v>
      </c>
      <c r="L370" t="s">
        <v>873</v>
      </c>
      <c r="M370" t="s">
        <v>881</v>
      </c>
      <c r="N370" t="s">
        <v>875</v>
      </c>
      <c r="O370" s="9">
        <v>45748</v>
      </c>
      <c r="P370" t="s">
        <v>877</v>
      </c>
      <c r="Q370">
        <v>900000</v>
      </c>
      <c r="R370" t="s">
        <v>824</v>
      </c>
      <c r="S370" t="s">
        <v>731</v>
      </c>
      <c r="T370" t="s">
        <v>732</v>
      </c>
      <c r="U370" t="s">
        <v>441</v>
      </c>
      <c r="V370" t="s">
        <v>23</v>
      </c>
      <c r="W370" t="s">
        <v>137</v>
      </c>
      <c r="X370" t="s">
        <v>9</v>
      </c>
    </row>
    <row r="371" spans="1:24">
      <c r="A371" t="s">
        <v>1266</v>
      </c>
      <c r="B371" s="8">
        <v>45802</v>
      </c>
      <c r="C371" t="s">
        <v>448</v>
      </c>
      <c r="D371" t="s">
        <v>797</v>
      </c>
      <c r="E371">
        <v>1</v>
      </c>
      <c r="F371">
        <v>150000</v>
      </c>
      <c r="G371">
        <v>150000</v>
      </c>
      <c r="H371" t="s">
        <v>886</v>
      </c>
      <c r="I371">
        <v>15000</v>
      </c>
      <c r="J371">
        <v>15000</v>
      </c>
      <c r="K371">
        <v>150000</v>
      </c>
      <c r="L371" t="s">
        <v>873</v>
      </c>
      <c r="M371" t="s">
        <v>903</v>
      </c>
      <c r="N371" t="s">
        <v>875</v>
      </c>
      <c r="O371" s="9">
        <v>45778</v>
      </c>
      <c r="P371" t="s">
        <v>877</v>
      </c>
      <c r="Q371">
        <v>135000</v>
      </c>
      <c r="R371" t="s">
        <v>798</v>
      </c>
      <c r="S371" t="s">
        <v>727</v>
      </c>
      <c r="T371" t="s">
        <v>728</v>
      </c>
      <c r="U371" t="s">
        <v>449</v>
      </c>
      <c r="V371" t="s">
        <v>7</v>
      </c>
      <c r="W371" t="s">
        <v>12</v>
      </c>
      <c r="X371" t="s">
        <v>9</v>
      </c>
    </row>
    <row r="372" spans="1:24">
      <c r="A372" t="s">
        <v>1267</v>
      </c>
      <c r="B372" s="8">
        <v>45733</v>
      </c>
      <c r="C372" t="s">
        <v>358</v>
      </c>
      <c r="D372" t="s">
        <v>761</v>
      </c>
      <c r="E372">
        <v>1</v>
      </c>
      <c r="F372">
        <v>75000</v>
      </c>
      <c r="G372">
        <v>75000</v>
      </c>
      <c r="H372" t="s">
        <v>872</v>
      </c>
      <c r="I372">
        <v>0</v>
      </c>
      <c r="J372">
        <v>30000</v>
      </c>
      <c r="K372">
        <v>105000</v>
      </c>
      <c r="L372" t="s">
        <v>889</v>
      </c>
      <c r="M372" t="s">
        <v>881</v>
      </c>
      <c r="N372" t="s">
        <v>875</v>
      </c>
      <c r="O372" s="9">
        <v>45717</v>
      </c>
      <c r="P372" t="s">
        <v>877</v>
      </c>
      <c r="Q372">
        <v>75000</v>
      </c>
      <c r="R372" t="s">
        <v>762</v>
      </c>
      <c r="S372" t="s">
        <v>727</v>
      </c>
      <c r="T372" t="s">
        <v>728</v>
      </c>
      <c r="U372" t="s">
        <v>359</v>
      </c>
      <c r="V372" t="s">
        <v>7</v>
      </c>
      <c r="W372" t="s">
        <v>137</v>
      </c>
      <c r="X372" t="s">
        <v>9</v>
      </c>
    </row>
    <row r="373" spans="1:24">
      <c r="A373" t="s">
        <v>1268</v>
      </c>
      <c r="B373" s="8">
        <v>45787</v>
      </c>
      <c r="C373" t="s">
        <v>206</v>
      </c>
      <c r="D373" t="s">
        <v>795</v>
      </c>
      <c r="E373">
        <v>2</v>
      </c>
      <c r="F373">
        <v>100000</v>
      </c>
      <c r="G373">
        <v>200000</v>
      </c>
      <c r="H373" t="s">
        <v>872</v>
      </c>
      <c r="I373">
        <v>0</v>
      </c>
      <c r="J373">
        <v>15000</v>
      </c>
      <c r="K373">
        <v>215000</v>
      </c>
      <c r="L373" t="s">
        <v>873</v>
      </c>
      <c r="M373" t="s">
        <v>874</v>
      </c>
      <c r="N373" t="s">
        <v>890</v>
      </c>
      <c r="O373" s="9">
        <v>45778</v>
      </c>
      <c r="P373" t="s">
        <v>892</v>
      </c>
      <c r="Q373">
        <v>200000</v>
      </c>
      <c r="R373" t="s">
        <v>796</v>
      </c>
      <c r="S373" t="s">
        <v>747</v>
      </c>
      <c r="T373" t="s">
        <v>748</v>
      </c>
      <c r="U373" t="s">
        <v>207</v>
      </c>
      <c r="V373" t="s">
        <v>7</v>
      </c>
      <c r="W373" t="s">
        <v>20</v>
      </c>
      <c r="X373" t="s">
        <v>9</v>
      </c>
    </row>
    <row r="374" spans="1:24">
      <c r="A374" t="s">
        <v>1269</v>
      </c>
      <c r="B374" s="8">
        <v>45835</v>
      </c>
      <c r="C374" t="s">
        <v>710</v>
      </c>
      <c r="D374" t="s">
        <v>781</v>
      </c>
      <c r="E374">
        <v>1</v>
      </c>
      <c r="F374">
        <v>50000</v>
      </c>
      <c r="G374">
        <v>50000</v>
      </c>
      <c r="H374" t="s">
        <v>895</v>
      </c>
      <c r="I374">
        <v>7500</v>
      </c>
      <c r="J374">
        <v>20000</v>
      </c>
      <c r="K374">
        <v>62500</v>
      </c>
      <c r="L374" t="s">
        <v>884</v>
      </c>
      <c r="M374" t="s">
        <v>903</v>
      </c>
      <c r="N374" t="s">
        <v>921</v>
      </c>
      <c r="O374" s="9">
        <v>45809</v>
      </c>
      <c r="P374" t="s">
        <v>892</v>
      </c>
      <c r="Q374">
        <v>42500</v>
      </c>
      <c r="R374" t="s">
        <v>782</v>
      </c>
      <c r="S374" t="s">
        <v>743</v>
      </c>
      <c r="T374" t="s">
        <v>744</v>
      </c>
      <c r="U374" t="s">
        <v>711</v>
      </c>
      <c r="V374" t="s">
        <v>23</v>
      </c>
      <c r="W374" t="s">
        <v>46</v>
      </c>
      <c r="X374" t="s">
        <v>9</v>
      </c>
    </row>
    <row r="375" spans="1:24">
      <c r="A375" t="s">
        <v>1270</v>
      </c>
      <c r="B375" s="8">
        <v>45823</v>
      </c>
      <c r="C375" t="s">
        <v>462</v>
      </c>
      <c r="D375" t="s">
        <v>725</v>
      </c>
      <c r="E375">
        <v>3</v>
      </c>
      <c r="F375">
        <v>300000</v>
      </c>
      <c r="G375">
        <v>900000</v>
      </c>
      <c r="H375" t="s">
        <v>872</v>
      </c>
      <c r="I375">
        <v>0</v>
      </c>
      <c r="J375">
        <v>20000</v>
      </c>
      <c r="K375">
        <v>920000</v>
      </c>
      <c r="L375" t="s">
        <v>889</v>
      </c>
      <c r="M375" t="s">
        <v>903</v>
      </c>
      <c r="N375" t="s">
        <v>875</v>
      </c>
      <c r="O375" s="9">
        <v>45809</v>
      </c>
      <c r="P375" t="s">
        <v>877</v>
      </c>
      <c r="Q375">
        <v>900000</v>
      </c>
      <c r="R375" t="s">
        <v>726</v>
      </c>
      <c r="S375" t="s">
        <v>727</v>
      </c>
      <c r="T375" t="s">
        <v>728</v>
      </c>
      <c r="U375" t="s">
        <v>463</v>
      </c>
      <c r="V375" t="s">
        <v>23</v>
      </c>
      <c r="W375" t="s">
        <v>36</v>
      </c>
      <c r="X375" t="s">
        <v>24</v>
      </c>
    </row>
    <row r="376" spans="1:24">
      <c r="A376" t="s">
        <v>1271</v>
      </c>
      <c r="B376" s="8">
        <v>45757</v>
      </c>
      <c r="C376" t="s">
        <v>574</v>
      </c>
      <c r="D376" t="s">
        <v>755</v>
      </c>
      <c r="E376">
        <v>4</v>
      </c>
      <c r="F376">
        <v>50000</v>
      </c>
      <c r="G376">
        <v>200000</v>
      </c>
      <c r="H376" t="s">
        <v>895</v>
      </c>
      <c r="I376">
        <v>30000</v>
      </c>
      <c r="J376">
        <v>25000</v>
      </c>
      <c r="K376">
        <v>195000</v>
      </c>
      <c r="L376" t="s">
        <v>880</v>
      </c>
      <c r="M376" t="s">
        <v>874</v>
      </c>
      <c r="N376" t="s">
        <v>890</v>
      </c>
      <c r="O376" s="9">
        <v>45748</v>
      </c>
      <c r="P376" t="s">
        <v>892</v>
      </c>
      <c r="Q376">
        <v>170000</v>
      </c>
      <c r="R376" t="s">
        <v>756</v>
      </c>
      <c r="S376" t="s">
        <v>739</v>
      </c>
      <c r="T376" t="s">
        <v>740</v>
      </c>
      <c r="U376" t="s">
        <v>575</v>
      </c>
      <c r="V376" t="s">
        <v>7</v>
      </c>
      <c r="W376" t="s">
        <v>46</v>
      </c>
      <c r="X376" t="s">
        <v>24</v>
      </c>
    </row>
    <row r="377" spans="1:24">
      <c r="A377" t="s">
        <v>1272</v>
      </c>
      <c r="B377" s="8">
        <v>45758</v>
      </c>
      <c r="C377" t="s">
        <v>698</v>
      </c>
      <c r="D377" t="s">
        <v>759</v>
      </c>
      <c r="E377">
        <v>1</v>
      </c>
      <c r="F377">
        <v>300000</v>
      </c>
      <c r="G377">
        <v>300000</v>
      </c>
      <c r="H377" t="s">
        <v>872</v>
      </c>
      <c r="I377">
        <v>0</v>
      </c>
      <c r="J377">
        <v>30000</v>
      </c>
      <c r="K377">
        <v>330000</v>
      </c>
      <c r="L377" t="s">
        <v>889</v>
      </c>
      <c r="M377" t="s">
        <v>881</v>
      </c>
      <c r="N377" t="s">
        <v>875</v>
      </c>
      <c r="O377" s="9">
        <v>45748</v>
      </c>
      <c r="P377" t="s">
        <v>877</v>
      </c>
      <c r="Q377">
        <v>300000</v>
      </c>
      <c r="R377" t="s">
        <v>760</v>
      </c>
      <c r="S377" t="s">
        <v>747</v>
      </c>
      <c r="T377" t="s">
        <v>748</v>
      </c>
      <c r="U377" t="s">
        <v>699</v>
      </c>
      <c r="V377" t="s">
        <v>7</v>
      </c>
      <c r="W377" t="s">
        <v>36</v>
      </c>
      <c r="X377" t="s">
        <v>15</v>
      </c>
    </row>
    <row r="378" spans="1:24">
      <c r="A378" t="s">
        <v>1273</v>
      </c>
      <c r="B378" s="8">
        <v>45806</v>
      </c>
      <c r="C378" t="s">
        <v>210</v>
      </c>
      <c r="D378" t="s">
        <v>805</v>
      </c>
      <c r="E378">
        <v>4</v>
      </c>
      <c r="F378">
        <v>200000</v>
      </c>
      <c r="G378">
        <v>800000</v>
      </c>
      <c r="H378" t="s">
        <v>895</v>
      </c>
      <c r="I378">
        <v>120000</v>
      </c>
      <c r="J378">
        <v>10000</v>
      </c>
      <c r="K378">
        <v>690000</v>
      </c>
      <c r="L378" t="s">
        <v>889</v>
      </c>
      <c r="M378" t="s">
        <v>903</v>
      </c>
      <c r="N378" t="s">
        <v>875</v>
      </c>
      <c r="O378" s="9">
        <v>45778</v>
      </c>
      <c r="P378" t="s">
        <v>877</v>
      </c>
      <c r="Q378">
        <v>680000</v>
      </c>
      <c r="R378" t="s">
        <v>806</v>
      </c>
      <c r="S378" t="s">
        <v>743</v>
      </c>
      <c r="T378" t="s">
        <v>744</v>
      </c>
      <c r="U378" t="s">
        <v>211</v>
      </c>
      <c r="V378" t="s">
        <v>23</v>
      </c>
      <c r="W378" t="s">
        <v>56</v>
      </c>
      <c r="X378" t="s">
        <v>15</v>
      </c>
    </row>
    <row r="379" spans="1:24">
      <c r="A379" t="s">
        <v>1274</v>
      </c>
      <c r="B379" s="8">
        <v>45713</v>
      </c>
      <c r="C379" t="s">
        <v>392</v>
      </c>
      <c r="D379" t="s">
        <v>847</v>
      </c>
      <c r="E379">
        <v>4</v>
      </c>
      <c r="F379">
        <v>100000</v>
      </c>
      <c r="G379">
        <v>400000</v>
      </c>
      <c r="H379" t="s">
        <v>872</v>
      </c>
      <c r="I379">
        <v>0</v>
      </c>
      <c r="J379">
        <v>20000</v>
      </c>
      <c r="K379">
        <v>420000</v>
      </c>
      <c r="L379" t="s">
        <v>880</v>
      </c>
      <c r="M379" t="s">
        <v>903</v>
      </c>
      <c r="N379" t="s">
        <v>911</v>
      </c>
      <c r="O379" s="9">
        <v>45689</v>
      </c>
      <c r="P379" t="s">
        <v>892</v>
      </c>
      <c r="Q379">
        <v>400000</v>
      </c>
      <c r="R379" t="s">
        <v>848</v>
      </c>
      <c r="S379" t="s">
        <v>731</v>
      </c>
      <c r="T379" t="s">
        <v>732</v>
      </c>
      <c r="U379" t="s">
        <v>393</v>
      </c>
      <c r="V379" t="s">
        <v>7</v>
      </c>
      <c r="W379" t="s">
        <v>20</v>
      </c>
      <c r="X379" t="s">
        <v>9</v>
      </c>
    </row>
    <row r="380" spans="1:24">
      <c r="A380" t="s">
        <v>1275</v>
      </c>
      <c r="B380" s="8">
        <v>45782</v>
      </c>
      <c r="C380" t="s">
        <v>530</v>
      </c>
      <c r="D380" t="s">
        <v>811</v>
      </c>
      <c r="E380">
        <v>1</v>
      </c>
      <c r="F380">
        <v>35000</v>
      </c>
      <c r="G380">
        <v>35000</v>
      </c>
      <c r="H380" t="s">
        <v>883</v>
      </c>
      <c r="I380">
        <v>3500</v>
      </c>
      <c r="J380">
        <v>30000</v>
      </c>
      <c r="K380">
        <v>61500</v>
      </c>
      <c r="L380" t="s">
        <v>884</v>
      </c>
      <c r="M380" t="s">
        <v>881</v>
      </c>
      <c r="N380" t="s">
        <v>921</v>
      </c>
      <c r="O380" s="9">
        <v>45778</v>
      </c>
      <c r="P380" t="s">
        <v>892</v>
      </c>
      <c r="Q380">
        <v>31500</v>
      </c>
      <c r="R380" t="s">
        <v>812</v>
      </c>
      <c r="S380" t="s">
        <v>731</v>
      </c>
      <c r="T380" t="s">
        <v>732</v>
      </c>
      <c r="U380" t="s">
        <v>531</v>
      </c>
      <c r="V380" t="s">
        <v>23</v>
      </c>
      <c r="W380" t="s">
        <v>8</v>
      </c>
      <c r="X380" t="s">
        <v>9</v>
      </c>
    </row>
    <row r="381" spans="1:24">
      <c r="A381" t="s">
        <v>1276</v>
      </c>
      <c r="B381" s="8">
        <v>45766</v>
      </c>
      <c r="C381" t="s">
        <v>712</v>
      </c>
      <c r="D381" t="s">
        <v>805</v>
      </c>
      <c r="E381">
        <v>4</v>
      </c>
      <c r="F381">
        <v>200000</v>
      </c>
      <c r="G381">
        <v>800000</v>
      </c>
      <c r="H381" t="s">
        <v>879</v>
      </c>
      <c r="I381">
        <v>160000</v>
      </c>
      <c r="J381">
        <v>20000</v>
      </c>
      <c r="K381">
        <v>660000</v>
      </c>
      <c r="L381" t="s">
        <v>884</v>
      </c>
      <c r="M381" t="s">
        <v>901</v>
      </c>
      <c r="N381" t="s">
        <v>875</v>
      </c>
      <c r="O381" s="9">
        <v>45748</v>
      </c>
      <c r="P381" t="s">
        <v>877</v>
      </c>
      <c r="Q381">
        <v>640000</v>
      </c>
      <c r="R381" t="s">
        <v>806</v>
      </c>
      <c r="S381" t="s">
        <v>743</v>
      </c>
      <c r="T381" t="s">
        <v>744</v>
      </c>
      <c r="U381" t="s">
        <v>713</v>
      </c>
      <c r="V381" t="s">
        <v>23</v>
      </c>
      <c r="W381" t="s">
        <v>29</v>
      </c>
      <c r="X381" t="s">
        <v>9</v>
      </c>
    </row>
    <row r="382" spans="1:24">
      <c r="A382" t="s">
        <v>1277</v>
      </c>
      <c r="B382" s="8">
        <v>45806</v>
      </c>
      <c r="C382" t="s">
        <v>626</v>
      </c>
      <c r="D382" t="s">
        <v>841</v>
      </c>
      <c r="E382">
        <v>1</v>
      </c>
      <c r="F382">
        <v>75000</v>
      </c>
      <c r="G382">
        <v>75000</v>
      </c>
      <c r="H382" t="s">
        <v>886</v>
      </c>
      <c r="I382">
        <v>7500</v>
      </c>
      <c r="J382">
        <v>25000</v>
      </c>
      <c r="K382">
        <v>92500</v>
      </c>
      <c r="L382" t="s">
        <v>889</v>
      </c>
      <c r="M382" t="s">
        <v>874</v>
      </c>
      <c r="N382" t="s">
        <v>875</v>
      </c>
      <c r="O382" s="9">
        <v>45778</v>
      </c>
      <c r="P382" t="s">
        <v>877</v>
      </c>
      <c r="Q382">
        <v>67500</v>
      </c>
      <c r="R382" t="s">
        <v>842</v>
      </c>
      <c r="S382" t="s">
        <v>743</v>
      </c>
      <c r="T382" t="s">
        <v>744</v>
      </c>
      <c r="U382" t="s">
        <v>627</v>
      </c>
      <c r="V382" t="s">
        <v>23</v>
      </c>
      <c r="W382" t="s">
        <v>12</v>
      </c>
      <c r="X382" t="s">
        <v>15</v>
      </c>
    </row>
    <row r="383" spans="1:24">
      <c r="A383" t="s">
        <v>1278</v>
      </c>
      <c r="B383" s="8">
        <v>45817</v>
      </c>
      <c r="C383" t="s">
        <v>384</v>
      </c>
      <c r="D383" t="s">
        <v>765</v>
      </c>
      <c r="E383">
        <v>1</v>
      </c>
      <c r="F383">
        <v>500000</v>
      </c>
      <c r="G383">
        <v>500000</v>
      </c>
      <c r="H383" t="s">
        <v>883</v>
      </c>
      <c r="I383">
        <v>50000</v>
      </c>
      <c r="J383">
        <v>15000</v>
      </c>
      <c r="K383">
        <v>465000</v>
      </c>
      <c r="L383" t="s">
        <v>880</v>
      </c>
      <c r="M383" t="s">
        <v>901</v>
      </c>
      <c r="N383" t="s">
        <v>875</v>
      </c>
      <c r="O383" s="9">
        <v>45809</v>
      </c>
      <c r="P383" t="s">
        <v>877</v>
      </c>
      <c r="Q383">
        <v>450000</v>
      </c>
      <c r="R383" t="s">
        <v>766</v>
      </c>
      <c r="S383" t="s">
        <v>735</v>
      </c>
      <c r="T383" t="s">
        <v>736</v>
      </c>
      <c r="U383" t="s">
        <v>385</v>
      </c>
      <c r="V383" t="s">
        <v>23</v>
      </c>
      <c r="W383" t="s">
        <v>46</v>
      </c>
      <c r="X383" t="s">
        <v>9</v>
      </c>
    </row>
    <row r="384" spans="1:24">
      <c r="A384" t="s">
        <v>1279</v>
      </c>
      <c r="B384" s="8">
        <v>45740</v>
      </c>
      <c r="C384" t="s">
        <v>67</v>
      </c>
      <c r="D384" t="s">
        <v>737</v>
      </c>
      <c r="E384">
        <v>2</v>
      </c>
      <c r="F384">
        <v>300000</v>
      </c>
      <c r="G384">
        <v>600000</v>
      </c>
      <c r="H384" t="s">
        <v>895</v>
      </c>
      <c r="I384">
        <v>90000</v>
      </c>
      <c r="J384">
        <v>20000</v>
      </c>
      <c r="K384">
        <v>530000</v>
      </c>
      <c r="L384" t="s">
        <v>873</v>
      </c>
      <c r="M384" t="s">
        <v>903</v>
      </c>
      <c r="N384" t="s">
        <v>875</v>
      </c>
      <c r="O384" s="9">
        <v>45717</v>
      </c>
      <c r="P384" t="s">
        <v>877</v>
      </c>
      <c r="Q384">
        <v>510000</v>
      </c>
      <c r="R384" t="s">
        <v>738</v>
      </c>
      <c r="S384" t="s">
        <v>739</v>
      </c>
      <c r="T384" t="s">
        <v>740</v>
      </c>
      <c r="U384" t="s">
        <v>68</v>
      </c>
      <c r="V384" t="s">
        <v>7</v>
      </c>
      <c r="W384" t="s">
        <v>56</v>
      </c>
      <c r="X384" t="s">
        <v>24</v>
      </c>
    </row>
    <row r="385" spans="1:24">
      <c r="A385" t="s">
        <v>1280</v>
      </c>
      <c r="B385" s="8">
        <v>45810</v>
      </c>
      <c r="C385" t="s">
        <v>570</v>
      </c>
      <c r="D385" t="s">
        <v>831</v>
      </c>
      <c r="E385">
        <v>1</v>
      </c>
      <c r="F385">
        <v>300000</v>
      </c>
      <c r="G385">
        <v>300000</v>
      </c>
      <c r="H385" t="s">
        <v>872</v>
      </c>
      <c r="I385">
        <v>0</v>
      </c>
      <c r="J385">
        <v>30000</v>
      </c>
      <c r="K385">
        <v>330000</v>
      </c>
      <c r="L385" t="s">
        <v>884</v>
      </c>
      <c r="M385" t="s">
        <v>903</v>
      </c>
      <c r="N385" t="s">
        <v>905</v>
      </c>
      <c r="O385" s="9">
        <v>45809</v>
      </c>
      <c r="P385" t="s">
        <v>892</v>
      </c>
      <c r="Q385">
        <v>300000</v>
      </c>
      <c r="R385" t="s">
        <v>832</v>
      </c>
      <c r="S385" t="s">
        <v>747</v>
      </c>
      <c r="T385" t="s">
        <v>748</v>
      </c>
      <c r="U385" t="s">
        <v>571</v>
      </c>
      <c r="V385" t="s">
        <v>23</v>
      </c>
      <c r="W385" t="s">
        <v>56</v>
      </c>
      <c r="X385" t="s">
        <v>9</v>
      </c>
    </row>
    <row r="386" spans="1:24">
      <c r="A386" t="s">
        <v>1281</v>
      </c>
      <c r="B386" s="8">
        <v>45716</v>
      </c>
      <c r="C386" t="s">
        <v>119</v>
      </c>
      <c r="D386" t="s">
        <v>777</v>
      </c>
      <c r="E386">
        <v>2</v>
      </c>
      <c r="F386">
        <v>200000</v>
      </c>
      <c r="G386">
        <v>400000</v>
      </c>
      <c r="H386" t="s">
        <v>895</v>
      </c>
      <c r="I386">
        <v>60000</v>
      </c>
      <c r="J386">
        <v>10000</v>
      </c>
      <c r="K386">
        <v>350000</v>
      </c>
      <c r="L386" t="s">
        <v>880</v>
      </c>
      <c r="M386" t="s">
        <v>903</v>
      </c>
      <c r="N386" t="s">
        <v>875</v>
      </c>
      <c r="O386" s="9">
        <v>45689</v>
      </c>
      <c r="P386" t="s">
        <v>877</v>
      </c>
      <c r="Q386">
        <v>340000</v>
      </c>
      <c r="R386" t="s">
        <v>778</v>
      </c>
      <c r="S386" t="s">
        <v>735</v>
      </c>
      <c r="T386" t="s">
        <v>736</v>
      </c>
      <c r="U386" t="s">
        <v>120</v>
      </c>
      <c r="V386" t="s">
        <v>23</v>
      </c>
      <c r="W386" t="s">
        <v>39</v>
      </c>
      <c r="X386" t="s">
        <v>24</v>
      </c>
    </row>
    <row r="387" spans="1:24">
      <c r="A387" t="s">
        <v>1282</v>
      </c>
      <c r="B387" s="8">
        <v>45671</v>
      </c>
      <c r="C387" t="s">
        <v>424</v>
      </c>
      <c r="D387" t="s">
        <v>799</v>
      </c>
      <c r="E387">
        <v>1</v>
      </c>
      <c r="F387">
        <v>35000</v>
      </c>
      <c r="G387">
        <v>35000</v>
      </c>
      <c r="H387" t="s">
        <v>872</v>
      </c>
      <c r="I387">
        <v>0</v>
      </c>
      <c r="J387">
        <v>20000</v>
      </c>
      <c r="K387">
        <v>55000</v>
      </c>
      <c r="L387" t="s">
        <v>884</v>
      </c>
      <c r="M387" t="s">
        <v>903</v>
      </c>
      <c r="N387" t="s">
        <v>905</v>
      </c>
      <c r="O387" s="9">
        <v>45658</v>
      </c>
      <c r="P387" t="s">
        <v>892</v>
      </c>
      <c r="Q387">
        <v>35000</v>
      </c>
      <c r="R387" t="s">
        <v>800</v>
      </c>
      <c r="S387" t="s">
        <v>731</v>
      </c>
      <c r="T387" t="s">
        <v>732</v>
      </c>
      <c r="U387" t="s">
        <v>425</v>
      </c>
      <c r="V387" t="s">
        <v>7</v>
      </c>
      <c r="W387" t="s">
        <v>8</v>
      </c>
      <c r="X387" t="s">
        <v>24</v>
      </c>
    </row>
    <row r="388" spans="1:24">
      <c r="A388" t="s">
        <v>1283</v>
      </c>
      <c r="B388" s="8">
        <v>45678</v>
      </c>
      <c r="C388" t="s">
        <v>284</v>
      </c>
      <c r="D388" t="s">
        <v>781</v>
      </c>
      <c r="E388">
        <v>1</v>
      </c>
      <c r="F388">
        <v>50000</v>
      </c>
      <c r="G388">
        <v>50000</v>
      </c>
      <c r="H388" t="s">
        <v>872</v>
      </c>
      <c r="I388">
        <v>0</v>
      </c>
      <c r="J388">
        <v>20000</v>
      </c>
      <c r="K388">
        <v>70000</v>
      </c>
      <c r="L388" t="s">
        <v>880</v>
      </c>
      <c r="M388" t="s">
        <v>903</v>
      </c>
      <c r="N388" t="s">
        <v>875</v>
      </c>
      <c r="O388" s="9">
        <v>45658</v>
      </c>
      <c r="P388" t="s">
        <v>877</v>
      </c>
      <c r="Q388">
        <v>50000</v>
      </c>
      <c r="R388" t="s">
        <v>782</v>
      </c>
      <c r="S388" t="s">
        <v>743</v>
      </c>
      <c r="T388" t="s">
        <v>744</v>
      </c>
      <c r="U388" t="s">
        <v>285</v>
      </c>
      <c r="V388" t="s">
        <v>7</v>
      </c>
      <c r="W388" t="s">
        <v>137</v>
      </c>
      <c r="X388" t="s">
        <v>24</v>
      </c>
    </row>
    <row r="389" spans="1:24">
      <c r="A389" t="s">
        <v>1284</v>
      </c>
      <c r="B389" s="8">
        <v>45722</v>
      </c>
      <c r="C389" t="s">
        <v>146</v>
      </c>
      <c r="D389" t="s">
        <v>749</v>
      </c>
      <c r="E389">
        <v>2</v>
      </c>
      <c r="F389">
        <v>150000</v>
      </c>
      <c r="G389">
        <v>300000</v>
      </c>
      <c r="H389" t="s">
        <v>886</v>
      </c>
      <c r="I389">
        <v>30000</v>
      </c>
      <c r="J389">
        <v>10000</v>
      </c>
      <c r="K389">
        <v>280000</v>
      </c>
      <c r="L389" t="s">
        <v>889</v>
      </c>
      <c r="M389" t="s">
        <v>903</v>
      </c>
      <c r="N389" t="s">
        <v>875</v>
      </c>
      <c r="O389" s="9">
        <v>45717</v>
      </c>
      <c r="P389" t="s">
        <v>877</v>
      </c>
      <c r="Q389">
        <v>270000</v>
      </c>
      <c r="R389" t="s">
        <v>750</v>
      </c>
      <c r="S389" t="s">
        <v>727</v>
      </c>
      <c r="T389" t="s">
        <v>728</v>
      </c>
      <c r="U389" t="s">
        <v>147</v>
      </c>
      <c r="V389" t="s">
        <v>7</v>
      </c>
      <c r="W389" t="s">
        <v>51</v>
      </c>
      <c r="X389" t="s">
        <v>24</v>
      </c>
    </row>
    <row r="390" spans="1:24">
      <c r="A390" t="s">
        <v>1285</v>
      </c>
      <c r="B390" s="8">
        <v>45750</v>
      </c>
      <c r="C390" t="s">
        <v>302</v>
      </c>
      <c r="D390" t="s">
        <v>835</v>
      </c>
      <c r="E390">
        <v>2</v>
      </c>
      <c r="F390">
        <v>200000</v>
      </c>
      <c r="G390">
        <v>400000</v>
      </c>
      <c r="H390" t="s">
        <v>895</v>
      </c>
      <c r="I390">
        <v>60000</v>
      </c>
      <c r="J390">
        <v>25000</v>
      </c>
      <c r="K390">
        <v>365000</v>
      </c>
      <c r="L390" t="s">
        <v>889</v>
      </c>
      <c r="M390" t="s">
        <v>881</v>
      </c>
      <c r="N390" t="s">
        <v>890</v>
      </c>
      <c r="O390" s="9">
        <v>45748</v>
      </c>
      <c r="P390" t="s">
        <v>892</v>
      </c>
      <c r="Q390">
        <v>340000</v>
      </c>
      <c r="R390" t="s">
        <v>836</v>
      </c>
      <c r="S390" t="s">
        <v>731</v>
      </c>
      <c r="T390" t="s">
        <v>732</v>
      </c>
      <c r="U390" t="s">
        <v>303</v>
      </c>
      <c r="V390" t="s">
        <v>23</v>
      </c>
      <c r="W390" t="s">
        <v>20</v>
      </c>
      <c r="X390" t="s">
        <v>24</v>
      </c>
    </row>
    <row r="391" spans="1:24">
      <c r="A391" t="s">
        <v>1286</v>
      </c>
      <c r="B391" s="8">
        <v>45697</v>
      </c>
      <c r="C391" t="s">
        <v>254</v>
      </c>
      <c r="D391" t="s">
        <v>775</v>
      </c>
      <c r="E391">
        <v>3</v>
      </c>
      <c r="F391">
        <v>75000</v>
      </c>
      <c r="G391">
        <v>225000</v>
      </c>
      <c r="H391" t="s">
        <v>872</v>
      </c>
      <c r="I391">
        <v>0</v>
      </c>
      <c r="J391">
        <v>30000</v>
      </c>
      <c r="K391">
        <v>255000</v>
      </c>
      <c r="L391" t="s">
        <v>873</v>
      </c>
      <c r="M391" t="s">
        <v>903</v>
      </c>
      <c r="N391" t="s">
        <v>911</v>
      </c>
      <c r="O391" s="9">
        <v>45689</v>
      </c>
      <c r="P391" t="s">
        <v>892</v>
      </c>
      <c r="Q391">
        <v>225000</v>
      </c>
      <c r="R391" t="s">
        <v>776</v>
      </c>
      <c r="S391" t="s">
        <v>731</v>
      </c>
      <c r="T391" t="s">
        <v>732</v>
      </c>
      <c r="U391" t="s">
        <v>255</v>
      </c>
      <c r="V391" t="s">
        <v>7</v>
      </c>
      <c r="W391" t="s">
        <v>36</v>
      </c>
      <c r="X391" t="s">
        <v>9</v>
      </c>
    </row>
    <row r="392" spans="1:24">
      <c r="A392" t="s">
        <v>1287</v>
      </c>
      <c r="B392" s="8">
        <v>45723</v>
      </c>
      <c r="C392" t="s">
        <v>604</v>
      </c>
      <c r="D392" t="s">
        <v>833</v>
      </c>
      <c r="E392">
        <v>3</v>
      </c>
      <c r="F392">
        <v>200000</v>
      </c>
      <c r="G392">
        <v>600000</v>
      </c>
      <c r="H392" t="s">
        <v>886</v>
      </c>
      <c r="I392">
        <v>60000</v>
      </c>
      <c r="J392">
        <v>20000</v>
      </c>
      <c r="K392">
        <v>560000</v>
      </c>
      <c r="L392" t="s">
        <v>889</v>
      </c>
      <c r="M392" t="s">
        <v>881</v>
      </c>
      <c r="N392" t="s">
        <v>875</v>
      </c>
      <c r="O392" s="9">
        <v>45717</v>
      </c>
      <c r="P392" t="s">
        <v>877</v>
      </c>
      <c r="Q392">
        <v>540000</v>
      </c>
      <c r="R392" t="s">
        <v>834</v>
      </c>
      <c r="S392" t="s">
        <v>727</v>
      </c>
      <c r="T392" t="s">
        <v>728</v>
      </c>
      <c r="U392" t="s">
        <v>605</v>
      </c>
      <c r="V392" t="s">
        <v>7</v>
      </c>
      <c r="W392" t="s">
        <v>20</v>
      </c>
      <c r="X392" t="s">
        <v>24</v>
      </c>
    </row>
    <row r="393" spans="1:24">
      <c r="A393" t="s">
        <v>1288</v>
      </c>
      <c r="B393" s="8">
        <v>45807</v>
      </c>
      <c r="C393" t="s">
        <v>314</v>
      </c>
      <c r="D393" t="s">
        <v>751</v>
      </c>
      <c r="E393">
        <v>2</v>
      </c>
      <c r="F393">
        <v>150000</v>
      </c>
      <c r="G393">
        <v>300000</v>
      </c>
      <c r="H393" t="s">
        <v>886</v>
      </c>
      <c r="I393">
        <v>30000</v>
      </c>
      <c r="J393">
        <v>20000</v>
      </c>
      <c r="K393">
        <v>290000</v>
      </c>
      <c r="L393" t="s">
        <v>889</v>
      </c>
      <c r="M393" t="s">
        <v>874</v>
      </c>
      <c r="N393" t="s">
        <v>875</v>
      </c>
      <c r="O393" s="9">
        <v>45778</v>
      </c>
      <c r="P393" t="s">
        <v>877</v>
      </c>
      <c r="Q393">
        <v>270000</v>
      </c>
      <c r="R393" t="s">
        <v>752</v>
      </c>
      <c r="S393" t="s">
        <v>731</v>
      </c>
      <c r="T393" t="s">
        <v>732</v>
      </c>
      <c r="U393" t="s">
        <v>315</v>
      </c>
      <c r="V393" t="s">
        <v>23</v>
      </c>
      <c r="W393" t="s">
        <v>56</v>
      </c>
      <c r="X393" t="s">
        <v>9</v>
      </c>
    </row>
    <row r="394" spans="1:24">
      <c r="A394" t="s">
        <v>1289</v>
      </c>
      <c r="B394" s="8">
        <v>45664</v>
      </c>
      <c r="C394" t="s">
        <v>107</v>
      </c>
      <c r="D394" t="s">
        <v>853</v>
      </c>
      <c r="E394">
        <v>4</v>
      </c>
      <c r="F394">
        <v>75000</v>
      </c>
      <c r="G394">
        <v>300000</v>
      </c>
      <c r="H394" t="s">
        <v>872</v>
      </c>
      <c r="I394">
        <v>0</v>
      </c>
      <c r="J394">
        <v>10000</v>
      </c>
      <c r="K394">
        <v>310000</v>
      </c>
      <c r="L394" t="s">
        <v>884</v>
      </c>
      <c r="M394" t="s">
        <v>881</v>
      </c>
      <c r="N394" t="s">
        <v>890</v>
      </c>
      <c r="O394" s="9">
        <v>45658</v>
      </c>
      <c r="P394" t="s">
        <v>892</v>
      </c>
      <c r="Q394">
        <v>300000</v>
      </c>
      <c r="R394" t="s">
        <v>854</v>
      </c>
      <c r="S394" t="s">
        <v>743</v>
      </c>
      <c r="T394" t="s">
        <v>744</v>
      </c>
      <c r="U394" t="s">
        <v>108</v>
      </c>
      <c r="V394" t="s">
        <v>23</v>
      </c>
      <c r="W394" t="s">
        <v>12</v>
      </c>
      <c r="X394" t="s">
        <v>24</v>
      </c>
    </row>
    <row r="395" spans="1:24">
      <c r="A395" t="s">
        <v>1290</v>
      </c>
      <c r="B395" s="8">
        <v>45820</v>
      </c>
      <c r="C395" t="s">
        <v>376</v>
      </c>
      <c r="D395" t="s">
        <v>775</v>
      </c>
      <c r="E395">
        <v>2</v>
      </c>
      <c r="F395">
        <v>75000</v>
      </c>
      <c r="G395">
        <v>150000</v>
      </c>
      <c r="H395" t="s">
        <v>886</v>
      </c>
      <c r="I395">
        <v>15000</v>
      </c>
      <c r="J395">
        <v>30000</v>
      </c>
      <c r="K395">
        <v>165000</v>
      </c>
      <c r="L395" t="s">
        <v>873</v>
      </c>
      <c r="M395" t="s">
        <v>881</v>
      </c>
      <c r="N395" t="s">
        <v>911</v>
      </c>
      <c r="O395" s="9">
        <v>45809</v>
      </c>
      <c r="P395" t="s">
        <v>892</v>
      </c>
      <c r="Q395">
        <v>135000</v>
      </c>
      <c r="R395" t="s">
        <v>776</v>
      </c>
      <c r="S395" t="s">
        <v>731</v>
      </c>
      <c r="T395" t="s">
        <v>732</v>
      </c>
      <c r="U395" t="s">
        <v>377</v>
      </c>
      <c r="V395" t="s">
        <v>7</v>
      </c>
      <c r="W395" t="s">
        <v>8</v>
      </c>
      <c r="X395" t="s">
        <v>9</v>
      </c>
    </row>
    <row r="396" spans="1:24">
      <c r="A396" t="s">
        <v>1291</v>
      </c>
      <c r="B396" s="8">
        <v>45767</v>
      </c>
      <c r="C396" t="s">
        <v>570</v>
      </c>
      <c r="D396" t="s">
        <v>855</v>
      </c>
      <c r="E396">
        <v>4</v>
      </c>
      <c r="F396">
        <v>150000</v>
      </c>
      <c r="G396">
        <v>600000</v>
      </c>
      <c r="H396" t="s">
        <v>883</v>
      </c>
      <c r="I396">
        <v>60000</v>
      </c>
      <c r="J396">
        <v>30000</v>
      </c>
      <c r="K396">
        <v>570000</v>
      </c>
      <c r="L396" t="s">
        <v>884</v>
      </c>
      <c r="M396" t="s">
        <v>901</v>
      </c>
      <c r="N396" t="s">
        <v>875</v>
      </c>
      <c r="O396" s="9">
        <v>45748</v>
      </c>
      <c r="P396" t="s">
        <v>877</v>
      </c>
      <c r="Q396">
        <v>540000</v>
      </c>
      <c r="R396" t="s">
        <v>856</v>
      </c>
      <c r="S396" t="s">
        <v>747</v>
      </c>
      <c r="T396" t="s">
        <v>748</v>
      </c>
      <c r="U396" t="s">
        <v>571</v>
      </c>
      <c r="V396" t="s">
        <v>23</v>
      </c>
      <c r="W396" t="s">
        <v>56</v>
      </c>
      <c r="X396" t="s">
        <v>9</v>
      </c>
    </row>
    <row r="397" spans="1:24">
      <c r="A397" t="s">
        <v>1292</v>
      </c>
      <c r="B397" s="8">
        <v>45804</v>
      </c>
      <c r="C397" t="s">
        <v>34</v>
      </c>
      <c r="D397" t="s">
        <v>803</v>
      </c>
      <c r="E397">
        <v>1</v>
      </c>
      <c r="F397">
        <v>50000</v>
      </c>
      <c r="G397">
        <v>50000</v>
      </c>
      <c r="H397" t="s">
        <v>886</v>
      </c>
      <c r="I397">
        <v>5000</v>
      </c>
      <c r="J397">
        <v>15000</v>
      </c>
      <c r="K397">
        <v>60000</v>
      </c>
      <c r="L397" t="s">
        <v>889</v>
      </c>
      <c r="M397" t="s">
        <v>881</v>
      </c>
      <c r="N397" t="s">
        <v>875</v>
      </c>
      <c r="O397" s="9">
        <v>45778</v>
      </c>
      <c r="P397" t="s">
        <v>877</v>
      </c>
      <c r="Q397">
        <v>45000</v>
      </c>
      <c r="R397" t="s">
        <v>804</v>
      </c>
      <c r="S397" t="s">
        <v>739</v>
      </c>
      <c r="T397" t="s">
        <v>740</v>
      </c>
      <c r="U397" t="s">
        <v>35</v>
      </c>
      <c r="V397" t="s">
        <v>23</v>
      </c>
      <c r="W397" t="s">
        <v>36</v>
      </c>
      <c r="X397" t="s">
        <v>24</v>
      </c>
    </row>
    <row r="398" spans="1:24">
      <c r="A398" t="s">
        <v>1293</v>
      </c>
      <c r="B398" s="8">
        <v>45817</v>
      </c>
      <c r="C398" t="s">
        <v>121</v>
      </c>
      <c r="D398" t="s">
        <v>765</v>
      </c>
      <c r="E398">
        <v>2</v>
      </c>
      <c r="F398">
        <v>500000</v>
      </c>
      <c r="G398">
        <v>1000000</v>
      </c>
      <c r="H398" t="s">
        <v>879</v>
      </c>
      <c r="I398">
        <v>200000</v>
      </c>
      <c r="J398">
        <v>25000</v>
      </c>
      <c r="K398">
        <v>825000</v>
      </c>
      <c r="L398" t="s">
        <v>880</v>
      </c>
      <c r="M398" t="s">
        <v>901</v>
      </c>
      <c r="N398" t="s">
        <v>875</v>
      </c>
      <c r="O398" s="9">
        <v>45809</v>
      </c>
      <c r="P398" t="s">
        <v>877</v>
      </c>
      <c r="Q398">
        <v>800000</v>
      </c>
      <c r="R398" t="s">
        <v>766</v>
      </c>
      <c r="S398" t="s">
        <v>735</v>
      </c>
      <c r="T398" t="s">
        <v>736</v>
      </c>
      <c r="U398" t="s">
        <v>122</v>
      </c>
      <c r="V398" t="s">
        <v>7</v>
      </c>
      <c r="W398" t="s">
        <v>36</v>
      </c>
      <c r="X398" t="s">
        <v>9</v>
      </c>
    </row>
    <row r="399" spans="1:24">
      <c r="A399" t="s">
        <v>1294</v>
      </c>
      <c r="B399" s="8">
        <v>45713</v>
      </c>
      <c r="C399" t="s">
        <v>238</v>
      </c>
      <c r="D399" t="s">
        <v>751</v>
      </c>
      <c r="E399">
        <v>2</v>
      </c>
      <c r="F399">
        <v>150000</v>
      </c>
      <c r="G399">
        <v>300000</v>
      </c>
      <c r="H399" t="s">
        <v>872</v>
      </c>
      <c r="I399">
        <v>0</v>
      </c>
      <c r="J399">
        <v>25000</v>
      </c>
      <c r="K399">
        <v>325000</v>
      </c>
      <c r="L399" t="s">
        <v>889</v>
      </c>
      <c r="M399" t="s">
        <v>881</v>
      </c>
      <c r="N399" t="s">
        <v>875</v>
      </c>
      <c r="O399" s="9">
        <v>45689</v>
      </c>
      <c r="P399" t="s">
        <v>877</v>
      </c>
      <c r="Q399">
        <v>300000</v>
      </c>
      <c r="R399" t="s">
        <v>752</v>
      </c>
      <c r="S399" t="s">
        <v>731</v>
      </c>
      <c r="T399" t="s">
        <v>732</v>
      </c>
      <c r="U399" t="s">
        <v>239</v>
      </c>
      <c r="V399" t="s">
        <v>23</v>
      </c>
      <c r="W399" t="s">
        <v>46</v>
      </c>
      <c r="X399" t="s">
        <v>9</v>
      </c>
    </row>
    <row r="400" spans="1:24">
      <c r="A400" t="s">
        <v>1295</v>
      </c>
      <c r="B400" s="8">
        <v>45782</v>
      </c>
      <c r="C400" t="s">
        <v>40</v>
      </c>
      <c r="D400" t="s">
        <v>799</v>
      </c>
      <c r="E400">
        <v>2</v>
      </c>
      <c r="F400">
        <v>35000</v>
      </c>
      <c r="G400">
        <v>70000</v>
      </c>
      <c r="H400" t="s">
        <v>895</v>
      </c>
      <c r="I400">
        <v>10500</v>
      </c>
      <c r="J400">
        <v>15000</v>
      </c>
      <c r="K400">
        <v>74500</v>
      </c>
      <c r="L400" t="s">
        <v>880</v>
      </c>
      <c r="M400" t="s">
        <v>881</v>
      </c>
      <c r="N400" t="s">
        <v>875</v>
      </c>
      <c r="O400" s="9">
        <v>45778</v>
      </c>
      <c r="P400" t="s">
        <v>877</v>
      </c>
      <c r="Q400">
        <v>59500</v>
      </c>
      <c r="R400" t="s">
        <v>800</v>
      </c>
      <c r="S400" t="s">
        <v>731</v>
      </c>
      <c r="T400" t="s">
        <v>732</v>
      </c>
      <c r="U400" t="s">
        <v>41</v>
      </c>
      <c r="V400" t="s">
        <v>7</v>
      </c>
      <c r="W400" t="s">
        <v>36</v>
      </c>
      <c r="X400" t="s">
        <v>15</v>
      </c>
    </row>
    <row r="401" spans="1:24">
      <c r="A401" t="s">
        <v>1296</v>
      </c>
      <c r="B401" s="8">
        <v>45688</v>
      </c>
      <c r="C401" t="s">
        <v>34</v>
      </c>
      <c r="D401" t="s">
        <v>791</v>
      </c>
      <c r="E401">
        <v>3</v>
      </c>
      <c r="F401">
        <v>50000</v>
      </c>
      <c r="G401">
        <v>150000</v>
      </c>
      <c r="H401" t="s">
        <v>895</v>
      </c>
      <c r="I401">
        <v>22500</v>
      </c>
      <c r="J401">
        <v>20000</v>
      </c>
      <c r="K401">
        <v>147500</v>
      </c>
      <c r="L401" t="s">
        <v>889</v>
      </c>
      <c r="M401" t="s">
        <v>903</v>
      </c>
      <c r="N401" t="s">
        <v>905</v>
      </c>
      <c r="O401" s="9">
        <v>45658</v>
      </c>
      <c r="P401" t="s">
        <v>892</v>
      </c>
      <c r="Q401">
        <v>127500</v>
      </c>
      <c r="R401" t="s">
        <v>792</v>
      </c>
      <c r="S401" t="s">
        <v>739</v>
      </c>
      <c r="T401" t="s">
        <v>740</v>
      </c>
      <c r="U401" t="s">
        <v>35</v>
      </c>
      <c r="V401" t="s">
        <v>23</v>
      </c>
      <c r="W401" t="s">
        <v>36</v>
      </c>
      <c r="X401" t="s">
        <v>24</v>
      </c>
    </row>
    <row r="402" spans="1:24">
      <c r="A402" t="s">
        <v>1297</v>
      </c>
      <c r="B402" s="8">
        <v>45829</v>
      </c>
      <c r="C402" t="s">
        <v>242</v>
      </c>
      <c r="D402" t="s">
        <v>855</v>
      </c>
      <c r="E402">
        <v>3</v>
      </c>
      <c r="F402">
        <v>150000</v>
      </c>
      <c r="G402">
        <v>450000</v>
      </c>
      <c r="H402" t="s">
        <v>872</v>
      </c>
      <c r="I402">
        <v>0</v>
      </c>
      <c r="J402">
        <v>10000</v>
      </c>
      <c r="K402">
        <v>460000</v>
      </c>
      <c r="L402" t="s">
        <v>884</v>
      </c>
      <c r="M402" t="s">
        <v>881</v>
      </c>
      <c r="N402" t="s">
        <v>905</v>
      </c>
      <c r="O402" s="9">
        <v>45809</v>
      </c>
      <c r="P402" t="s">
        <v>892</v>
      </c>
      <c r="Q402">
        <v>450000</v>
      </c>
      <c r="R402" t="s">
        <v>856</v>
      </c>
      <c r="S402" t="s">
        <v>747</v>
      </c>
      <c r="T402" t="s">
        <v>748</v>
      </c>
      <c r="U402" t="s">
        <v>243</v>
      </c>
      <c r="V402" t="s">
        <v>7</v>
      </c>
      <c r="W402" t="s">
        <v>51</v>
      </c>
      <c r="X402" t="s">
        <v>9</v>
      </c>
    </row>
    <row r="403" spans="1:24">
      <c r="A403" t="s">
        <v>1298</v>
      </c>
      <c r="B403" s="8">
        <v>45763</v>
      </c>
      <c r="C403" t="s">
        <v>380</v>
      </c>
      <c r="D403" t="s">
        <v>847</v>
      </c>
      <c r="E403">
        <v>1</v>
      </c>
      <c r="F403">
        <v>100000</v>
      </c>
      <c r="G403">
        <v>100000</v>
      </c>
      <c r="H403" t="s">
        <v>886</v>
      </c>
      <c r="I403">
        <v>10000</v>
      </c>
      <c r="J403">
        <v>25000</v>
      </c>
      <c r="K403">
        <v>115000</v>
      </c>
      <c r="L403" t="s">
        <v>873</v>
      </c>
      <c r="M403" t="s">
        <v>874</v>
      </c>
      <c r="N403" t="s">
        <v>875</v>
      </c>
      <c r="O403" s="9">
        <v>45748</v>
      </c>
      <c r="P403" t="s">
        <v>877</v>
      </c>
      <c r="Q403">
        <v>90000</v>
      </c>
      <c r="R403" t="s">
        <v>848</v>
      </c>
      <c r="S403" t="s">
        <v>731</v>
      </c>
      <c r="T403" t="s">
        <v>732</v>
      </c>
      <c r="U403" t="s">
        <v>381</v>
      </c>
      <c r="V403" t="s">
        <v>23</v>
      </c>
      <c r="W403" t="s">
        <v>39</v>
      </c>
      <c r="X403" t="s">
        <v>9</v>
      </c>
    </row>
    <row r="404" spans="1:24">
      <c r="A404" t="s">
        <v>1299</v>
      </c>
      <c r="B404" s="8">
        <v>45825</v>
      </c>
      <c r="C404" t="s">
        <v>230</v>
      </c>
      <c r="D404" t="s">
        <v>765</v>
      </c>
      <c r="E404">
        <v>4</v>
      </c>
      <c r="F404">
        <v>500000</v>
      </c>
      <c r="G404">
        <v>2000000</v>
      </c>
      <c r="H404" t="s">
        <v>895</v>
      </c>
      <c r="I404">
        <v>300000</v>
      </c>
      <c r="J404">
        <v>25000</v>
      </c>
      <c r="K404">
        <v>1725000</v>
      </c>
      <c r="L404" t="s">
        <v>880</v>
      </c>
      <c r="M404" t="s">
        <v>901</v>
      </c>
      <c r="N404" t="s">
        <v>875</v>
      </c>
      <c r="O404" s="9">
        <v>45809</v>
      </c>
      <c r="P404" t="s">
        <v>877</v>
      </c>
      <c r="Q404">
        <v>1700000</v>
      </c>
      <c r="R404" t="s">
        <v>766</v>
      </c>
      <c r="S404" t="s">
        <v>735</v>
      </c>
      <c r="T404" t="s">
        <v>736</v>
      </c>
      <c r="U404" t="s">
        <v>231</v>
      </c>
      <c r="V404" t="s">
        <v>7</v>
      </c>
      <c r="W404" t="s">
        <v>36</v>
      </c>
      <c r="X404" t="s">
        <v>24</v>
      </c>
    </row>
    <row r="405" spans="1:24">
      <c r="A405" t="s">
        <v>1300</v>
      </c>
      <c r="B405" s="8">
        <v>45739</v>
      </c>
      <c r="C405" t="s">
        <v>684</v>
      </c>
      <c r="D405" t="s">
        <v>767</v>
      </c>
      <c r="E405">
        <v>1</v>
      </c>
      <c r="F405">
        <v>150000</v>
      </c>
      <c r="G405">
        <v>150000</v>
      </c>
      <c r="H405" t="s">
        <v>895</v>
      </c>
      <c r="I405">
        <v>22500</v>
      </c>
      <c r="J405">
        <v>10000</v>
      </c>
      <c r="K405">
        <v>137500</v>
      </c>
      <c r="L405" t="s">
        <v>884</v>
      </c>
      <c r="M405" t="s">
        <v>881</v>
      </c>
      <c r="N405" t="s">
        <v>875</v>
      </c>
      <c r="O405" s="9">
        <v>45717</v>
      </c>
      <c r="P405" t="s">
        <v>877</v>
      </c>
      <c r="Q405">
        <v>127500</v>
      </c>
      <c r="R405" t="s">
        <v>768</v>
      </c>
      <c r="S405" t="s">
        <v>739</v>
      </c>
      <c r="T405" t="s">
        <v>740</v>
      </c>
      <c r="U405" t="s">
        <v>685</v>
      </c>
      <c r="V405" t="s">
        <v>23</v>
      </c>
      <c r="W405" t="s">
        <v>46</v>
      </c>
      <c r="X405" t="s">
        <v>9</v>
      </c>
    </row>
    <row r="406" spans="1:24">
      <c r="A406" t="s">
        <v>1301</v>
      </c>
      <c r="B406" s="8">
        <v>45705</v>
      </c>
      <c r="C406" t="s">
        <v>52</v>
      </c>
      <c r="D406" t="s">
        <v>767</v>
      </c>
      <c r="E406">
        <v>4</v>
      </c>
      <c r="F406">
        <v>150000</v>
      </c>
      <c r="G406">
        <v>600000</v>
      </c>
      <c r="H406" t="s">
        <v>872</v>
      </c>
      <c r="I406">
        <v>0</v>
      </c>
      <c r="J406">
        <v>30000</v>
      </c>
      <c r="K406">
        <v>630000</v>
      </c>
      <c r="L406" t="s">
        <v>884</v>
      </c>
      <c r="M406" t="s">
        <v>874</v>
      </c>
      <c r="N406" t="s">
        <v>890</v>
      </c>
      <c r="O406" s="9">
        <v>45689</v>
      </c>
      <c r="P406" t="s">
        <v>892</v>
      </c>
      <c r="Q406">
        <v>600000</v>
      </c>
      <c r="R406" t="s">
        <v>768</v>
      </c>
      <c r="S406" t="s">
        <v>739</v>
      </c>
      <c r="T406" t="s">
        <v>740</v>
      </c>
      <c r="U406" t="s">
        <v>53</v>
      </c>
      <c r="V406" t="s">
        <v>23</v>
      </c>
      <c r="W406" t="s">
        <v>51</v>
      </c>
      <c r="X406" t="s">
        <v>24</v>
      </c>
    </row>
    <row r="407" spans="1:24">
      <c r="A407" t="s">
        <v>1302</v>
      </c>
      <c r="B407" s="8">
        <v>45766</v>
      </c>
      <c r="C407" t="s">
        <v>692</v>
      </c>
      <c r="D407" t="s">
        <v>833</v>
      </c>
      <c r="E407">
        <v>2</v>
      </c>
      <c r="F407">
        <v>200000</v>
      </c>
      <c r="G407">
        <v>400000</v>
      </c>
      <c r="H407" t="s">
        <v>886</v>
      </c>
      <c r="I407">
        <v>40000</v>
      </c>
      <c r="J407">
        <v>25000</v>
      </c>
      <c r="K407">
        <v>385000</v>
      </c>
      <c r="L407" t="s">
        <v>873</v>
      </c>
      <c r="M407" t="s">
        <v>874</v>
      </c>
      <c r="N407" t="s">
        <v>875</v>
      </c>
      <c r="O407" s="9">
        <v>45748</v>
      </c>
      <c r="P407" t="s">
        <v>877</v>
      </c>
      <c r="Q407">
        <v>360000</v>
      </c>
      <c r="R407" t="s">
        <v>834</v>
      </c>
      <c r="S407" t="s">
        <v>727</v>
      </c>
      <c r="T407" t="s">
        <v>728</v>
      </c>
      <c r="U407" t="s">
        <v>693</v>
      </c>
      <c r="V407" t="s">
        <v>23</v>
      </c>
      <c r="W407" t="s">
        <v>36</v>
      </c>
      <c r="X407" t="s">
        <v>9</v>
      </c>
    </row>
    <row r="408" spans="1:24">
      <c r="A408" t="s">
        <v>1303</v>
      </c>
      <c r="B408" s="8">
        <v>45696</v>
      </c>
      <c r="C408" t="s">
        <v>162</v>
      </c>
      <c r="D408" t="s">
        <v>785</v>
      </c>
      <c r="E408">
        <v>2</v>
      </c>
      <c r="F408">
        <v>100000</v>
      </c>
      <c r="G408">
        <v>200000</v>
      </c>
      <c r="H408" t="s">
        <v>883</v>
      </c>
      <c r="I408">
        <v>20000</v>
      </c>
      <c r="J408">
        <v>30000</v>
      </c>
      <c r="K408">
        <v>210000</v>
      </c>
      <c r="L408" t="s">
        <v>889</v>
      </c>
      <c r="M408" t="s">
        <v>903</v>
      </c>
      <c r="N408" t="s">
        <v>875</v>
      </c>
      <c r="O408" s="9">
        <v>45689</v>
      </c>
      <c r="P408" t="s">
        <v>877</v>
      </c>
      <c r="Q408">
        <v>180000</v>
      </c>
      <c r="R408" t="s">
        <v>786</v>
      </c>
      <c r="S408" t="s">
        <v>727</v>
      </c>
      <c r="T408" t="s">
        <v>728</v>
      </c>
      <c r="U408" t="s">
        <v>163</v>
      </c>
      <c r="V408" t="s">
        <v>7</v>
      </c>
      <c r="W408" t="s">
        <v>39</v>
      </c>
      <c r="X408" t="s">
        <v>9</v>
      </c>
    </row>
    <row r="409" spans="1:24">
      <c r="A409" t="s">
        <v>1304</v>
      </c>
      <c r="B409" s="8">
        <v>45813</v>
      </c>
      <c r="C409" t="s">
        <v>280</v>
      </c>
      <c r="D409" t="s">
        <v>825</v>
      </c>
      <c r="E409">
        <v>3</v>
      </c>
      <c r="F409">
        <v>100000</v>
      </c>
      <c r="G409">
        <v>300000</v>
      </c>
      <c r="H409" t="s">
        <v>886</v>
      </c>
      <c r="I409">
        <v>30000</v>
      </c>
      <c r="J409">
        <v>10000</v>
      </c>
      <c r="K409">
        <v>280000</v>
      </c>
      <c r="L409" t="s">
        <v>884</v>
      </c>
      <c r="M409" t="s">
        <v>901</v>
      </c>
      <c r="N409" t="s">
        <v>905</v>
      </c>
      <c r="O409" s="9">
        <v>45809</v>
      </c>
      <c r="P409" t="s">
        <v>892</v>
      </c>
      <c r="Q409">
        <v>270000</v>
      </c>
      <c r="R409" t="s">
        <v>826</v>
      </c>
      <c r="S409" t="s">
        <v>735</v>
      </c>
      <c r="T409" t="s">
        <v>736</v>
      </c>
      <c r="U409" t="s">
        <v>281</v>
      </c>
      <c r="V409" t="s">
        <v>7</v>
      </c>
      <c r="W409" t="s">
        <v>137</v>
      </c>
      <c r="X409" t="s">
        <v>9</v>
      </c>
    </row>
    <row r="410" spans="1:24">
      <c r="A410" t="s">
        <v>1305</v>
      </c>
      <c r="B410" s="8">
        <v>45663</v>
      </c>
      <c r="C410" t="s">
        <v>430</v>
      </c>
      <c r="D410" t="s">
        <v>799</v>
      </c>
      <c r="E410">
        <v>1</v>
      </c>
      <c r="F410">
        <v>35000</v>
      </c>
      <c r="G410">
        <v>35000</v>
      </c>
      <c r="H410" t="s">
        <v>886</v>
      </c>
      <c r="I410">
        <v>3500</v>
      </c>
      <c r="J410">
        <v>30000</v>
      </c>
      <c r="K410">
        <v>61500</v>
      </c>
      <c r="L410" t="s">
        <v>880</v>
      </c>
      <c r="M410" t="s">
        <v>874</v>
      </c>
      <c r="N410" t="s">
        <v>911</v>
      </c>
      <c r="O410" s="9">
        <v>45658</v>
      </c>
      <c r="P410" t="s">
        <v>892</v>
      </c>
      <c r="Q410">
        <v>31500</v>
      </c>
      <c r="R410" t="s">
        <v>800</v>
      </c>
      <c r="S410" t="s">
        <v>731</v>
      </c>
      <c r="T410" t="s">
        <v>732</v>
      </c>
      <c r="U410" t="s">
        <v>431</v>
      </c>
      <c r="V410" t="s">
        <v>23</v>
      </c>
      <c r="W410" t="s">
        <v>56</v>
      </c>
      <c r="X410" t="s">
        <v>9</v>
      </c>
    </row>
    <row r="411" spans="1:24">
      <c r="A411" t="s">
        <v>1306</v>
      </c>
      <c r="B411" s="8">
        <v>45726</v>
      </c>
      <c r="C411" t="s">
        <v>398</v>
      </c>
      <c r="D411" t="s">
        <v>839</v>
      </c>
      <c r="E411">
        <v>1</v>
      </c>
      <c r="F411">
        <v>200000</v>
      </c>
      <c r="G411">
        <v>200000</v>
      </c>
      <c r="H411" t="s">
        <v>883</v>
      </c>
      <c r="I411">
        <v>20000</v>
      </c>
      <c r="J411">
        <v>25000</v>
      </c>
      <c r="K411">
        <v>205000</v>
      </c>
      <c r="L411" t="s">
        <v>884</v>
      </c>
      <c r="M411" t="s">
        <v>901</v>
      </c>
      <c r="N411" t="s">
        <v>875</v>
      </c>
      <c r="O411" s="9">
        <v>45717</v>
      </c>
      <c r="P411" t="s">
        <v>877</v>
      </c>
      <c r="Q411">
        <v>180000</v>
      </c>
      <c r="R411" t="s">
        <v>840</v>
      </c>
      <c r="S411" t="s">
        <v>739</v>
      </c>
      <c r="T411" t="s">
        <v>740</v>
      </c>
      <c r="U411" t="s">
        <v>399</v>
      </c>
      <c r="V411" t="s">
        <v>7</v>
      </c>
      <c r="W411" t="s">
        <v>51</v>
      </c>
      <c r="X411" t="s">
        <v>15</v>
      </c>
    </row>
    <row r="412" spans="1:24">
      <c r="A412" t="s">
        <v>1307</v>
      </c>
      <c r="B412" s="8">
        <v>45670</v>
      </c>
      <c r="C412" t="s">
        <v>107</v>
      </c>
      <c r="D412" t="s">
        <v>819</v>
      </c>
      <c r="E412">
        <v>1</v>
      </c>
      <c r="F412">
        <v>300000</v>
      </c>
      <c r="G412">
        <v>300000</v>
      </c>
      <c r="H412" t="s">
        <v>872</v>
      </c>
      <c r="I412">
        <v>0</v>
      </c>
      <c r="J412">
        <v>10000</v>
      </c>
      <c r="K412">
        <v>310000</v>
      </c>
      <c r="L412" t="s">
        <v>884</v>
      </c>
      <c r="M412" t="s">
        <v>901</v>
      </c>
      <c r="N412" t="s">
        <v>875</v>
      </c>
      <c r="O412" s="9">
        <v>45658</v>
      </c>
      <c r="P412" t="s">
        <v>877</v>
      </c>
      <c r="Q412">
        <v>300000</v>
      </c>
      <c r="R412" t="s">
        <v>820</v>
      </c>
      <c r="S412" t="s">
        <v>747</v>
      </c>
      <c r="T412" t="s">
        <v>748</v>
      </c>
      <c r="U412" t="s">
        <v>108</v>
      </c>
      <c r="V412" t="s">
        <v>23</v>
      </c>
      <c r="W412" t="s">
        <v>12</v>
      </c>
      <c r="X412" t="s">
        <v>24</v>
      </c>
    </row>
    <row r="413" spans="1:24">
      <c r="A413" t="s">
        <v>1308</v>
      </c>
      <c r="B413" s="8">
        <v>45786</v>
      </c>
      <c r="C413" t="s">
        <v>564</v>
      </c>
      <c r="D413" t="s">
        <v>783</v>
      </c>
      <c r="E413">
        <v>1</v>
      </c>
      <c r="F413">
        <v>500000</v>
      </c>
      <c r="G413">
        <v>500000</v>
      </c>
      <c r="H413" t="s">
        <v>872</v>
      </c>
      <c r="I413">
        <v>0</v>
      </c>
      <c r="J413">
        <v>20000</v>
      </c>
      <c r="K413">
        <v>520000</v>
      </c>
      <c r="L413" t="s">
        <v>880</v>
      </c>
      <c r="M413" t="s">
        <v>881</v>
      </c>
      <c r="N413" t="s">
        <v>875</v>
      </c>
      <c r="O413" s="9">
        <v>45778</v>
      </c>
      <c r="P413" t="s">
        <v>877</v>
      </c>
      <c r="Q413">
        <v>500000</v>
      </c>
      <c r="R413" t="s">
        <v>784</v>
      </c>
      <c r="S413" t="s">
        <v>747</v>
      </c>
      <c r="T413" t="s">
        <v>748</v>
      </c>
      <c r="U413" t="s">
        <v>565</v>
      </c>
      <c r="V413" t="s">
        <v>23</v>
      </c>
      <c r="W413" t="s">
        <v>46</v>
      </c>
      <c r="X413" t="s">
        <v>15</v>
      </c>
    </row>
    <row r="414" spans="1:24">
      <c r="A414" t="s">
        <v>1309</v>
      </c>
      <c r="B414" s="8">
        <v>45768</v>
      </c>
      <c r="C414" t="s">
        <v>392</v>
      </c>
      <c r="D414" t="s">
        <v>761</v>
      </c>
      <c r="E414">
        <v>4</v>
      </c>
      <c r="F414">
        <v>75000</v>
      </c>
      <c r="G414">
        <v>300000</v>
      </c>
      <c r="H414" t="s">
        <v>872</v>
      </c>
      <c r="I414">
        <v>0</v>
      </c>
      <c r="J414">
        <v>15000</v>
      </c>
      <c r="K414">
        <v>315000</v>
      </c>
      <c r="L414" t="s">
        <v>873</v>
      </c>
      <c r="M414" t="s">
        <v>901</v>
      </c>
      <c r="N414" t="s">
        <v>875</v>
      </c>
      <c r="O414" s="9">
        <v>45748</v>
      </c>
      <c r="P414" t="s">
        <v>877</v>
      </c>
      <c r="Q414">
        <v>300000</v>
      </c>
      <c r="R414" t="s">
        <v>762</v>
      </c>
      <c r="S414" t="s">
        <v>727</v>
      </c>
      <c r="T414" t="s">
        <v>728</v>
      </c>
      <c r="U414" t="s">
        <v>393</v>
      </c>
      <c r="V414" t="s">
        <v>7</v>
      </c>
      <c r="W414" t="s">
        <v>20</v>
      </c>
      <c r="X414" t="s">
        <v>9</v>
      </c>
    </row>
    <row r="415" spans="1:24">
      <c r="A415" t="s">
        <v>1310</v>
      </c>
      <c r="B415" s="8">
        <v>45802</v>
      </c>
      <c r="C415" t="s">
        <v>590</v>
      </c>
      <c r="D415" t="s">
        <v>813</v>
      </c>
      <c r="E415">
        <v>2</v>
      </c>
      <c r="F415">
        <v>35000</v>
      </c>
      <c r="G415">
        <v>70000</v>
      </c>
      <c r="H415" t="s">
        <v>886</v>
      </c>
      <c r="I415">
        <v>7000</v>
      </c>
      <c r="J415">
        <v>20000</v>
      </c>
      <c r="K415">
        <v>83000</v>
      </c>
      <c r="L415" t="s">
        <v>884</v>
      </c>
      <c r="M415" t="s">
        <v>903</v>
      </c>
      <c r="N415" t="s">
        <v>890</v>
      </c>
      <c r="O415" s="9">
        <v>45778</v>
      </c>
      <c r="P415" t="s">
        <v>892</v>
      </c>
      <c r="Q415">
        <v>63000</v>
      </c>
      <c r="R415" t="s">
        <v>814</v>
      </c>
      <c r="S415" t="s">
        <v>735</v>
      </c>
      <c r="T415" t="s">
        <v>736</v>
      </c>
      <c r="U415" t="s">
        <v>591</v>
      </c>
      <c r="V415" t="s">
        <v>7</v>
      </c>
      <c r="W415" t="s">
        <v>29</v>
      </c>
      <c r="X415" t="s">
        <v>24</v>
      </c>
    </row>
    <row r="416" spans="1:24">
      <c r="A416" t="s">
        <v>1311</v>
      </c>
      <c r="B416" s="8">
        <v>45751</v>
      </c>
      <c r="C416" t="s">
        <v>316</v>
      </c>
      <c r="D416" t="s">
        <v>831</v>
      </c>
      <c r="E416">
        <v>4</v>
      </c>
      <c r="F416">
        <v>300000</v>
      </c>
      <c r="G416">
        <v>1200000</v>
      </c>
      <c r="H416" t="s">
        <v>879</v>
      </c>
      <c r="I416">
        <v>240000</v>
      </c>
      <c r="J416">
        <v>15000</v>
      </c>
      <c r="K416">
        <v>975000</v>
      </c>
      <c r="L416" t="s">
        <v>889</v>
      </c>
      <c r="M416" t="s">
        <v>881</v>
      </c>
      <c r="N416" t="s">
        <v>875</v>
      </c>
      <c r="O416" s="9">
        <v>45748</v>
      </c>
      <c r="P416" t="s">
        <v>877</v>
      </c>
      <c r="Q416">
        <v>960000</v>
      </c>
      <c r="R416" t="s">
        <v>832</v>
      </c>
      <c r="S416" t="s">
        <v>747</v>
      </c>
      <c r="T416" t="s">
        <v>748</v>
      </c>
      <c r="U416" t="s">
        <v>317</v>
      </c>
      <c r="V416" t="s">
        <v>23</v>
      </c>
      <c r="W416" t="s">
        <v>46</v>
      </c>
      <c r="X416" t="s">
        <v>9</v>
      </c>
    </row>
    <row r="417" spans="1:24">
      <c r="A417" t="s">
        <v>1312</v>
      </c>
      <c r="B417" s="8">
        <v>45765</v>
      </c>
      <c r="C417" t="s">
        <v>123</v>
      </c>
      <c r="D417" t="s">
        <v>781</v>
      </c>
      <c r="E417">
        <v>2</v>
      </c>
      <c r="F417">
        <v>50000</v>
      </c>
      <c r="G417">
        <v>100000</v>
      </c>
      <c r="H417" t="s">
        <v>883</v>
      </c>
      <c r="I417">
        <v>10000</v>
      </c>
      <c r="J417">
        <v>10000</v>
      </c>
      <c r="K417">
        <v>100000</v>
      </c>
      <c r="L417" t="s">
        <v>880</v>
      </c>
      <c r="M417" t="s">
        <v>901</v>
      </c>
      <c r="N417" t="s">
        <v>875</v>
      </c>
      <c r="O417" s="9">
        <v>45748</v>
      </c>
      <c r="P417" t="s">
        <v>877</v>
      </c>
      <c r="Q417">
        <v>90000</v>
      </c>
      <c r="R417" t="s">
        <v>782</v>
      </c>
      <c r="S417" t="s">
        <v>743</v>
      </c>
      <c r="T417" t="s">
        <v>744</v>
      </c>
      <c r="U417" t="s">
        <v>124</v>
      </c>
      <c r="V417" t="s">
        <v>23</v>
      </c>
      <c r="W417" t="s">
        <v>46</v>
      </c>
      <c r="X417" t="s">
        <v>9</v>
      </c>
    </row>
    <row r="418" spans="1:24">
      <c r="A418" t="s">
        <v>1313</v>
      </c>
      <c r="B418" s="8">
        <v>45701</v>
      </c>
      <c r="C418" t="s">
        <v>472</v>
      </c>
      <c r="D418" t="s">
        <v>757</v>
      </c>
      <c r="E418">
        <v>1</v>
      </c>
      <c r="F418">
        <v>75000</v>
      </c>
      <c r="G418">
        <v>75000</v>
      </c>
      <c r="H418" t="s">
        <v>895</v>
      </c>
      <c r="I418">
        <v>11250</v>
      </c>
      <c r="J418">
        <v>10000</v>
      </c>
      <c r="K418">
        <v>73750</v>
      </c>
      <c r="L418" t="s">
        <v>884</v>
      </c>
      <c r="M418" t="s">
        <v>874</v>
      </c>
      <c r="N418" t="s">
        <v>875</v>
      </c>
      <c r="O418" s="9">
        <v>45689</v>
      </c>
      <c r="P418" t="s">
        <v>877</v>
      </c>
      <c r="Q418">
        <v>63750</v>
      </c>
      <c r="R418" t="s">
        <v>758</v>
      </c>
      <c r="S418" t="s">
        <v>743</v>
      </c>
      <c r="T418" t="s">
        <v>744</v>
      </c>
      <c r="U418" t="s">
        <v>473</v>
      </c>
      <c r="V418" t="s">
        <v>7</v>
      </c>
      <c r="W418" t="s">
        <v>137</v>
      </c>
      <c r="X418" t="s">
        <v>9</v>
      </c>
    </row>
    <row r="419" spans="1:24">
      <c r="A419" t="s">
        <v>1314</v>
      </c>
      <c r="B419" s="8">
        <v>45793</v>
      </c>
      <c r="C419" t="s">
        <v>162</v>
      </c>
      <c r="D419" t="s">
        <v>789</v>
      </c>
      <c r="E419">
        <v>3</v>
      </c>
      <c r="F419">
        <v>200000</v>
      </c>
      <c r="G419">
        <v>600000</v>
      </c>
      <c r="H419" t="s">
        <v>872</v>
      </c>
      <c r="I419">
        <v>0</v>
      </c>
      <c r="J419">
        <v>20000</v>
      </c>
      <c r="K419">
        <v>620000</v>
      </c>
      <c r="L419" t="s">
        <v>873</v>
      </c>
      <c r="M419" t="s">
        <v>903</v>
      </c>
      <c r="N419" t="s">
        <v>890</v>
      </c>
      <c r="O419" s="9">
        <v>45778</v>
      </c>
      <c r="P419" t="s">
        <v>892</v>
      </c>
      <c r="Q419">
        <v>600000</v>
      </c>
      <c r="R419" t="s">
        <v>790</v>
      </c>
      <c r="S419" t="s">
        <v>735</v>
      </c>
      <c r="T419" t="s">
        <v>736</v>
      </c>
      <c r="U419" t="s">
        <v>163</v>
      </c>
      <c r="V419" t="s">
        <v>7</v>
      </c>
      <c r="W419" t="s">
        <v>39</v>
      </c>
      <c r="X419" t="s">
        <v>9</v>
      </c>
    </row>
    <row r="420" spans="1:24">
      <c r="A420" t="s">
        <v>1315</v>
      </c>
      <c r="B420" s="8">
        <v>45760</v>
      </c>
      <c r="C420" t="s">
        <v>360</v>
      </c>
      <c r="D420" t="s">
        <v>797</v>
      </c>
      <c r="E420">
        <v>1</v>
      </c>
      <c r="F420">
        <v>150000</v>
      </c>
      <c r="G420">
        <v>150000</v>
      </c>
      <c r="H420" t="s">
        <v>886</v>
      </c>
      <c r="I420">
        <v>15000</v>
      </c>
      <c r="J420">
        <v>15000</v>
      </c>
      <c r="K420">
        <v>150000</v>
      </c>
      <c r="L420" t="s">
        <v>884</v>
      </c>
      <c r="M420" t="s">
        <v>901</v>
      </c>
      <c r="N420" t="s">
        <v>875</v>
      </c>
      <c r="O420" s="9">
        <v>45748</v>
      </c>
      <c r="P420" t="s">
        <v>877</v>
      </c>
      <c r="Q420">
        <v>135000</v>
      </c>
      <c r="R420" t="s">
        <v>798</v>
      </c>
      <c r="S420" t="s">
        <v>727</v>
      </c>
      <c r="T420" t="s">
        <v>728</v>
      </c>
      <c r="U420" t="s">
        <v>361</v>
      </c>
      <c r="V420" t="s">
        <v>23</v>
      </c>
      <c r="W420" t="s">
        <v>137</v>
      </c>
      <c r="X420" t="s">
        <v>9</v>
      </c>
    </row>
    <row r="421" spans="1:24">
      <c r="A421" t="s">
        <v>1316</v>
      </c>
      <c r="B421" s="8">
        <v>45759</v>
      </c>
      <c r="C421" t="s">
        <v>402</v>
      </c>
      <c r="D421" t="s">
        <v>837</v>
      </c>
      <c r="E421">
        <v>3</v>
      </c>
      <c r="F421">
        <v>300000</v>
      </c>
      <c r="G421">
        <v>900000</v>
      </c>
      <c r="H421" t="s">
        <v>872</v>
      </c>
      <c r="I421">
        <v>0</v>
      </c>
      <c r="J421">
        <v>10000</v>
      </c>
      <c r="K421">
        <v>910000</v>
      </c>
      <c r="L421" t="s">
        <v>884</v>
      </c>
      <c r="N421" t="s">
        <v>875</v>
      </c>
      <c r="O421" s="9">
        <v>45748</v>
      </c>
      <c r="P421" t="s">
        <v>877</v>
      </c>
      <c r="Q421">
        <v>900000</v>
      </c>
      <c r="R421" t="s">
        <v>838</v>
      </c>
      <c r="S421" t="s">
        <v>735</v>
      </c>
      <c r="T421" t="s">
        <v>736</v>
      </c>
      <c r="U421" t="s">
        <v>403</v>
      </c>
      <c r="V421" t="s">
        <v>7</v>
      </c>
      <c r="W421" t="s">
        <v>8</v>
      </c>
      <c r="X421" t="s">
        <v>9</v>
      </c>
    </row>
    <row r="422" spans="1:24">
      <c r="A422" t="s">
        <v>1317</v>
      </c>
      <c r="B422" s="8">
        <v>45806</v>
      </c>
      <c r="C422" t="s">
        <v>248</v>
      </c>
      <c r="D422" t="s">
        <v>729</v>
      </c>
      <c r="E422">
        <v>4</v>
      </c>
      <c r="F422">
        <v>100000</v>
      </c>
      <c r="G422">
        <v>400000</v>
      </c>
      <c r="H422" t="s">
        <v>886</v>
      </c>
      <c r="I422">
        <v>40000</v>
      </c>
      <c r="J422">
        <v>20000</v>
      </c>
      <c r="K422">
        <v>380000</v>
      </c>
      <c r="L422" t="s">
        <v>873</v>
      </c>
      <c r="M422" t="s">
        <v>881</v>
      </c>
      <c r="N422" t="s">
        <v>875</v>
      </c>
      <c r="O422" s="9">
        <v>45778</v>
      </c>
      <c r="P422" t="s">
        <v>877</v>
      </c>
      <c r="Q422">
        <v>360000</v>
      </c>
      <c r="R422" t="s">
        <v>730</v>
      </c>
      <c r="S422" t="s">
        <v>731</v>
      </c>
      <c r="T422" t="s">
        <v>732</v>
      </c>
      <c r="U422" t="s">
        <v>249</v>
      </c>
      <c r="V422" t="s">
        <v>23</v>
      </c>
      <c r="W422" t="s">
        <v>56</v>
      </c>
      <c r="X422" t="s">
        <v>9</v>
      </c>
    </row>
    <row r="423" spans="1:24">
      <c r="A423" t="s">
        <v>1318</v>
      </c>
      <c r="B423" s="8">
        <v>45685</v>
      </c>
      <c r="C423" t="s">
        <v>93</v>
      </c>
      <c r="D423" t="s">
        <v>845</v>
      </c>
      <c r="E423">
        <v>2</v>
      </c>
      <c r="F423">
        <v>300000</v>
      </c>
      <c r="G423">
        <v>600000</v>
      </c>
      <c r="H423" t="s">
        <v>879</v>
      </c>
      <c r="I423">
        <v>120000</v>
      </c>
      <c r="J423">
        <v>25000</v>
      </c>
      <c r="K423">
        <v>505000</v>
      </c>
      <c r="L423" t="s">
        <v>873</v>
      </c>
      <c r="M423" t="s">
        <v>903</v>
      </c>
      <c r="N423" t="s">
        <v>911</v>
      </c>
      <c r="O423" s="9">
        <v>45658</v>
      </c>
      <c r="P423" t="s">
        <v>892</v>
      </c>
      <c r="Q423">
        <v>480000</v>
      </c>
      <c r="R423" t="s">
        <v>846</v>
      </c>
      <c r="S423" t="s">
        <v>727</v>
      </c>
      <c r="T423" t="s">
        <v>728</v>
      </c>
      <c r="U423" t="s">
        <v>94</v>
      </c>
      <c r="V423" t="s">
        <v>23</v>
      </c>
      <c r="W423" t="s">
        <v>36</v>
      </c>
      <c r="X423" t="s">
        <v>24</v>
      </c>
    </row>
    <row r="424" spans="1:24">
      <c r="A424" t="s">
        <v>1319</v>
      </c>
      <c r="B424" s="8">
        <v>45715</v>
      </c>
      <c r="C424" t="s">
        <v>556</v>
      </c>
      <c r="D424" t="s">
        <v>839</v>
      </c>
      <c r="E424">
        <v>1</v>
      </c>
      <c r="F424">
        <v>200000</v>
      </c>
      <c r="G424">
        <v>200000</v>
      </c>
      <c r="H424" t="s">
        <v>872</v>
      </c>
      <c r="I424">
        <v>0</v>
      </c>
      <c r="J424">
        <v>20000</v>
      </c>
      <c r="K424">
        <v>220000</v>
      </c>
      <c r="L424" t="s">
        <v>873</v>
      </c>
      <c r="M424" t="s">
        <v>881</v>
      </c>
      <c r="N424" t="s">
        <v>890</v>
      </c>
      <c r="O424" s="9">
        <v>45689</v>
      </c>
      <c r="P424" t="s">
        <v>892</v>
      </c>
      <c r="Q424">
        <v>200000</v>
      </c>
      <c r="R424" t="s">
        <v>840</v>
      </c>
      <c r="S424" t="s">
        <v>739</v>
      </c>
      <c r="T424" t="s">
        <v>740</v>
      </c>
      <c r="U424" t="s">
        <v>557</v>
      </c>
      <c r="V424" t="s">
        <v>23</v>
      </c>
      <c r="W424" t="s">
        <v>46</v>
      </c>
      <c r="X424" t="s">
        <v>9</v>
      </c>
    </row>
    <row r="425" spans="1:24">
      <c r="A425" t="s">
        <v>1320</v>
      </c>
      <c r="B425" s="8">
        <v>45756</v>
      </c>
      <c r="C425" t="s">
        <v>494</v>
      </c>
      <c r="D425" t="s">
        <v>815</v>
      </c>
      <c r="E425">
        <v>1</v>
      </c>
      <c r="F425">
        <v>75000</v>
      </c>
      <c r="G425">
        <v>75000</v>
      </c>
      <c r="H425" t="s">
        <v>883</v>
      </c>
      <c r="I425">
        <v>7500</v>
      </c>
      <c r="J425">
        <v>25000</v>
      </c>
      <c r="K425">
        <v>92500</v>
      </c>
      <c r="L425" t="s">
        <v>889</v>
      </c>
      <c r="M425" t="s">
        <v>874</v>
      </c>
      <c r="N425" t="s">
        <v>905</v>
      </c>
      <c r="O425" s="9">
        <v>45748</v>
      </c>
      <c r="P425" t="s">
        <v>892</v>
      </c>
      <c r="Q425">
        <v>67500</v>
      </c>
      <c r="R425" t="s">
        <v>816</v>
      </c>
      <c r="S425" t="s">
        <v>739</v>
      </c>
      <c r="T425" t="s">
        <v>740</v>
      </c>
      <c r="U425" t="s">
        <v>495</v>
      </c>
      <c r="V425" t="s">
        <v>7</v>
      </c>
      <c r="W425" t="s">
        <v>51</v>
      </c>
      <c r="X425" t="s">
        <v>24</v>
      </c>
    </row>
    <row r="426" spans="1:24">
      <c r="A426" t="s">
        <v>1321</v>
      </c>
      <c r="B426" s="8">
        <v>45771</v>
      </c>
      <c r="C426" t="s">
        <v>292</v>
      </c>
      <c r="D426" t="s">
        <v>829</v>
      </c>
      <c r="E426">
        <v>2</v>
      </c>
      <c r="F426">
        <v>500000</v>
      </c>
      <c r="G426">
        <v>1000000</v>
      </c>
      <c r="H426" t="s">
        <v>872</v>
      </c>
      <c r="I426">
        <v>0</v>
      </c>
      <c r="J426">
        <v>15000</v>
      </c>
      <c r="K426">
        <v>1015000</v>
      </c>
      <c r="L426" t="s">
        <v>884</v>
      </c>
      <c r="M426" t="s">
        <v>901</v>
      </c>
      <c r="N426" t="s">
        <v>875</v>
      </c>
      <c r="O426" s="9">
        <v>45748</v>
      </c>
      <c r="P426" t="s">
        <v>877</v>
      </c>
      <c r="Q426">
        <v>1000000</v>
      </c>
      <c r="R426" t="s">
        <v>830</v>
      </c>
      <c r="S426" t="s">
        <v>743</v>
      </c>
      <c r="T426" t="s">
        <v>744</v>
      </c>
      <c r="U426" t="s">
        <v>293</v>
      </c>
      <c r="V426" t="s">
        <v>23</v>
      </c>
      <c r="W426" t="s">
        <v>46</v>
      </c>
      <c r="X426" t="s">
        <v>9</v>
      </c>
    </row>
    <row r="427" spans="1:24">
      <c r="A427" t="s">
        <v>1322</v>
      </c>
      <c r="B427" s="8">
        <v>45724</v>
      </c>
      <c r="C427" t="s">
        <v>518</v>
      </c>
      <c r="D427" t="s">
        <v>783</v>
      </c>
      <c r="E427">
        <v>3</v>
      </c>
      <c r="F427">
        <v>500000</v>
      </c>
      <c r="G427">
        <v>1500000</v>
      </c>
      <c r="H427" t="s">
        <v>895</v>
      </c>
      <c r="I427">
        <v>225000</v>
      </c>
      <c r="J427">
        <v>15000</v>
      </c>
      <c r="K427">
        <v>1290000</v>
      </c>
      <c r="L427" t="s">
        <v>880</v>
      </c>
      <c r="M427" t="s">
        <v>874</v>
      </c>
      <c r="N427" t="s">
        <v>875</v>
      </c>
      <c r="O427" s="9">
        <v>45717</v>
      </c>
      <c r="P427" t="s">
        <v>877</v>
      </c>
      <c r="Q427">
        <v>1275000</v>
      </c>
      <c r="R427" t="s">
        <v>784</v>
      </c>
      <c r="S427" t="s">
        <v>747</v>
      </c>
      <c r="T427" t="s">
        <v>748</v>
      </c>
      <c r="U427" t="s">
        <v>519</v>
      </c>
      <c r="V427" t="s">
        <v>23</v>
      </c>
      <c r="W427" t="s">
        <v>12</v>
      </c>
      <c r="X427" t="s">
        <v>15</v>
      </c>
    </row>
    <row r="428" spans="1:24">
      <c r="A428" t="s">
        <v>1323</v>
      </c>
      <c r="B428" s="8">
        <v>45724</v>
      </c>
      <c r="C428" t="s">
        <v>322</v>
      </c>
      <c r="D428" t="s">
        <v>741</v>
      </c>
      <c r="E428">
        <v>1</v>
      </c>
      <c r="F428">
        <v>75000</v>
      </c>
      <c r="G428">
        <v>75000</v>
      </c>
      <c r="H428" t="s">
        <v>886</v>
      </c>
      <c r="I428">
        <v>7500</v>
      </c>
      <c r="J428">
        <v>10000</v>
      </c>
      <c r="K428">
        <v>77500</v>
      </c>
      <c r="L428" t="s">
        <v>889</v>
      </c>
      <c r="M428" t="s">
        <v>881</v>
      </c>
      <c r="N428" t="s">
        <v>890</v>
      </c>
      <c r="O428" s="9">
        <v>45717</v>
      </c>
      <c r="P428" t="s">
        <v>892</v>
      </c>
      <c r="Q428">
        <v>67500</v>
      </c>
      <c r="R428" t="s">
        <v>742</v>
      </c>
      <c r="S428" t="s">
        <v>743</v>
      </c>
      <c r="T428" t="s">
        <v>744</v>
      </c>
      <c r="U428" t="s">
        <v>323</v>
      </c>
      <c r="V428" t="s">
        <v>7</v>
      </c>
      <c r="W428" t="s">
        <v>8</v>
      </c>
      <c r="X428" t="s">
        <v>9</v>
      </c>
    </row>
    <row r="429" spans="1:24">
      <c r="A429" t="s">
        <v>1324</v>
      </c>
      <c r="B429" s="8">
        <v>45838</v>
      </c>
      <c r="C429" t="s">
        <v>105</v>
      </c>
      <c r="D429" t="s">
        <v>787</v>
      </c>
      <c r="E429">
        <v>4</v>
      </c>
      <c r="F429">
        <v>200000</v>
      </c>
      <c r="G429">
        <v>800000</v>
      </c>
      <c r="H429" t="s">
        <v>895</v>
      </c>
      <c r="I429">
        <v>120000</v>
      </c>
      <c r="J429">
        <v>25000</v>
      </c>
      <c r="K429">
        <v>705000</v>
      </c>
      <c r="L429" t="s">
        <v>880</v>
      </c>
      <c r="M429" t="s">
        <v>874</v>
      </c>
      <c r="N429" t="s">
        <v>875</v>
      </c>
      <c r="O429" s="9">
        <v>45809</v>
      </c>
      <c r="P429" t="s">
        <v>877</v>
      </c>
      <c r="Q429">
        <v>680000</v>
      </c>
      <c r="R429" t="s">
        <v>788</v>
      </c>
      <c r="S429" t="s">
        <v>731</v>
      </c>
      <c r="T429" t="s">
        <v>732</v>
      </c>
      <c r="U429" t="s">
        <v>106</v>
      </c>
      <c r="V429" t="s">
        <v>23</v>
      </c>
      <c r="W429" t="s">
        <v>8</v>
      </c>
      <c r="X429" t="s">
        <v>15</v>
      </c>
    </row>
    <row r="430" spans="1:24">
      <c r="A430" t="s">
        <v>1325</v>
      </c>
      <c r="B430" s="8">
        <v>45744</v>
      </c>
      <c r="C430" t="s">
        <v>370</v>
      </c>
      <c r="D430" t="s">
        <v>845</v>
      </c>
      <c r="E430">
        <v>1</v>
      </c>
      <c r="F430">
        <v>300000</v>
      </c>
      <c r="G430">
        <v>300000</v>
      </c>
      <c r="H430" t="s">
        <v>872</v>
      </c>
      <c r="I430">
        <v>0</v>
      </c>
      <c r="J430">
        <v>10000</v>
      </c>
      <c r="K430">
        <v>310000</v>
      </c>
      <c r="L430" t="s">
        <v>873</v>
      </c>
      <c r="M430" t="s">
        <v>881</v>
      </c>
      <c r="N430" t="s">
        <v>875</v>
      </c>
      <c r="O430" s="9">
        <v>45717</v>
      </c>
      <c r="P430" t="s">
        <v>877</v>
      </c>
      <c r="Q430">
        <v>300000</v>
      </c>
      <c r="R430" t="s">
        <v>846</v>
      </c>
      <c r="S430" t="s">
        <v>727</v>
      </c>
      <c r="T430" t="s">
        <v>728</v>
      </c>
      <c r="U430" t="s">
        <v>371</v>
      </c>
      <c r="V430" t="s">
        <v>23</v>
      </c>
      <c r="W430" t="s">
        <v>36</v>
      </c>
      <c r="X430" t="s">
        <v>15</v>
      </c>
    </row>
    <row r="431" spans="1:24">
      <c r="A431" t="s">
        <v>1326</v>
      </c>
      <c r="B431" s="8">
        <v>45741</v>
      </c>
      <c r="C431" t="s">
        <v>250</v>
      </c>
      <c r="D431" t="s">
        <v>779</v>
      </c>
      <c r="E431">
        <v>2</v>
      </c>
      <c r="F431">
        <v>150000</v>
      </c>
      <c r="G431">
        <v>300000</v>
      </c>
      <c r="H431" t="s">
        <v>895</v>
      </c>
      <c r="I431">
        <v>45000</v>
      </c>
      <c r="J431">
        <v>15000</v>
      </c>
      <c r="K431">
        <v>270000</v>
      </c>
      <c r="L431" t="s">
        <v>884</v>
      </c>
      <c r="M431" t="s">
        <v>903</v>
      </c>
      <c r="N431" t="s">
        <v>890</v>
      </c>
      <c r="O431" s="9">
        <v>45717</v>
      </c>
      <c r="P431" t="s">
        <v>892</v>
      </c>
      <c r="Q431">
        <v>255000</v>
      </c>
      <c r="R431" t="s">
        <v>780</v>
      </c>
      <c r="S431" t="s">
        <v>739</v>
      </c>
      <c r="T431" t="s">
        <v>740</v>
      </c>
      <c r="U431" t="s">
        <v>251</v>
      </c>
      <c r="V431" t="s">
        <v>23</v>
      </c>
      <c r="W431" t="s">
        <v>36</v>
      </c>
      <c r="X431" t="s">
        <v>9</v>
      </c>
    </row>
    <row r="432" spans="1:24">
      <c r="A432" t="s">
        <v>1327</v>
      </c>
      <c r="B432" s="8">
        <v>45767</v>
      </c>
      <c r="C432" t="s">
        <v>622</v>
      </c>
      <c r="D432" t="s">
        <v>785</v>
      </c>
      <c r="E432">
        <v>2</v>
      </c>
      <c r="F432">
        <v>100000</v>
      </c>
      <c r="G432">
        <v>200000</v>
      </c>
      <c r="H432" t="s">
        <v>879</v>
      </c>
      <c r="I432">
        <v>40000</v>
      </c>
      <c r="J432">
        <v>25000</v>
      </c>
      <c r="K432">
        <v>185000</v>
      </c>
      <c r="L432" t="s">
        <v>884</v>
      </c>
      <c r="M432" t="s">
        <v>903</v>
      </c>
      <c r="N432" t="s">
        <v>875</v>
      </c>
      <c r="O432" s="9">
        <v>45748</v>
      </c>
      <c r="P432" t="s">
        <v>877</v>
      </c>
      <c r="Q432">
        <v>160000</v>
      </c>
      <c r="R432" t="s">
        <v>786</v>
      </c>
      <c r="S432" t="s">
        <v>727</v>
      </c>
      <c r="T432" t="s">
        <v>728</v>
      </c>
      <c r="U432" t="s">
        <v>623</v>
      </c>
      <c r="V432" t="s">
        <v>7</v>
      </c>
      <c r="W432" t="s">
        <v>39</v>
      </c>
      <c r="X432" t="s">
        <v>9</v>
      </c>
    </row>
    <row r="433" spans="1:24">
      <c r="A433" t="s">
        <v>1328</v>
      </c>
      <c r="B433" s="8">
        <v>45704</v>
      </c>
      <c r="C433" t="s">
        <v>200</v>
      </c>
      <c r="D433" t="s">
        <v>771</v>
      </c>
      <c r="E433">
        <v>2</v>
      </c>
      <c r="F433">
        <v>500000</v>
      </c>
      <c r="G433">
        <v>1000000</v>
      </c>
      <c r="H433" t="s">
        <v>895</v>
      </c>
      <c r="I433">
        <v>150000</v>
      </c>
      <c r="J433">
        <v>15000</v>
      </c>
      <c r="K433">
        <v>865000</v>
      </c>
      <c r="L433" t="s">
        <v>884</v>
      </c>
      <c r="M433" t="s">
        <v>881</v>
      </c>
      <c r="N433" t="s">
        <v>905</v>
      </c>
      <c r="O433" s="9">
        <v>45689</v>
      </c>
      <c r="P433" t="s">
        <v>892</v>
      </c>
      <c r="Q433">
        <v>850000</v>
      </c>
      <c r="R433" t="s">
        <v>772</v>
      </c>
      <c r="S433" t="s">
        <v>747</v>
      </c>
      <c r="T433" t="s">
        <v>748</v>
      </c>
      <c r="U433" t="s">
        <v>201</v>
      </c>
      <c r="V433" t="s">
        <v>7</v>
      </c>
      <c r="W433" t="s">
        <v>51</v>
      </c>
      <c r="X433" t="s">
        <v>9</v>
      </c>
    </row>
    <row r="434" spans="1:24">
      <c r="A434" t="s">
        <v>1329</v>
      </c>
      <c r="B434" s="8">
        <v>45795</v>
      </c>
      <c r="C434" t="s">
        <v>708</v>
      </c>
      <c r="D434" t="s">
        <v>839</v>
      </c>
      <c r="E434">
        <v>1</v>
      </c>
      <c r="F434">
        <v>200000</v>
      </c>
      <c r="G434">
        <v>200000</v>
      </c>
      <c r="H434" t="s">
        <v>872</v>
      </c>
      <c r="I434">
        <v>0</v>
      </c>
      <c r="J434">
        <v>30000</v>
      </c>
      <c r="K434">
        <v>230000</v>
      </c>
      <c r="L434" t="s">
        <v>884</v>
      </c>
      <c r="M434" t="s">
        <v>874</v>
      </c>
      <c r="N434" t="s">
        <v>875</v>
      </c>
      <c r="O434" s="9">
        <v>45778</v>
      </c>
      <c r="P434" t="s">
        <v>877</v>
      </c>
      <c r="Q434">
        <v>200000</v>
      </c>
      <c r="R434" t="s">
        <v>840</v>
      </c>
      <c r="S434" t="s">
        <v>739</v>
      </c>
      <c r="T434" t="s">
        <v>740</v>
      </c>
      <c r="U434" t="s">
        <v>709</v>
      </c>
      <c r="V434" t="s">
        <v>23</v>
      </c>
      <c r="W434" t="s">
        <v>39</v>
      </c>
      <c r="X434" t="s">
        <v>9</v>
      </c>
    </row>
    <row r="435" spans="1:24">
      <c r="A435" t="s">
        <v>1330</v>
      </c>
      <c r="B435" s="8">
        <v>45838</v>
      </c>
      <c r="C435" t="s">
        <v>640</v>
      </c>
      <c r="D435" t="s">
        <v>809</v>
      </c>
      <c r="E435">
        <v>1</v>
      </c>
      <c r="F435">
        <v>100000</v>
      </c>
      <c r="G435">
        <v>100000</v>
      </c>
      <c r="H435" t="s">
        <v>883</v>
      </c>
      <c r="I435">
        <v>10000</v>
      </c>
      <c r="J435">
        <v>15000</v>
      </c>
      <c r="K435">
        <v>105000</v>
      </c>
      <c r="L435" t="s">
        <v>889</v>
      </c>
      <c r="M435" t="s">
        <v>901</v>
      </c>
      <c r="N435" t="s">
        <v>921</v>
      </c>
      <c r="O435" s="9">
        <v>45809</v>
      </c>
      <c r="P435" t="s">
        <v>892</v>
      </c>
      <c r="Q435">
        <v>90000</v>
      </c>
      <c r="R435" t="s">
        <v>810</v>
      </c>
      <c r="S435" t="s">
        <v>727</v>
      </c>
      <c r="T435" t="s">
        <v>728</v>
      </c>
      <c r="U435" t="s">
        <v>641</v>
      </c>
      <c r="V435" t="s">
        <v>23</v>
      </c>
      <c r="W435" t="s">
        <v>137</v>
      </c>
      <c r="X435" t="s">
        <v>15</v>
      </c>
    </row>
    <row r="436" spans="1:24">
      <c r="A436" t="s">
        <v>1331</v>
      </c>
      <c r="B436" s="8">
        <v>45761</v>
      </c>
      <c r="C436" t="s">
        <v>394</v>
      </c>
      <c r="D436" t="s">
        <v>837</v>
      </c>
      <c r="E436">
        <v>3</v>
      </c>
      <c r="F436">
        <v>300000</v>
      </c>
      <c r="G436">
        <v>900000</v>
      </c>
      <c r="H436" t="s">
        <v>872</v>
      </c>
      <c r="I436">
        <v>0</v>
      </c>
      <c r="J436">
        <v>20000</v>
      </c>
      <c r="K436">
        <v>920000</v>
      </c>
      <c r="L436" t="s">
        <v>889</v>
      </c>
      <c r="M436" t="s">
        <v>881</v>
      </c>
      <c r="N436" t="s">
        <v>905</v>
      </c>
      <c r="O436" s="9">
        <v>45748</v>
      </c>
      <c r="P436" t="s">
        <v>892</v>
      </c>
      <c r="Q436">
        <v>900000</v>
      </c>
      <c r="R436" t="s">
        <v>838</v>
      </c>
      <c r="S436" t="s">
        <v>735</v>
      </c>
      <c r="T436" t="s">
        <v>736</v>
      </c>
      <c r="U436" t="s">
        <v>395</v>
      </c>
      <c r="V436" t="s">
        <v>7</v>
      </c>
      <c r="W436" t="s">
        <v>39</v>
      </c>
      <c r="X436" t="s">
        <v>9</v>
      </c>
    </row>
    <row r="437" spans="1:24">
      <c r="A437" t="s">
        <v>1332</v>
      </c>
      <c r="B437" s="8">
        <v>45782</v>
      </c>
      <c r="C437" t="s">
        <v>458</v>
      </c>
      <c r="D437" t="s">
        <v>851</v>
      </c>
      <c r="E437">
        <v>3</v>
      </c>
      <c r="F437">
        <v>35000</v>
      </c>
      <c r="G437">
        <v>105000</v>
      </c>
      <c r="H437" t="s">
        <v>872</v>
      </c>
      <c r="I437">
        <v>0</v>
      </c>
      <c r="J437">
        <v>15000</v>
      </c>
      <c r="K437">
        <v>120000</v>
      </c>
      <c r="L437" t="s">
        <v>880</v>
      </c>
      <c r="M437" t="s">
        <v>901</v>
      </c>
      <c r="N437" t="s">
        <v>875</v>
      </c>
      <c r="O437" s="9">
        <v>45778</v>
      </c>
      <c r="P437" t="s">
        <v>877</v>
      </c>
      <c r="Q437">
        <v>105000</v>
      </c>
      <c r="R437" t="s">
        <v>852</v>
      </c>
      <c r="S437" t="s">
        <v>739</v>
      </c>
      <c r="T437" t="s">
        <v>740</v>
      </c>
      <c r="U437" t="s">
        <v>459</v>
      </c>
      <c r="V437" t="s">
        <v>23</v>
      </c>
      <c r="W437" t="s">
        <v>20</v>
      </c>
      <c r="X437" t="s">
        <v>15</v>
      </c>
    </row>
    <row r="438" spans="1:24">
      <c r="A438" t="s">
        <v>1333</v>
      </c>
      <c r="B438" s="8">
        <v>45688</v>
      </c>
      <c r="C438" t="s">
        <v>121</v>
      </c>
      <c r="D438" t="s">
        <v>785</v>
      </c>
      <c r="E438">
        <v>2</v>
      </c>
      <c r="F438">
        <v>100000</v>
      </c>
      <c r="G438">
        <v>200000</v>
      </c>
      <c r="H438" t="s">
        <v>886</v>
      </c>
      <c r="I438">
        <v>20000</v>
      </c>
      <c r="J438">
        <v>10000</v>
      </c>
      <c r="K438">
        <v>190000</v>
      </c>
      <c r="L438" t="s">
        <v>889</v>
      </c>
      <c r="M438" t="s">
        <v>901</v>
      </c>
      <c r="N438" t="s">
        <v>875</v>
      </c>
      <c r="O438" s="9">
        <v>45658</v>
      </c>
      <c r="P438" t="s">
        <v>877</v>
      </c>
      <c r="Q438">
        <v>180000</v>
      </c>
      <c r="R438" t="s">
        <v>786</v>
      </c>
      <c r="S438" t="s">
        <v>727</v>
      </c>
      <c r="T438" t="s">
        <v>728</v>
      </c>
      <c r="U438" t="s">
        <v>122</v>
      </c>
      <c r="V438" t="s">
        <v>7</v>
      </c>
      <c r="W438" t="s">
        <v>36</v>
      </c>
      <c r="X438" t="s">
        <v>9</v>
      </c>
    </row>
    <row r="439" spans="1:24">
      <c r="A439" t="s">
        <v>1334</v>
      </c>
      <c r="B439" s="8">
        <v>45827</v>
      </c>
      <c r="C439" t="s">
        <v>688</v>
      </c>
      <c r="D439" t="s">
        <v>769</v>
      </c>
      <c r="E439">
        <v>3</v>
      </c>
      <c r="F439">
        <v>100000</v>
      </c>
      <c r="G439">
        <v>300000</v>
      </c>
      <c r="H439" t="s">
        <v>872</v>
      </c>
      <c r="I439">
        <v>0</v>
      </c>
      <c r="J439">
        <v>10000</v>
      </c>
      <c r="K439">
        <v>310000</v>
      </c>
      <c r="L439" t="s">
        <v>884</v>
      </c>
      <c r="M439" t="s">
        <v>874</v>
      </c>
      <c r="N439" t="s">
        <v>875</v>
      </c>
      <c r="O439" s="9">
        <v>45809</v>
      </c>
      <c r="P439" t="s">
        <v>877</v>
      </c>
      <c r="Q439">
        <v>300000</v>
      </c>
      <c r="R439" t="s">
        <v>770</v>
      </c>
      <c r="S439" t="s">
        <v>743</v>
      </c>
      <c r="T439" t="s">
        <v>744</v>
      </c>
      <c r="U439" t="s">
        <v>689</v>
      </c>
      <c r="V439" t="s">
        <v>7</v>
      </c>
      <c r="W439" t="s">
        <v>46</v>
      </c>
      <c r="X439" t="s">
        <v>24</v>
      </c>
    </row>
    <row r="440" spans="1:24">
      <c r="A440" t="s">
        <v>1335</v>
      </c>
      <c r="B440" s="8">
        <v>45674</v>
      </c>
      <c r="C440" t="s">
        <v>198</v>
      </c>
      <c r="D440" t="s">
        <v>761</v>
      </c>
      <c r="E440">
        <v>1</v>
      </c>
      <c r="F440">
        <v>75000</v>
      </c>
      <c r="G440">
        <v>75000</v>
      </c>
      <c r="H440" t="s">
        <v>883</v>
      </c>
      <c r="I440">
        <v>7500</v>
      </c>
      <c r="J440">
        <v>30000</v>
      </c>
      <c r="K440">
        <v>97500</v>
      </c>
      <c r="L440" t="s">
        <v>884</v>
      </c>
      <c r="M440" t="s">
        <v>901</v>
      </c>
      <c r="N440" t="s">
        <v>905</v>
      </c>
      <c r="O440" s="9">
        <v>45658</v>
      </c>
      <c r="P440" t="s">
        <v>892</v>
      </c>
      <c r="Q440">
        <v>67500</v>
      </c>
      <c r="R440" t="s">
        <v>762</v>
      </c>
      <c r="S440" t="s">
        <v>727</v>
      </c>
      <c r="T440" t="s">
        <v>728</v>
      </c>
      <c r="U440" t="s">
        <v>199</v>
      </c>
      <c r="V440" t="s">
        <v>23</v>
      </c>
      <c r="W440" t="s">
        <v>39</v>
      </c>
      <c r="X440" t="s">
        <v>15</v>
      </c>
    </row>
    <row r="441" spans="1:24">
      <c r="A441" t="s">
        <v>1336</v>
      </c>
      <c r="B441" s="8">
        <v>45800</v>
      </c>
      <c r="C441" t="s">
        <v>638</v>
      </c>
      <c r="D441" t="s">
        <v>789</v>
      </c>
      <c r="E441">
        <v>2</v>
      </c>
      <c r="F441">
        <v>200000</v>
      </c>
      <c r="G441">
        <v>400000</v>
      </c>
      <c r="H441" t="s">
        <v>872</v>
      </c>
      <c r="I441">
        <v>0</v>
      </c>
      <c r="J441">
        <v>30000</v>
      </c>
      <c r="K441">
        <v>430000</v>
      </c>
      <c r="L441" t="s">
        <v>884</v>
      </c>
      <c r="M441" t="s">
        <v>881</v>
      </c>
      <c r="N441" t="s">
        <v>875</v>
      </c>
      <c r="O441" s="9">
        <v>45778</v>
      </c>
      <c r="P441" t="s">
        <v>877</v>
      </c>
      <c r="Q441">
        <v>400000</v>
      </c>
      <c r="R441" t="s">
        <v>790</v>
      </c>
      <c r="S441" t="s">
        <v>735</v>
      </c>
      <c r="T441" t="s">
        <v>736</v>
      </c>
      <c r="U441" t="s">
        <v>639</v>
      </c>
      <c r="V441" t="s">
        <v>7</v>
      </c>
      <c r="W441" t="s">
        <v>56</v>
      </c>
      <c r="X441" t="s">
        <v>15</v>
      </c>
    </row>
    <row r="442" spans="1:24">
      <c r="A442" t="s">
        <v>1337</v>
      </c>
      <c r="B442" s="8">
        <v>45715</v>
      </c>
      <c r="C442" t="s">
        <v>628</v>
      </c>
      <c r="D442" t="s">
        <v>781</v>
      </c>
      <c r="E442">
        <v>1</v>
      </c>
      <c r="F442">
        <v>50000</v>
      </c>
      <c r="G442">
        <v>50000</v>
      </c>
      <c r="H442" t="s">
        <v>872</v>
      </c>
      <c r="I442">
        <v>0</v>
      </c>
      <c r="J442">
        <v>20000</v>
      </c>
      <c r="K442">
        <v>70000</v>
      </c>
      <c r="L442" t="s">
        <v>880</v>
      </c>
      <c r="M442" t="s">
        <v>903</v>
      </c>
      <c r="N442" t="s">
        <v>875</v>
      </c>
      <c r="O442" s="9">
        <v>45689</v>
      </c>
      <c r="P442" t="s">
        <v>877</v>
      </c>
      <c r="Q442">
        <v>50000</v>
      </c>
      <c r="R442" t="s">
        <v>782</v>
      </c>
      <c r="S442" t="s">
        <v>743</v>
      </c>
      <c r="T442" t="s">
        <v>744</v>
      </c>
      <c r="U442" t="s">
        <v>629</v>
      </c>
      <c r="V442" t="s">
        <v>7</v>
      </c>
      <c r="W442" t="s">
        <v>36</v>
      </c>
      <c r="X442" t="s">
        <v>9</v>
      </c>
    </row>
    <row r="443" spans="1:24">
      <c r="A443" t="s">
        <v>1338</v>
      </c>
      <c r="B443" s="8">
        <v>45803</v>
      </c>
      <c r="C443" t="s">
        <v>564</v>
      </c>
      <c r="D443" t="s">
        <v>849</v>
      </c>
      <c r="E443">
        <v>3</v>
      </c>
      <c r="F443">
        <v>500000</v>
      </c>
      <c r="G443">
        <v>1500000</v>
      </c>
      <c r="H443" t="s">
        <v>872</v>
      </c>
      <c r="I443">
        <v>0</v>
      </c>
      <c r="J443">
        <v>20000</v>
      </c>
      <c r="K443">
        <v>1520000</v>
      </c>
      <c r="L443" t="s">
        <v>889</v>
      </c>
      <c r="M443" t="s">
        <v>874</v>
      </c>
      <c r="N443" t="s">
        <v>905</v>
      </c>
      <c r="O443" s="9">
        <v>45778</v>
      </c>
      <c r="P443" t="s">
        <v>892</v>
      </c>
      <c r="Q443">
        <v>1500000</v>
      </c>
      <c r="R443" t="s">
        <v>850</v>
      </c>
      <c r="S443" t="s">
        <v>735</v>
      </c>
      <c r="T443" t="s">
        <v>736</v>
      </c>
      <c r="U443" t="s">
        <v>565</v>
      </c>
      <c r="V443" t="s">
        <v>23</v>
      </c>
      <c r="W443" t="s">
        <v>46</v>
      </c>
      <c r="X443" t="s">
        <v>15</v>
      </c>
    </row>
    <row r="444" spans="1:24">
      <c r="A444" t="s">
        <v>1339</v>
      </c>
      <c r="B444" s="8">
        <v>45720</v>
      </c>
      <c r="C444" t="s">
        <v>496</v>
      </c>
      <c r="D444" t="s">
        <v>823</v>
      </c>
      <c r="E444">
        <v>1</v>
      </c>
      <c r="F444">
        <v>500000</v>
      </c>
      <c r="G444">
        <v>500000</v>
      </c>
      <c r="H444" t="s">
        <v>895</v>
      </c>
      <c r="I444">
        <v>75000</v>
      </c>
      <c r="J444">
        <v>15000</v>
      </c>
      <c r="K444">
        <v>440000</v>
      </c>
      <c r="L444" t="s">
        <v>884</v>
      </c>
      <c r="M444" t="s">
        <v>874</v>
      </c>
      <c r="N444" t="s">
        <v>875</v>
      </c>
      <c r="O444" s="9">
        <v>45717</v>
      </c>
      <c r="P444" t="s">
        <v>877</v>
      </c>
      <c r="Q444">
        <v>425000</v>
      </c>
      <c r="R444" t="s">
        <v>824</v>
      </c>
      <c r="S444" t="s">
        <v>731</v>
      </c>
      <c r="T444" t="s">
        <v>732</v>
      </c>
      <c r="U444" t="s">
        <v>497</v>
      </c>
      <c r="V444" t="s">
        <v>7</v>
      </c>
      <c r="W444" t="s">
        <v>56</v>
      </c>
      <c r="X444" t="s">
        <v>24</v>
      </c>
    </row>
    <row r="445" spans="1:24">
      <c r="A445" t="s">
        <v>1340</v>
      </c>
      <c r="B445" s="8">
        <v>45833</v>
      </c>
      <c r="C445" t="s">
        <v>105</v>
      </c>
      <c r="D445" t="s">
        <v>815</v>
      </c>
      <c r="E445">
        <v>2</v>
      </c>
      <c r="F445">
        <v>75000</v>
      </c>
      <c r="G445">
        <v>150000</v>
      </c>
      <c r="H445" t="s">
        <v>872</v>
      </c>
      <c r="I445">
        <v>0</v>
      </c>
      <c r="J445">
        <v>25000</v>
      </c>
      <c r="K445">
        <v>175000</v>
      </c>
      <c r="L445" t="s">
        <v>880</v>
      </c>
      <c r="M445" t="s">
        <v>903</v>
      </c>
      <c r="N445" t="s">
        <v>875</v>
      </c>
      <c r="O445" s="9">
        <v>45809</v>
      </c>
      <c r="P445" t="s">
        <v>877</v>
      </c>
      <c r="Q445">
        <v>150000</v>
      </c>
      <c r="R445" t="s">
        <v>816</v>
      </c>
      <c r="S445" t="s">
        <v>739</v>
      </c>
      <c r="T445" t="s">
        <v>740</v>
      </c>
      <c r="U445" t="s">
        <v>106</v>
      </c>
      <c r="V445" t="s">
        <v>23</v>
      </c>
      <c r="W445" t="s">
        <v>8</v>
      </c>
      <c r="X445" t="s">
        <v>15</v>
      </c>
    </row>
    <row r="446" spans="1:24">
      <c r="A446" t="s">
        <v>1341</v>
      </c>
      <c r="B446" s="8">
        <v>45798</v>
      </c>
      <c r="C446" t="s">
        <v>646</v>
      </c>
      <c r="D446" t="s">
        <v>763</v>
      </c>
      <c r="E446">
        <v>2</v>
      </c>
      <c r="F446">
        <v>75000</v>
      </c>
      <c r="G446">
        <v>150000</v>
      </c>
      <c r="H446" t="s">
        <v>886</v>
      </c>
      <c r="I446">
        <v>15000</v>
      </c>
      <c r="J446">
        <v>25000</v>
      </c>
      <c r="K446">
        <v>160000</v>
      </c>
      <c r="L446" t="s">
        <v>884</v>
      </c>
      <c r="M446" t="s">
        <v>874</v>
      </c>
      <c r="N446" t="s">
        <v>875</v>
      </c>
      <c r="O446" s="9">
        <v>45778</v>
      </c>
      <c r="P446" t="s">
        <v>877</v>
      </c>
      <c r="Q446">
        <v>135000</v>
      </c>
      <c r="R446" t="s">
        <v>764</v>
      </c>
      <c r="S446" t="s">
        <v>731</v>
      </c>
      <c r="T446" t="s">
        <v>732</v>
      </c>
      <c r="U446" t="s">
        <v>647</v>
      </c>
      <c r="V446" t="s">
        <v>23</v>
      </c>
      <c r="W446" t="s">
        <v>56</v>
      </c>
      <c r="X446" t="s">
        <v>15</v>
      </c>
    </row>
    <row r="447" spans="1:24">
      <c r="A447" t="s">
        <v>1342</v>
      </c>
      <c r="B447" s="8">
        <v>45801</v>
      </c>
      <c r="C447" t="s">
        <v>398</v>
      </c>
      <c r="D447" t="s">
        <v>737</v>
      </c>
      <c r="E447">
        <v>2</v>
      </c>
      <c r="F447">
        <v>300000</v>
      </c>
      <c r="G447">
        <v>600000</v>
      </c>
      <c r="H447" t="s">
        <v>886</v>
      </c>
      <c r="I447">
        <v>60000</v>
      </c>
      <c r="J447">
        <v>20000</v>
      </c>
      <c r="K447">
        <v>560000</v>
      </c>
      <c r="L447" t="s">
        <v>884</v>
      </c>
      <c r="M447" t="s">
        <v>903</v>
      </c>
      <c r="N447" t="s">
        <v>875</v>
      </c>
      <c r="O447" s="9">
        <v>45778</v>
      </c>
      <c r="P447" t="s">
        <v>877</v>
      </c>
      <c r="Q447">
        <v>540000</v>
      </c>
      <c r="R447" t="s">
        <v>738</v>
      </c>
      <c r="S447" t="s">
        <v>739</v>
      </c>
      <c r="T447" t="s">
        <v>740</v>
      </c>
      <c r="U447" t="s">
        <v>399</v>
      </c>
      <c r="V447" t="s">
        <v>7</v>
      </c>
      <c r="W447" t="s">
        <v>51</v>
      </c>
      <c r="X447" t="s">
        <v>15</v>
      </c>
    </row>
    <row r="448" spans="1:24">
      <c r="A448" t="s">
        <v>1343</v>
      </c>
      <c r="B448" s="8">
        <v>45816</v>
      </c>
      <c r="C448" t="s">
        <v>420</v>
      </c>
      <c r="D448" t="s">
        <v>813</v>
      </c>
      <c r="E448">
        <v>2</v>
      </c>
      <c r="F448">
        <v>35000</v>
      </c>
      <c r="G448">
        <v>70000</v>
      </c>
      <c r="H448" t="s">
        <v>879</v>
      </c>
      <c r="I448">
        <v>14000</v>
      </c>
      <c r="J448">
        <v>15000</v>
      </c>
      <c r="K448">
        <v>71000</v>
      </c>
      <c r="L448" t="s">
        <v>889</v>
      </c>
      <c r="M448" t="s">
        <v>874</v>
      </c>
      <c r="N448" t="s">
        <v>905</v>
      </c>
      <c r="O448" s="9">
        <v>45809</v>
      </c>
      <c r="P448" t="s">
        <v>892</v>
      </c>
      <c r="Q448">
        <v>56000</v>
      </c>
      <c r="R448" t="s">
        <v>814</v>
      </c>
      <c r="S448" t="s">
        <v>735</v>
      </c>
      <c r="T448" t="s">
        <v>736</v>
      </c>
      <c r="U448" t="s">
        <v>421</v>
      </c>
      <c r="V448" t="s">
        <v>7</v>
      </c>
      <c r="W448" t="s">
        <v>137</v>
      </c>
      <c r="X448" t="s">
        <v>24</v>
      </c>
    </row>
    <row r="449" spans="1:24">
      <c r="A449" t="s">
        <v>1344</v>
      </c>
      <c r="B449" s="8">
        <v>45782</v>
      </c>
      <c r="C449" t="s">
        <v>644</v>
      </c>
      <c r="D449" t="s">
        <v>767</v>
      </c>
      <c r="E449">
        <v>1</v>
      </c>
      <c r="F449">
        <v>150000</v>
      </c>
      <c r="G449">
        <v>150000</v>
      </c>
      <c r="H449" t="s">
        <v>895</v>
      </c>
      <c r="I449">
        <v>22500</v>
      </c>
      <c r="J449">
        <v>30000</v>
      </c>
      <c r="K449">
        <v>157500</v>
      </c>
      <c r="L449" t="s">
        <v>884</v>
      </c>
      <c r="M449" t="s">
        <v>903</v>
      </c>
      <c r="N449" t="s">
        <v>875</v>
      </c>
      <c r="O449" s="9">
        <v>45778</v>
      </c>
      <c r="P449" t="s">
        <v>877</v>
      </c>
      <c r="Q449">
        <v>127500</v>
      </c>
      <c r="R449" t="s">
        <v>768</v>
      </c>
      <c r="S449" t="s">
        <v>739</v>
      </c>
      <c r="T449" t="s">
        <v>740</v>
      </c>
      <c r="U449" t="s">
        <v>645</v>
      </c>
      <c r="V449" t="s">
        <v>23</v>
      </c>
      <c r="W449" t="s">
        <v>8</v>
      </c>
      <c r="X449" t="s">
        <v>24</v>
      </c>
    </row>
    <row r="450" spans="1:24">
      <c r="A450" t="s">
        <v>1345</v>
      </c>
      <c r="B450" s="8">
        <v>45824</v>
      </c>
      <c r="C450" t="s">
        <v>138</v>
      </c>
      <c r="D450" t="s">
        <v>803</v>
      </c>
      <c r="E450">
        <v>1</v>
      </c>
      <c r="F450">
        <v>50000</v>
      </c>
      <c r="G450">
        <v>50000</v>
      </c>
      <c r="H450" t="s">
        <v>886</v>
      </c>
      <c r="I450">
        <v>5000</v>
      </c>
      <c r="J450">
        <v>15000</v>
      </c>
      <c r="K450">
        <v>60000</v>
      </c>
      <c r="L450" t="s">
        <v>873</v>
      </c>
      <c r="M450" t="s">
        <v>903</v>
      </c>
      <c r="N450" t="s">
        <v>911</v>
      </c>
      <c r="O450" s="9">
        <v>45809</v>
      </c>
      <c r="P450" t="s">
        <v>892</v>
      </c>
      <c r="Q450">
        <v>45000</v>
      </c>
      <c r="R450" t="s">
        <v>804</v>
      </c>
      <c r="S450" t="s">
        <v>739</v>
      </c>
      <c r="T450" t="s">
        <v>740</v>
      </c>
      <c r="U450" t="s">
        <v>139</v>
      </c>
      <c r="V450" t="s">
        <v>7</v>
      </c>
      <c r="W450" t="s">
        <v>29</v>
      </c>
      <c r="X450" t="s">
        <v>9</v>
      </c>
    </row>
    <row r="451" spans="1:24">
      <c r="A451" t="s">
        <v>1346</v>
      </c>
      <c r="B451" s="8">
        <v>45765</v>
      </c>
      <c r="C451" t="s">
        <v>16</v>
      </c>
      <c r="D451" t="s">
        <v>793</v>
      </c>
      <c r="E451">
        <v>4</v>
      </c>
      <c r="F451">
        <v>500000</v>
      </c>
      <c r="G451">
        <v>2000000</v>
      </c>
      <c r="H451" t="s">
        <v>886</v>
      </c>
      <c r="I451">
        <v>200000</v>
      </c>
      <c r="J451">
        <v>10000</v>
      </c>
      <c r="K451">
        <v>1810000</v>
      </c>
      <c r="L451" t="s">
        <v>884</v>
      </c>
      <c r="M451" t="s">
        <v>881</v>
      </c>
      <c r="N451" t="s">
        <v>875</v>
      </c>
      <c r="O451" s="9">
        <v>45748</v>
      </c>
      <c r="P451" t="s">
        <v>877</v>
      </c>
      <c r="Q451">
        <v>1800000</v>
      </c>
      <c r="R451" t="s">
        <v>794</v>
      </c>
      <c r="S451" t="s">
        <v>743</v>
      </c>
      <c r="T451" t="s">
        <v>744</v>
      </c>
      <c r="U451" t="s">
        <v>17</v>
      </c>
      <c r="V451" t="s">
        <v>7</v>
      </c>
      <c r="W451" t="s">
        <v>12</v>
      </c>
      <c r="X451" t="s">
        <v>15</v>
      </c>
    </row>
    <row r="452" spans="1:24">
      <c r="A452" t="s">
        <v>1347</v>
      </c>
      <c r="B452" s="8">
        <v>45663</v>
      </c>
      <c r="C452" t="s">
        <v>242</v>
      </c>
      <c r="D452" t="s">
        <v>847</v>
      </c>
      <c r="E452">
        <v>1</v>
      </c>
      <c r="F452">
        <v>100000</v>
      </c>
      <c r="G452">
        <v>100000</v>
      </c>
      <c r="H452" t="s">
        <v>879</v>
      </c>
      <c r="I452">
        <v>20000</v>
      </c>
      <c r="J452">
        <v>25000</v>
      </c>
      <c r="K452">
        <v>105000</v>
      </c>
      <c r="L452" t="s">
        <v>880</v>
      </c>
      <c r="M452" t="s">
        <v>881</v>
      </c>
      <c r="N452" t="s">
        <v>875</v>
      </c>
      <c r="O452" s="9">
        <v>45658</v>
      </c>
      <c r="P452" t="s">
        <v>877</v>
      </c>
      <c r="Q452">
        <v>80000</v>
      </c>
      <c r="R452" t="s">
        <v>848</v>
      </c>
      <c r="S452" t="s">
        <v>731</v>
      </c>
      <c r="T452" t="s">
        <v>732</v>
      </c>
      <c r="U452" t="s">
        <v>243</v>
      </c>
      <c r="V452" t="s">
        <v>7</v>
      </c>
      <c r="W452" t="s">
        <v>51</v>
      </c>
      <c r="X452" t="s">
        <v>9</v>
      </c>
    </row>
    <row r="453" spans="1:24">
      <c r="A453" t="s">
        <v>1348</v>
      </c>
      <c r="B453" s="8">
        <v>45738</v>
      </c>
      <c r="C453" t="s">
        <v>612</v>
      </c>
      <c r="D453" t="s">
        <v>773</v>
      </c>
      <c r="E453">
        <v>2</v>
      </c>
      <c r="F453">
        <v>500000</v>
      </c>
      <c r="G453">
        <v>1000000</v>
      </c>
      <c r="H453" t="s">
        <v>879</v>
      </c>
      <c r="I453">
        <v>200000</v>
      </c>
      <c r="J453">
        <v>25000</v>
      </c>
      <c r="K453">
        <v>825000</v>
      </c>
      <c r="L453" t="s">
        <v>880</v>
      </c>
      <c r="M453" t="s">
        <v>881</v>
      </c>
      <c r="N453" t="s">
        <v>905</v>
      </c>
      <c r="O453" s="9">
        <v>45717</v>
      </c>
      <c r="P453" t="s">
        <v>892</v>
      </c>
      <c r="Q453">
        <v>800000</v>
      </c>
      <c r="R453" t="s">
        <v>774</v>
      </c>
      <c r="S453" t="s">
        <v>727</v>
      </c>
      <c r="T453" t="s">
        <v>728</v>
      </c>
      <c r="U453" t="s">
        <v>613</v>
      </c>
      <c r="V453" t="s">
        <v>23</v>
      </c>
      <c r="W453" t="s">
        <v>8</v>
      </c>
      <c r="X453" t="s">
        <v>9</v>
      </c>
    </row>
    <row r="454" spans="1:24">
      <c r="A454" t="s">
        <v>1349</v>
      </c>
      <c r="B454" s="8">
        <v>45807</v>
      </c>
      <c r="C454" t="s">
        <v>512</v>
      </c>
      <c r="D454" t="s">
        <v>757</v>
      </c>
      <c r="E454">
        <v>2</v>
      </c>
      <c r="F454">
        <v>75000</v>
      </c>
      <c r="G454">
        <v>150000</v>
      </c>
      <c r="H454" t="s">
        <v>872</v>
      </c>
      <c r="I454">
        <v>0</v>
      </c>
      <c r="J454">
        <v>10000</v>
      </c>
      <c r="K454">
        <v>160000</v>
      </c>
      <c r="L454" t="s">
        <v>889</v>
      </c>
      <c r="M454" t="s">
        <v>874</v>
      </c>
      <c r="N454" t="s">
        <v>921</v>
      </c>
      <c r="O454" s="9">
        <v>45778</v>
      </c>
      <c r="P454" t="s">
        <v>892</v>
      </c>
      <c r="Q454">
        <v>150000</v>
      </c>
      <c r="R454" t="s">
        <v>758</v>
      </c>
      <c r="S454" t="s">
        <v>743</v>
      </c>
      <c r="T454" t="s">
        <v>744</v>
      </c>
      <c r="U454" t="s">
        <v>513</v>
      </c>
      <c r="V454" t="s">
        <v>23</v>
      </c>
      <c r="W454" t="s">
        <v>39</v>
      </c>
      <c r="X454" t="s">
        <v>24</v>
      </c>
    </row>
    <row r="455" spans="1:24">
      <c r="A455" t="s">
        <v>1350</v>
      </c>
      <c r="B455" s="8">
        <v>45675</v>
      </c>
      <c r="C455" t="s">
        <v>244</v>
      </c>
      <c r="D455" t="s">
        <v>853</v>
      </c>
      <c r="E455">
        <v>1</v>
      </c>
      <c r="F455">
        <v>75000</v>
      </c>
      <c r="G455">
        <v>75000</v>
      </c>
      <c r="H455" t="s">
        <v>872</v>
      </c>
      <c r="I455">
        <v>0</v>
      </c>
      <c r="J455">
        <v>25000</v>
      </c>
      <c r="K455">
        <v>100000</v>
      </c>
      <c r="L455" t="s">
        <v>889</v>
      </c>
      <c r="M455" t="s">
        <v>901</v>
      </c>
      <c r="N455" t="s">
        <v>875</v>
      </c>
      <c r="O455" s="9">
        <v>45658</v>
      </c>
      <c r="P455" t="s">
        <v>877</v>
      </c>
      <c r="Q455">
        <v>75000</v>
      </c>
      <c r="R455" t="s">
        <v>854</v>
      </c>
      <c r="S455" t="s">
        <v>743</v>
      </c>
      <c r="T455" t="s">
        <v>744</v>
      </c>
      <c r="U455" t="s">
        <v>245</v>
      </c>
      <c r="V455" t="s">
        <v>7</v>
      </c>
      <c r="W455" t="s">
        <v>46</v>
      </c>
      <c r="X455" t="s">
        <v>9</v>
      </c>
    </row>
    <row r="456" spans="1:24">
      <c r="A456" t="s">
        <v>1351</v>
      </c>
      <c r="B456" s="8">
        <v>45687</v>
      </c>
      <c r="C456" t="s">
        <v>580</v>
      </c>
      <c r="D456" t="s">
        <v>791</v>
      </c>
      <c r="E456">
        <v>1</v>
      </c>
      <c r="F456">
        <v>50000</v>
      </c>
      <c r="G456">
        <v>50000</v>
      </c>
      <c r="H456" t="s">
        <v>895</v>
      </c>
      <c r="I456">
        <v>7500</v>
      </c>
      <c r="J456">
        <v>15000</v>
      </c>
      <c r="K456">
        <v>57500</v>
      </c>
      <c r="L456" t="s">
        <v>884</v>
      </c>
      <c r="M456" t="s">
        <v>901</v>
      </c>
      <c r="N456" t="s">
        <v>875</v>
      </c>
      <c r="O456" s="9">
        <v>45658</v>
      </c>
      <c r="P456" t="s">
        <v>877</v>
      </c>
      <c r="Q456">
        <v>42500</v>
      </c>
      <c r="R456" t="s">
        <v>792</v>
      </c>
      <c r="S456" t="s">
        <v>739</v>
      </c>
      <c r="T456" t="s">
        <v>740</v>
      </c>
      <c r="U456" t="s">
        <v>581</v>
      </c>
      <c r="V456" t="s">
        <v>7</v>
      </c>
      <c r="W456" t="s">
        <v>20</v>
      </c>
      <c r="X456" t="s">
        <v>24</v>
      </c>
    </row>
    <row r="457" spans="1:24">
      <c r="A457" t="s">
        <v>1352</v>
      </c>
      <c r="B457" s="8">
        <v>45715</v>
      </c>
      <c r="C457" t="s">
        <v>206</v>
      </c>
      <c r="D457" t="s">
        <v>845</v>
      </c>
      <c r="E457">
        <v>4</v>
      </c>
      <c r="F457">
        <v>300000</v>
      </c>
      <c r="G457">
        <v>1200000</v>
      </c>
      <c r="H457" t="s">
        <v>872</v>
      </c>
      <c r="I457">
        <v>0</v>
      </c>
      <c r="J457">
        <v>15000</v>
      </c>
      <c r="K457">
        <v>1215000</v>
      </c>
      <c r="L457" t="s">
        <v>873</v>
      </c>
      <c r="M457" t="s">
        <v>874</v>
      </c>
      <c r="N457" t="s">
        <v>875</v>
      </c>
      <c r="O457" s="9">
        <v>45689</v>
      </c>
      <c r="P457" t="s">
        <v>877</v>
      </c>
      <c r="Q457">
        <v>1200000</v>
      </c>
      <c r="R457" t="s">
        <v>846</v>
      </c>
      <c r="S457" t="s">
        <v>727</v>
      </c>
      <c r="T457" t="s">
        <v>728</v>
      </c>
      <c r="U457" t="s">
        <v>207</v>
      </c>
      <c r="V457" t="s">
        <v>7</v>
      </c>
      <c r="W457" t="s">
        <v>20</v>
      </c>
      <c r="X457" t="s">
        <v>9</v>
      </c>
    </row>
    <row r="458" spans="1:24">
      <c r="A458" t="s">
        <v>1353</v>
      </c>
      <c r="B458" s="8">
        <v>45756</v>
      </c>
      <c r="C458" t="s">
        <v>34</v>
      </c>
      <c r="D458" t="s">
        <v>777</v>
      </c>
      <c r="E458">
        <v>2</v>
      </c>
      <c r="F458">
        <v>200000</v>
      </c>
      <c r="G458">
        <v>400000</v>
      </c>
      <c r="H458" t="s">
        <v>872</v>
      </c>
      <c r="I458">
        <v>0</v>
      </c>
      <c r="J458">
        <v>15000</v>
      </c>
      <c r="K458">
        <v>415000</v>
      </c>
      <c r="L458" t="s">
        <v>884</v>
      </c>
      <c r="M458" t="s">
        <v>901</v>
      </c>
      <c r="N458" t="s">
        <v>911</v>
      </c>
      <c r="O458" s="9">
        <v>45748</v>
      </c>
      <c r="P458" t="s">
        <v>892</v>
      </c>
      <c r="Q458">
        <v>400000</v>
      </c>
      <c r="R458" t="s">
        <v>778</v>
      </c>
      <c r="S458" t="s">
        <v>735</v>
      </c>
      <c r="T458" t="s">
        <v>736</v>
      </c>
      <c r="U458" t="s">
        <v>35</v>
      </c>
      <c r="V458" t="s">
        <v>23</v>
      </c>
      <c r="W458" t="s">
        <v>36</v>
      </c>
      <c r="X458" t="s">
        <v>24</v>
      </c>
    </row>
    <row r="459" spans="1:24">
      <c r="A459" t="s">
        <v>1354</v>
      </c>
      <c r="B459" s="8">
        <v>45733</v>
      </c>
      <c r="C459" t="s">
        <v>260</v>
      </c>
      <c r="D459" t="s">
        <v>819</v>
      </c>
      <c r="E459">
        <v>1</v>
      </c>
      <c r="F459">
        <v>300000</v>
      </c>
      <c r="G459">
        <v>300000</v>
      </c>
      <c r="H459" t="s">
        <v>872</v>
      </c>
      <c r="I459">
        <v>0</v>
      </c>
      <c r="J459">
        <v>20000</v>
      </c>
      <c r="K459">
        <v>320000</v>
      </c>
      <c r="L459" t="s">
        <v>889</v>
      </c>
      <c r="M459" t="s">
        <v>901</v>
      </c>
      <c r="N459" t="s">
        <v>875</v>
      </c>
      <c r="O459" s="9">
        <v>45717</v>
      </c>
      <c r="P459" t="s">
        <v>877</v>
      </c>
      <c r="Q459">
        <v>300000</v>
      </c>
      <c r="R459" t="s">
        <v>820</v>
      </c>
      <c r="S459" t="s">
        <v>747</v>
      </c>
      <c r="T459" t="s">
        <v>748</v>
      </c>
      <c r="U459" t="s">
        <v>261</v>
      </c>
      <c r="V459" t="s">
        <v>7</v>
      </c>
      <c r="W459" t="s">
        <v>51</v>
      </c>
      <c r="X459" t="s">
        <v>9</v>
      </c>
    </row>
    <row r="460" spans="1:24">
      <c r="A460" t="s">
        <v>1355</v>
      </c>
      <c r="B460" s="8">
        <v>45747</v>
      </c>
      <c r="C460" t="s">
        <v>306</v>
      </c>
      <c r="D460" t="s">
        <v>745</v>
      </c>
      <c r="E460">
        <v>1</v>
      </c>
      <c r="F460">
        <v>500000</v>
      </c>
      <c r="G460">
        <v>500000</v>
      </c>
      <c r="H460" t="s">
        <v>895</v>
      </c>
      <c r="I460">
        <v>75000</v>
      </c>
      <c r="J460">
        <v>25000</v>
      </c>
      <c r="K460">
        <v>450000</v>
      </c>
      <c r="L460" t="s">
        <v>884</v>
      </c>
      <c r="M460" t="s">
        <v>874</v>
      </c>
      <c r="N460" t="s">
        <v>890</v>
      </c>
      <c r="O460" s="9">
        <v>45717</v>
      </c>
      <c r="P460" t="s">
        <v>892</v>
      </c>
      <c r="Q460">
        <v>425000</v>
      </c>
      <c r="R460" t="s">
        <v>746</v>
      </c>
      <c r="S460" t="s">
        <v>747</v>
      </c>
      <c r="T460" t="s">
        <v>748</v>
      </c>
      <c r="U460" t="s">
        <v>307</v>
      </c>
      <c r="V460" t="s">
        <v>7</v>
      </c>
      <c r="W460" t="s">
        <v>12</v>
      </c>
      <c r="X460" t="s">
        <v>9</v>
      </c>
    </row>
    <row r="461" spans="1:24">
      <c r="A461" t="s">
        <v>1356</v>
      </c>
      <c r="B461" s="8">
        <v>45734</v>
      </c>
      <c r="C461" t="s">
        <v>510</v>
      </c>
      <c r="D461" t="s">
        <v>729</v>
      </c>
      <c r="E461">
        <v>1</v>
      </c>
      <c r="F461">
        <v>100000</v>
      </c>
      <c r="G461">
        <v>100000</v>
      </c>
      <c r="H461" t="s">
        <v>895</v>
      </c>
      <c r="I461">
        <v>15000</v>
      </c>
      <c r="J461">
        <v>25000</v>
      </c>
      <c r="K461">
        <v>110000</v>
      </c>
      <c r="L461" t="s">
        <v>873</v>
      </c>
      <c r="M461" t="s">
        <v>881</v>
      </c>
      <c r="N461" t="s">
        <v>875</v>
      </c>
      <c r="O461" s="9">
        <v>45717</v>
      </c>
      <c r="P461" t="s">
        <v>877</v>
      </c>
      <c r="Q461">
        <v>85000</v>
      </c>
      <c r="R461" t="s">
        <v>730</v>
      </c>
      <c r="S461" t="s">
        <v>731</v>
      </c>
      <c r="T461" t="s">
        <v>732</v>
      </c>
      <c r="U461" t="s">
        <v>511</v>
      </c>
      <c r="V461" t="s">
        <v>7</v>
      </c>
      <c r="W461" t="s">
        <v>12</v>
      </c>
      <c r="X461" t="s">
        <v>24</v>
      </c>
    </row>
    <row r="462" spans="1:24">
      <c r="A462" t="s">
        <v>1357</v>
      </c>
      <c r="B462" s="8">
        <v>45669</v>
      </c>
      <c r="C462" t="s">
        <v>300</v>
      </c>
      <c r="D462" t="s">
        <v>821</v>
      </c>
      <c r="E462">
        <v>1</v>
      </c>
      <c r="F462">
        <v>50000</v>
      </c>
      <c r="G462">
        <v>50000</v>
      </c>
      <c r="H462" t="s">
        <v>883</v>
      </c>
      <c r="I462">
        <v>5000</v>
      </c>
      <c r="J462">
        <v>30000</v>
      </c>
      <c r="K462">
        <v>75000</v>
      </c>
      <c r="L462" t="s">
        <v>884</v>
      </c>
      <c r="M462" t="s">
        <v>874</v>
      </c>
      <c r="N462" t="s">
        <v>875</v>
      </c>
      <c r="O462" s="9">
        <v>45658</v>
      </c>
      <c r="P462" t="s">
        <v>877</v>
      </c>
      <c r="Q462">
        <v>45000</v>
      </c>
      <c r="R462" t="s">
        <v>822</v>
      </c>
      <c r="S462" t="s">
        <v>727</v>
      </c>
      <c r="T462" t="s">
        <v>728</v>
      </c>
      <c r="U462" t="s">
        <v>301</v>
      </c>
      <c r="V462" t="s">
        <v>7</v>
      </c>
      <c r="W462" t="s">
        <v>39</v>
      </c>
      <c r="X462" t="s">
        <v>9</v>
      </c>
    </row>
    <row r="463" spans="1:24">
      <c r="A463" t="s">
        <v>1358</v>
      </c>
      <c r="B463" s="8">
        <v>45747</v>
      </c>
      <c r="C463" t="s">
        <v>434</v>
      </c>
      <c r="D463" t="s">
        <v>807</v>
      </c>
      <c r="E463">
        <v>2</v>
      </c>
      <c r="F463">
        <v>150000</v>
      </c>
      <c r="G463">
        <v>300000</v>
      </c>
      <c r="H463" t="s">
        <v>872</v>
      </c>
      <c r="I463">
        <v>0</v>
      </c>
      <c r="J463">
        <v>15000</v>
      </c>
      <c r="K463">
        <v>315000</v>
      </c>
      <c r="L463" t="s">
        <v>873</v>
      </c>
      <c r="M463" t="s">
        <v>901</v>
      </c>
      <c r="N463" t="s">
        <v>875</v>
      </c>
      <c r="O463" s="9">
        <v>45717</v>
      </c>
      <c r="P463" t="s">
        <v>877</v>
      </c>
      <c r="Q463">
        <v>300000</v>
      </c>
      <c r="R463" t="s">
        <v>808</v>
      </c>
      <c r="S463" t="s">
        <v>747</v>
      </c>
      <c r="T463" t="s">
        <v>748</v>
      </c>
      <c r="U463" t="s">
        <v>435</v>
      </c>
      <c r="V463" t="s">
        <v>23</v>
      </c>
      <c r="W463" t="s">
        <v>137</v>
      </c>
      <c r="X463" t="s">
        <v>9</v>
      </c>
    </row>
    <row r="464" spans="1:24">
      <c r="A464" t="s">
        <v>1359</v>
      </c>
      <c r="B464" s="8">
        <v>45728</v>
      </c>
      <c r="C464" t="s">
        <v>378</v>
      </c>
      <c r="D464" t="s">
        <v>855</v>
      </c>
      <c r="E464">
        <v>2</v>
      </c>
      <c r="F464">
        <v>150000</v>
      </c>
      <c r="G464">
        <v>300000</v>
      </c>
      <c r="H464" t="s">
        <v>895</v>
      </c>
      <c r="I464">
        <v>45000</v>
      </c>
      <c r="J464">
        <v>25000</v>
      </c>
      <c r="K464">
        <v>280000</v>
      </c>
      <c r="L464" t="s">
        <v>884</v>
      </c>
      <c r="M464" t="s">
        <v>874</v>
      </c>
      <c r="N464" t="s">
        <v>875</v>
      </c>
      <c r="O464" s="9">
        <v>45717</v>
      </c>
      <c r="P464" t="s">
        <v>877</v>
      </c>
      <c r="Q464">
        <v>255000</v>
      </c>
      <c r="R464" t="s">
        <v>856</v>
      </c>
      <c r="S464" t="s">
        <v>747</v>
      </c>
      <c r="T464" t="s">
        <v>748</v>
      </c>
      <c r="U464" t="s">
        <v>379</v>
      </c>
      <c r="V464" t="s">
        <v>23</v>
      </c>
      <c r="W464" t="s">
        <v>137</v>
      </c>
      <c r="X464" t="s">
        <v>9</v>
      </c>
    </row>
    <row r="465" spans="1:24">
      <c r="A465" t="s">
        <v>1360</v>
      </c>
      <c r="B465" s="8">
        <v>45676</v>
      </c>
      <c r="C465" t="s">
        <v>230</v>
      </c>
      <c r="D465" t="s">
        <v>777</v>
      </c>
      <c r="E465">
        <v>2</v>
      </c>
      <c r="F465">
        <v>200000</v>
      </c>
      <c r="G465">
        <v>400000</v>
      </c>
      <c r="H465" t="s">
        <v>895</v>
      </c>
      <c r="I465">
        <v>60000</v>
      </c>
      <c r="J465">
        <v>25000</v>
      </c>
      <c r="K465">
        <v>365000</v>
      </c>
      <c r="L465" t="s">
        <v>889</v>
      </c>
      <c r="M465" t="s">
        <v>874</v>
      </c>
      <c r="N465" t="s">
        <v>890</v>
      </c>
      <c r="O465" s="9">
        <v>45658</v>
      </c>
      <c r="P465" t="s">
        <v>892</v>
      </c>
      <c r="Q465">
        <v>340000</v>
      </c>
      <c r="R465" t="s">
        <v>778</v>
      </c>
      <c r="S465" t="s">
        <v>735</v>
      </c>
      <c r="T465" t="s">
        <v>736</v>
      </c>
      <c r="U465" t="s">
        <v>231</v>
      </c>
      <c r="V465" t="s">
        <v>7</v>
      </c>
      <c r="W465" t="s">
        <v>36</v>
      </c>
      <c r="X465" t="s">
        <v>24</v>
      </c>
    </row>
    <row r="466" spans="1:24">
      <c r="A466" t="s">
        <v>1361</v>
      </c>
      <c r="B466" s="8">
        <v>45787</v>
      </c>
      <c r="C466" t="s">
        <v>466</v>
      </c>
      <c r="D466" t="s">
        <v>767</v>
      </c>
      <c r="E466">
        <v>1</v>
      </c>
      <c r="F466">
        <v>150000</v>
      </c>
      <c r="G466">
        <v>150000</v>
      </c>
      <c r="H466" t="s">
        <v>872</v>
      </c>
      <c r="I466">
        <v>0</v>
      </c>
      <c r="J466">
        <v>15000</v>
      </c>
      <c r="K466">
        <v>165000</v>
      </c>
      <c r="L466" t="s">
        <v>889</v>
      </c>
      <c r="M466" t="s">
        <v>901</v>
      </c>
      <c r="N466" t="s">
        <v>875</v>
      </c>
      <c r="O466" s="9">
        <v>45778</v>
      </c>
      <c r="P466" t="s">
        <v>877</v>
      </c>
      <c r="Q466">
        <v>150000</v>
      </c>
      <c r="R466" t="s">
        <v>768</v>
      </c>
      <c r="S466" t="s">
        <v>739</v>
      </c>
      <c r="T466" t="s">
        <v>740</v>
      </c>
      <c r="U466" t="s">
        <v>467</v>
      </c>
      <c r="V466" t="s">
        <v>7</v>
      </c>
      <c r="W466" t="s">
        <v>46</v>
      </c>
      <c r="X466" t="s">
        <v>24</v>
      </c>
    </row>
    <row r="467" spans="1:24">
      <c r="A467" t="s">
        <v>1362</v>
      </c>
      <c r="B467" s="8">
        <v>45798</v>
      </c>
      <c r="C467" t="s">
        <v>654</v>
      </c>
      <c r="D467" t="s">
        <v>843</v>
      </c>
      <c r="E467">
        <v>2</v>
      </c>
      <c r="F467">
        <v>100000</v>
      </c>
      <c r="G467">
        <v>200000</v>
      </c>
      <c r="H467" t="s">
        <v>872</v>
      </c>
      <c r="I467">
        <v>0</v>
      </c>
      <c r="J467">
        <v>20000</v>
      </c>
      <c r="K467">
        <v>220000</v>
      </c>
      <c r="L467" t="s">
        <v>884</v>
      </c>
      <c r="M467" t="s">
        <v>881</v>
      </c>
      <c r="N467" t="s">
        <v>875</v>
      </c>
      <c r="O467" s="9">
        <v>45778</v>
      </c>
      <c r="P467" t="s">
        <v>877</v>
      </c>
      <c r="Q467">
        <v>200000</v>
      </c>
      <c r="R467" t="s">
        <v>844</v>
      </c>
      <c r="S467" t="s">
        <v>747</v>
      </c>
      <c r="T467" t="s">
        <v>748</v>
      </c>
      <c r="U467" t="s">
        <v>655</v>
      </c>
      <c r="V467" t="s">
        <v>7</v>
      </c>
      <c r="W467" t="s">
        <v>36</v>
      </c>
      <c r="X467" t="s">
        <v>24</v>
      </c>
    </row>
    <row r="468" spans="1:24">
      <c r="A468" t="s">
        <v>1363</v>
      </c>
      <c r="B468" s="8">
        <v>45804</v>
      </c>
      <c r="C468" t="s">
        <v>93</v>
      </c>
      <c r="D468" t="s">
        <v>745</v>
      </c>
      <c r="E468">
        <v>2</v>
      </c>
      <c r="F468">
        <v>500000</v>
      </c>
      <c r="G468">
        <v>1000000</v>
      </c>
      <c r="H468" t="s">
        <v>886</v>
      </c>
      <c r="I468">
        <v>100000</v>
      </c>
      <c r="J468">
        <v>15000</v>
      </c>
      <c r="K468">
        <v>915000</v>
      </c>
      <c r="L468" t="s">
        <v>880</v>
      </c>
      <c r="M468" t="s">
        <v>901</v>
      </c>
      <c r="N468" t="s">
        <v>875</v>
      </c>
      <c r="O468" s="9">
        <v>45778</v>
      </c>
      <c r="P468" t="s">
        <v>877</v>
      </c>
      <c r="Q468">
        <v>900000</v>
      </c>
      <c r="R468" t="s">
        <v>746</v>
      </c>
      <c r="S468" t="s">
        <v>747</v>
      </c>
      <c r="T468" t="s">
        <v>748</v>
      </c>
      <c r="U468" t="s">
        <v>94</v>
      </c>
      <c r="V468" t="s">
        <v>23</v>
      </c>
      <c r="W468" t="s">
        <v>36</v>
      </c>
      <c r="X468" t="s">
        <v>24</v>
      </c>
    </row>
    <row r="469" spans="1:24">
      <c r="A469" t="s">
        <v>1364</v>
      </c>
      <c r="B469" s="8">
        <v>45739</v>
      </c>
      <c r="C469" t="s">
        <v>18</v>
      </c>
      <c r="D469" t="s">
        <v>775</v>
      </c>
      <c r="E469">
        <v>4</v>
      </c>
      <c r="F469">
        <v>75000</v>
      </c>
      <c r="G469">
        <v>300000</v>
      </c>
      <c r="H469" t="s">
        <v>872</v>
      </c>
      <c r="I469">
        <v>0</v>
      </c>
      <c r="J469">
        <v>25000</v>
      </c>
      <c r="K469">
        <v>325000</v>
      </c>
      <c r="L469" t="s">
        <v>884</v>
      </c>
      <c r="M469" t="s">
        <v>903</v>
      </c>
      <c r="N469" t="s">
        <v>890</v>
      </c>
      <c r="O469" s="9">
        <v>45717</v>
      </c>
      <c r="P469" t="s">
        <v>892</v>
      </c>
      <c r="Q469">
        <v>300000</v>
      </c>
      <c r="R469" t="s">
        <v>776</v>
      </c>
      <c r="S469" t="s">
        <v>731</v>
      </c>
      <c r="T469" t="s">
        <v>732</v>
      </c>
      <c r="U469" t="s">
        <v>19</v>
      </c>
      <c r="V469" t="s">
        <v>7</v>
      </c>
      <c r="W469" t="s">
        <v>20</v>
      </c>
      <c r="X469" t="s">
        <v>9</v>
      </c>
    </row>
    <row r="470" spans="1:24">
      <c r="A470" t="s">
        <v>1365</v>
      </c>
      <c r="B470" s="8">
        <v>45691</v>
      </c>
      <c r="C470" t="s">
        <v>172</v>
      </c>
      <c r="D470" t="s">
        <v>819</v>
      </c>
      <c r="E470">
        <v>1</v>
      </c>
      <c r="F470">
        <v>300000</v>
      </c>
      <c r="G470">
        <v>300000</v>
      </c>
      <c r="H470" t="s">
        <v>872</v>
      </c>
      <c r="I470">
        <v>0</v>
      </c>
      <c r="J470">
        <v>20000</v>
      </c>
      <c r="K470">
        <v>320000</v>
      </c>
      <c r="L470" t="s">
        <v>880</v>
      </c>
      <c r="M470" t="s">
        <v>881</v>
      </c>
      <c r="N470" t="s">
        <v>875</v>
      </c>
      <c r="O470" s="9">
        <v>45689</v>
      </c>
      <c r="P470" t="s">
        <v>877</v>
      </c>
      <c r="Q470">
        <v>300000</v>
      </c>
      <c r="R470" t="s">
        <v>820</v>
      </c>
      <c r="S470" t="s">
        <v>747</v>
      </c>
      <c r="T470" t="s">
        <v>748</v>
      </c>
      <c r="U470" t="s">
        <v>173</v>
      </c>
      <c r="V470" t="s">
        <v>7</v>
      </c>
      <c r="W470" t="s">
        <v>56</v>
      </c>
      <c r="X470" t="s">
        <v>9</v>
      </c>
    </row>
    <row r="471" spans="1:24">
      <c r="A471" t="s">
        <v>1366</v>
      </c>
      <c r="B471" s="8">
        <v>45742</v>
      </c>
      <c r="C471" t="s">
        <v>396</v>
      </c>
      <c r="D471" t="s">
        <v>797</v>
      </c>
      <c r="E471">
        <v>1</v>
      </c>
      <c r="F471">
        <v>150000</v>
      </c>
      <c r="G471">
        <v>150000</v>
      </c>
      <c r="H471" t="s">
        <v>872</v>
      </c>
      <c r="I471">
        <v>0</v>
      </c>
      <c r="J471">
        <v>15000</v>
      </c>
      <c r="K471">
        <v>165000</v>
      </c>
      <c r="L471" t="s">
        <v>873</v>
      </c>
      <c r="M471" t="s">
        <v>881</v>
      </c>
      <c r="N471" t="s">
        <v>921</v>
      </c>
      <c r="O471" s="9">
        <v>45717</v>
      </c>
      <c r="P471" t="s">
        <v>892</v>
      </c>
      <c r="Q471">
        <v>150000</v>
      </c>
      <c r="R471" t="s">
        <v>798</v>
      </c>
      <c r="S471" t="s">
        <v>727</v>
      </c>
      <c r="T471" t="s">
        <v>728</v>
      </c>
      <c r="U471" t="s">
        <v>397</v>
      </c>
      <c r="V471" t="s">
        <v>7</v>
      </c>
      <c r="W471" t="s">
        <v>36</v>
      </c>
      <c r="X471" t="s">
        <v>9</v>
      </c>
    </row>
    <row r="472" spans="1:24">
      <c r="A472" t="s">
        <v>1367</v>
      </c>
      <c r="B472" s="8">
        <v>45717</v>
      </c>
      <c r="C472" t="s">
        <v>564</v>
      </c>
      <c r="D472" t="s">
        <v>799</v>
      </c>
      <c r="E472">
        <v>3</v>
      </c>
      <c r="F472">
        <v>35000</v>
      </c>
      <c r="G472">
        <v>105000</v>
      </c>
      <c r="H472" t="s">
        <v>883</v>
      </c>
      <c r="I472">
        <v>10500</v>
      </c>
      <c r="J472">
        <v>30000</v>
      </c>
      <c r="K472">
        <v>124500</v>
      </c>
      <c r="L472" t="s">
        <v>884</v>
      </c>
      <c r="M472" t="s">
        <v>874</v>
      </c>
      <c r="N472" t="s">
        <v>875</v>
      </c>
      <c r="O472" s="9">
        <v>45717</v>
      </c>
      <c r="P472" t="s">
        <v>877</v>
      </c>
      <c r="Q472">
        <v>94500</v>
      </c>
      <c r="R472" t="s">
        <v>800</v>
      </c>
      <c r="S472" t="s">
        <v>731</v>
      </c>
      <c r="T472" t="s">
        <v>732</v>
      </c>
      <c r="U472" t="s">
        <v>565</v>
      </c>
      <c r="V472" t="s">
        <v>23</v>
      </c>
      <c r="W472" t="s">
        <v>46</v>
      </c>
      <c r="X472" t="s">
        <v>15</v>
      </c>
    </row>
    <row r="473" spans="1:24">
      <c r="A473" t="s">
        <v>1368</v>
      </c>
      <c r="B473" s="8">
        <v>45661</v>
      </c>
      <c r="C473" t="s">
        <v>672</v>
      </c>
      <c r="D473" t="s">
        <v>787</v>
      </c>
      <c r="E473">
        <v>4</v>
      </c>
      <c r="F473">
        <v>200000</v>
      </c>
      <c r="G473">
        <v>800000</v>
      </c>
      <c r="H473" t="s">
        <v>886</v>
      </c>
      <c r="I473">
        <v>80000</v>
      </c>
      <c r="J473">
        <v>10000</v>
      </c>
      <c r="K473">
        <v>730000</v>
      </c>
      <c r="L473" t="s">
        <v>889</v>
      </c>
      <c r="M473" t="s">
        <v>901</v>
      </c>
      <c r="N473" t="s">
        <v>905</v>
      </c>
      <c r="O473" s="9">
        <v>45658</v>
      </c>
      <c r="P473" t="s">
        <v>892</v>
      </c>
      <c r="Q473">
        <v>720000</v>
      </c>
      <c r="R473" t="s">
        <v>788</v>
      </c>
      <c r="S473" t="s">
        <v>731</v>
      </c>
      <c r="T473" t="s">
        <v>732</v>
      </c>
      <c r="U473" t="s">
        <v>673</v>
      </c>
      <c r="V473" t="s">
        <v>7</v>
      </c>
      <c r="W473" t="s">
        <v>51</v>
      </c>
      <c r="X473" t="s">
        <v>9</v>
      </c>
    </row>
    <row r="474" spans="1:24">
      <c r="A474" t="s">
        <v>1369</v>
      </c>
      <c r="B474" s="8">
        <v>45704</v>
      </c>
      <c r="C474" t="s">
        <v>380</v>
      </c>
      <c r="D474" t="s">
        <v>819</v>
      </c>
      <c r="E474">
        <v>4</v>
      </c>
      <c r="F474">
        <v>300000</v>
      </c>
      <c r="G474">
        <v>1200000</v>
      </c>
      <c r="H474" t="s">
        <v>872</v>
      </c>
      <c r="I474">
        <v>0</v>
      </c>
      <c r="J474">
        <v>20000</v>
      </c>
      <c r="K474">
        <v>1220000</v>
      </c>
      <c r="L474" t="s">
        <v>880</v>
      </c>
      <c r="M474" t="s">
        <v>874</v>
      </c>
      <c r="N474" t="s">
        <v>875</v>
      </c>
      <c r="O474" s="9">
        <v>45689</v>
      </c>
      <c r="P474" t="s">
        <v>877</v>
      </c>
      <c r="Q474">
        <v>1200000</v>
      </c>
      <c r="R474" t="s">
        <v>820</v>
      </c>
      <c r="S474" t="s">
        <v>747</v>
      </c>
      <c r="T474" t="s">
        <v>748</v>
      </c>
      <c r="U474" t="s">
        <v>381</v>
      </c>
      <c r="V474" t="s">
        <v>23</v>
      </c>
      <c r="W474" t="s">
        <v>39</v>
      </c>
      <c r="X474" t="s">
        <v>9</v>
      </c>
    </row>
    <row r="475" spans="1:24">
      <c r="A475" t="s">
        <v>1370</v>
      </c>
      <c r="B475" s="8">
        <v>45697</v>
      </c>
      <c r="C475" t="s">
        <v>630</v>
      </c>
      <c r="D475" t="s">
        <v>821</v>
      </c>
      <c r="E475">
        <v>1</v>
      </c>
      <c r="F475">
        <v>50000</v>
      </c>
      <c r="G475">
        <v>50000</v>
      </c>
      <c r="H475" t="s">
        <v>883</v>
      </c>
      <c r="I475">
        <v>5000</v>
      </c>
      <c r="J475">
        <v>15000</v>
      </c>
      <c r="K475">
        <v>60000</v>
      </c>
      <c r="L475" t="s">
        <v>884</v>
      </c>
      <c r="M475" t="s">
        <v>903</v>
      </c>
      <c r="N475" t="s">
        <v>905</v>
      </c>
      <c r="O475" s="9">
        <v>45689</v>
      </c>
      <c r="P475" t="s">
        <v>892</v>
      </c>
      <c r="Q475">
        <v>45000</v>
      </c>
      <c r="R475" t="s">
        <v>822</v>
      </c>
      <c r="S475" t="s">
        <v>727</v>
      </c>
      <c r="T475" t="s">
        <v>728</v>
      </c>
      <c r="U475" t="s">
        <v>631</v>
      </c>
      <c r="V475" t="s">
        <v>7</v>
      </c>
      <c r="W475" t="s">
        <v>36</v>
      </c>
      <c r="X475" t="s">
        <v>24</v>
      </c>
    </row>
    <row r="476" spans="1:24">
      <c r="A476" t="s">
        <v>1371</v>
      </c>
      <c r="B476" s="8">
        <v>45706</v>
      </c>
      <c r="C476" t="s">
        <v>306</v>
      </c>
      <c r="D476" t="s">
        <v>729</v>
      </c>
      <c r="E476">
        <v>2</v>
      </c>
      <c r="F476">
        <v>100000</v>
      </c>
      <c r="G476">
        <v>200000</v>
      </c>
      <c r="H476" t="s">
        <v>895</v>
      </c>
      <c r="I476">
        <v>30000</v>
      </c>
      <c r="J476">
        <v>30000</v>
      </c>
      <c r="K476">
        <v>200000</v>
      </c>
      <c r="L476" t="s">
        <v>884</v>
      </c>
      <c r="M476" t="s">
        <v>874</v>
      </c>
      <c r="N476" t="s">
        <v>875</v>
      </c>
      <c r="O476" s="9">
        <v>45689</v>
      </c>
      <c r="P476" t="s">
        <v>877</v>
      </c>
      <c r="Q476">
        <v>170000</v>
      </c>
      <c r="R476" t="s">
        <v>730</v>
      </c>
      <c r="S476" t="s">
        <v>731</v>
      </c>
      <c r="T476" t="s">
        <v>732</v>
      </c>
      <c r="U476" t="s">
        <v>307</v>
      </c>
      <c r="V476" t="s">
        <v>7</v>
      </c>
      <c r="W476" t="s">
        <v>12</v>
      </c>
      <c r="X476" t="s">
        <v>9</v>
      </c>
    </row>
    <row r="477" spans="1:24">
      <c r="A477" t="s">
        <v>1372</v>
      </c>
      <c r="B477" s="8">
        <v>45667</v>
      </c>
      <c r="C477" t="s">
        <v>614</v>
      </c>
      <c r="D477" t="s">
        <v>815</v>
      </c>
      <c r="E477">
        <v>1</v>
      </c>
      <c r="F477">
        <v>75000</v>
      </c>
      <c r="G477">
        <v>75000</v>
      </c>
      <c r="H477" t="s">
        <v>872</v>
      </c>
      <c r="I477">
        <v>0</v>
      </c>
      <c r="J477">
        <v>30000</v>
      </c>
      <c r="K477">
        <v>105000</v>
      </c>
      <c r="L477" t="s">
        <v>873</v>
      </c>
      <c r="M477" t="s">
        <v>903</v>
      </c>
      <c r="N477" t="s">
        <v>875</v>
      </c>
      <c r="O477" s="9">
        <v>45658</v>
      </c>
      <c r="P477" t="s">
        <v>877</v>
      </c>
      <c r="Q477">
        <v>75000</v>
      </c>
      <c r="R477" t="s">
        <v>816</v>
      </c>
      <c r="S477" t="s">
        <v>739</v>
      </c>
      <c r="T477" t="s">
        <v>740</v>
      </c>
      <c r="U477" t="s">
        <v>615</v>
      </c>
      <c r="V477" t="s">
        <v>23</v>
      </c>
      <c r="W477" t="s">
        <v>51</v>
      </c>
      <c r="X477" t="s">
        <v>9</v>
      </c>
    </row>
    <row r="478" spans="1:24">
      <c r="A478" t="s">
        <v>1373</v>
      </c>
      <c r="B478" s="8">
        <v>45679</v>
      </c>
      <c r="C478" t="s">
        <v>388</v>
      </c>
      <c r="D478" t="s">
        <v>775</v>
      </c>
      <c r="E478">
        <v>1</v>
      </c>
      <c r="F478">
        <v>75000</v>
      </c>
      <c r="G478">
        <v>75000</v>
      </c>
      <c r="H478" t="s">
        <v>872</v>
      </c>
      <c r="I478">
        <v>0</v>
      </c>
      <c r="J478">
        <v>10000</v>
      </c>
      <c r="K478">
        <v>85000</v>
      </c>
      <c r="L478" t="s">
        <v>873</v>
      </c>
      <c r="M478" t="s">
        <v>903</v>
      </c>
      <c r="N478" t="s">
        <v>875</v>
      </c>
      <c r="O478" s="9">
        <v>45658</v>
      </c>
      <c r="P478" t="s">
        <v>877</v>
      </c>
      <c r="Q478">
        <v>75000</v>
      </c>
      <c r="R478" t="s">
        <v>776</v>
      </c>
      <c r="S478" t="s">
        <v>731</v>
      </c>
      <c r="T478" t="s">
        <v>732</v>
      </c>
      <c r="U478" t="s">
        <v>389</v>
      </c>
      <c r="V478" t="s">
        <v>7</v>
      </c>
      <c r="W478" t="s">
        <v>51</v>
      </c>
      <c r="X478" t="s">
        <v>9</v>
      </c>
    </row>
    <row r="479" spans="1:24">
      <c r="A479" t="s">
        <v>1374</v>
      </c>
      <c r="B479" s="8">
        <v>45723</v>
      </c>
      <c r="C479" t="s">
        <v>37</v>
      </c>
      <c r="D479" t="s">
        <v>815</v>
      </c>
      <c r="E479">
        <v>1</v>
      </c>
      <c r="F479">
        <v>75000</v>
      </c>
      <c r="G479">
        <v>75000</v>
      </c>
      <c r="H479" t="s">
        <v>883</v>
      </c>
      <c r="I479">
        <v>7500</v>
      </c>
      <c r="J479">
        <v>25000</v>
      </c>
      <c r="K479">
        <v>92500</v>
      </c>
      <c r="L479" t="s">
        <v>889</v>
      </c>
      <c r="M479" t="s">
        <v>874</v>
      </c>
      <c r="N479" t="s">
        <v>875</v>
      </c>
      <c r="O479" s="9">
        <v>45717</v>
      </c>
      <c r="P479" t="s">
        <v>877</v>
      </c>
      <c r="Q479">
        <v>67500</v>
      </c>
      <c r="R479" t="s">
        <v>816</v>
      </c>
      <c r="S479" t="s">
        <v>739</v>
      </c>
      <c r="T479" t="s">
        <v>740</v>
      </c>
      <c r="U479" t="s">
        <v>38</v>
      </c>
      <c r="V479" t="s">
        <v>23</v>
      </c>
      <c r="W479" t="s">
        <v>39</v>
      </c>
      <c r="X479" t="s">
        <v>9</v>
      </c>
    </row>
    <row r="480" spans="1:24">
      <c r="A480" t="s">
        <v>1375</v>
      </c>
      <c r="B480" s="8">
        <v>45696</v>
      </c>
      <c r="C480" t="s">
        <v>138</v>
      </c>
      <c r="D480" t="s">
        <v>729</v>
      </c>
      <c r="E480">
        <v>1</v>
      </c>
      <c r="F480">
        <v>100000</v>
      </c>
      <c r="G480">
        <v>100000</v>
      </c>
      <c r="H480" t="s">
        <v>872</v>
      </c>
      <c r="I480">
        <v>0</v>
      </c>
      <c r="J480">
        <v>10000</v>
      </c>
      <c r="K480">
        <v>110000</v>
      </c>
      <c r="L480" t="s">
        <v>873</v>
      </c>
      <c r="M480" t="s">
        <v>903</v>
      </c>
      <c r="N480" t="s">
        <v>875</v>
      </c>
      <c r="O480" s="9">
        <v>45689</v>
      </c>
      <c r="P480" t="s">
        <v>877</v>
      </c>
      <c r="Q480">
        <v>100000</v>
      </c>
      <c r="R480" t="s">
        <v>730</v>
      </c>
      <c r="S480" t="s">
        <v>731</v>
      </c>
      <c r="T480" t="s">
        <v>732</v>
      </c>
      <c r="U480" t="s">
        <v>139</v>
      </c>
      <c r="V480" t="s">
        <v>7</v>
      </c>
      <c r="W480" t="s">
        <v>29</v>
      </c>
      <c r="X480" t="s">
        <v>9</v>
      </c>
    </row>
    <row r="481" spans="1:24">
      <c r="A481" t="s">
        <v>1376</v>
      </c>
      <c r="B481" s="8">
        <v>45735</v>
      </c>
      <c r="C481" t="s">
        <v>406</v>
      </c>
      <c r="D481" t="s">
        <v>793</v>
      </c>
      <c r="E481">
        <v>4</v>
      </c>
      <c r="F481">
        <v>500000</v>
      </c>
      <c r="G481">
        <v>2000000</v>
      </c>
      <c r="H481" t="s">
        <v>872</v>
      </c>
      <c r="I481">
        <v>0</v>
      </c>
      <c r="J481">
        <v>30000</v>
      </c>
      <c r="K481">
        <v>2030000</v>
      </c>
      <c r="L481" t="s">
        <v>884</v>
      </c>
      <c r="M481" t="s">
        <v>901</v>
      </c>
      <c r="N481" t="s">
        <v>911</v>
      </c>
      <c r="O481" s="9">
        <v>45717</v>
      </c>
      <c r="P481" t="s">
        <v>892</v>
      </c>
      <c r="Q481">
        <v>2000000</v>
      </c>
      <c r="R481" t="s">
        <v>794</v>
      </c>
      <c r="S481" t="s">
        <v>743</v>
      </c>
      <c r="T481" t="s">
        <v>744</v>
      </c>
      <c r="U481" t="s">
        <v>407</v>
      </c>
      <c r="V481" t="s">
        <v>7</v>
      </c>
      <c r="W481" t="s">
        <v>39</v>
      </c>
      <c r="X481" t="s">
        <v>15</v>
      </c>
    </row>
    <row r="482" spans="1:24">
      <c r="A482" t="s">
        <v>1377</v>
      </c>
      <c r="B482" s="8">
        <v>45795</v>
      </c>
      <c r="C482" t="s">
        <v>238</v>
      </c>
      <c r="D482" t="s">
        <v>763</v>
      </c>
      <c r="E482">
        <v>2</v>
      </c>
      <c r="F482">
        <v>75000</v>
      </c>
      <c r="G482">
        <v>150000</v>
      </c>
      <c r="H482" t="s">
        <v>883</v>
      </c>
      <c r="I482">
        <v>15000</v>
      </c>
      <c r="J482">
        <v>25000</v>
      </c>
      <c r="K482">
        <v>160000</v>
      </c>
      <c r="L482" t="s">
        <v>884</v>
      </c>
      <c r="M482" t="s">
        <v>874</v>
      </c>
      <c r="N482" t="s">
        <v>875</v>
      </c>
      <c r="O482" s="9">
        <v>45778</v>
      </c>
      <c r="P482" t="s">
        <v>877</v>
      </c>
      <c r="Q482">
        <v>135000</v>
      </c>
      <c r="R482" t="s">
        <v>764</v>
      </c>
      <c r="S482" t="s">
        <v>731</v>
      </c>
      <c r="T482" t="s">
        <v>732</v>
      </c>
      <c r="U482" t="s">
        <v>239</v>
      </c>
      <c r="V482" t="s">
        <v>23</v>
      </c>
      <c r="W482" t="s">
        <v>46</v>
      </c>
      <c r="X482" t="s">
        <v>9</v>
      </c>
    </row>
    <row r="483" spans="1:24">
      <c r="A483" t="s">
        <v>1378</v>
      </c>
      <c r="B483" s="8">
        <v>45830</v>
      </c>
      <c r="C483" t="s">
        <v>61</v>
      </c>
      <c r="D483" t="s">
        <v>763</v>
      </c>
      <c r="E483">
        <v>4</v>
      </c>
      <c r="F483">
        <v>75000</v>
      </c>
      <c r="G483">
        <v>300000</v>
      </c>
      <c r="H483" t="s">
        <v>872</v>
      </c>
      <c r="I483">
        <v>0</v>
      </c>
      <c r="J483">
        <v>30000</v>
      </c>
      <c r="K483">
        <v>330000</v>
      </c>
      <c r="L483" t="s">
        <v>880</v>
      </c>
      <c r="M483" t="s">
        <v>901</v>
      </c>
      <c r="N483" t="s">
        <v>890</v>
      </c>
      <c r="O483" s="9">
        <v>45809</v>
      </c>
      <c r="P483" t="s">
        <v>892</v>
      </c>
      <c r="Q483">
        <v>300000</v>
      </c>
      <c r="R483" t="s">
        <v>764</v>
      </c>
      <c r="S483" t="s">
        <v>731</v>
      </c>
      <c r="T483" t="s">
        <v>732</v>
      </c>
      <c r="U483" t="s">
        <v>62</v>
      </c>
      <c r="V483" t="s">
        <v>23</v>
      </c>
      <c r="W483" t="s">
        <v>39</v>
      </c>
      <c r="X483" t="s">
        <v>24</v>
      </c>
    </row>
    <row r="484" spans="1:24">
      <c r="A484" t="s">
        <v>1379</v>
      </c>
      <c r="B484" s="8">
        <v>45821</v>
      </c>
      <c r="C484" t="s">
        <v>314</v>
      </c>
      <c r="D484" t="s">
        <v>771</v>
      </c>
      <c r="E484">
        <v>3</v>
      </c>
      <c r="F484">
        <v>500000</v>
      </c>
      <c r="G484">
        <v>1500000</v>
      </c>
      <c r="H484" t="s">
        <v>872</v>
      </c>
      <c r="I484">
        <v>0</v>
      </c>
      <c r="J484">
        <v>30000</v>
      </c>
      <c r="K484">
        <v>1530000</v>
      </c>
      <c r="L484" t="s">
        <v>889</v>
      </c>
      <c r="M484" t="s">
        <v>881</v>
      </c>
      <c r="N484" t="s">
        <v>875</v>
      </c>
      <c r="O484" s="9">
        <v>45809</v>
      </c>
      <c r="P484" t="s">
        <v>877</v>
      </c>
      <c r="Q484">
        <v>1500000</v>
      </c>
      <c r="R484" t="s">
        <v>772</v>
      </c>
      <c r="S484" t="s">
        <v>747</v>
      </c>
      <c r="T484" t="s">
        <v>748</v>
      </c>
      <c r="U484" t="s">
        <v>315</v>
      </c>
      <c r="V484" t="s">
        <v>23</v>
      </c>
      <c r="W484" t="s">
        <v>56</v>
      </c>
      <c r="X484" t="s">
        <v>9</v>
      </c>
    </row>
    <row r="485" spans="1:24">
      <c r="A485" t="s">
        <v>1380</v>
      </c>
      <c r="B485" s="8">
        <v>45806</v>
      </c>
      <c r="C485" t="s">
        <v>226</v>
      </c>
      <c r="D485" t="s">
        <v>837</v>
      </c>
      <c r="E485">
        <v>3</v>
      </c>
      <c r="F485">
        <v>300000</v>
      </c>
      <c r="G485">
        <v>900000</v>
      </c>
      <c r="H485" t="s">
        <v>872</v>
      </c>
      <c r="I485">
        <v>0</v>
      </c>
      <c r="J485">
        <v>30000</v>
      </c>
      <c r="K485">
        <v>930000</v>
      </c>
      <c r="L485" t="s">
        <v>889</v>
      </c>
      <c r="M485" t="s">
        <v>874</v>
      </c>
      <c r="N485" t="s">
        <v>875</v>
      </c>
      <c r="O485" s="9">
        <v>45778</v>
      </c>
      <c r="P485" t="s">
        <v>877</v>
      </c>
      <c r="Q485">
        <v>900000</v>
      </c>
      <c r="R485" t="s">
        <v>838</v>
      </c>
      <c r="S485" t="s">
        <v>735</v>
      </c>
      <c r="T485" t="s">
        <v>736</v>
      </c>
      <c r="U485" t="s">
        <v>227</v>
      </c>
      <c r="V485" t="s">
        <v>23</v>
      </c>
      <c r="W485" t="s">
        <v>29</v>
      </c>
      <c r="X485" t="s">
        <v>9</v>
      </c>
    </row>
    <row r="486" spans="1:24">
      <c r="A486" t="s">
        <v>1381</v>
      </c>
      <c r="B486" s="8">
        <v>45744</v>
      </c>
      <c r="C486" t="s">
        <v>302</v>
      </c>
      <c r="D486" t="s">
        <v>749</v>
      </c>
      <c r="E486">
        <v>3</v>
      </c>
      <c r="F486">
        <v>150000</v>
      </c>
      <c r="G486">
        <v>450000</v>
      </c>
      <c r="H486" t="s">
        <v>886</v>
      </c>
      <c r="I486">
        <v>45000</v>
      </c>
      <c r="J486">
        <v>25000</v>
      </c>
      <c r="K486">
        <v>430000</v>
      </c>
      <c r="L486" t="s">
        <v>889</v>
      </c>
      <c r="M486" t="s">
        <v>901</v>
      </c>
      <c r="N486" t="s">
        <v>875</v>
      </c>
      <c r="O486" s="9">
        <v>45717</v>
      </c>
      <c r="P486" t="s">
        <v>877</v>
      </c>
      <c r="Q486">
        <v>405000</v>
      </c>
      <c r="R486" t="s">
        <v>750</v>
      </c>
      <c r="S486" t="s">
        <v>727</v>
      </c>
      <c r="T486" t="s">
        <v>728</v>
      </c>
      <c r="U486" t="s">
        <v>303</v>
      </c>
      <c r="V486" t="s">
        <v>23</v>
      </c>
      <c r="W486" t="s">
        <v>20</v>
      </c>
      <c r="X486" t="s">
        <v>24</v>
      </c>
    </row>
    <row r="487" spans="1:24">
      <c r="A487" t="s">
        <v>1382</v>
      </c>
      <c r="B487" s="8">
        <v>45755</v>
      </c>
      <c r="C487" t="s">
        <v>540</v>
      </c>
      <c r="D487" t="s">
        <v>825</v>
      </c>
      <c r="E487">
        <v>1</v>
      </c>
      <c r="F487">
        <v>100000</v>
      </c>
      <c r="G487">
        <v>100000</v>
      </c>
      <c r="H487" t="s">
        <v>872</v>
      </c>
      <c r="I487">
        <v>0</v>
      </c>
      <c r="J487">
        <v>20000</v>
      </c>
      <c r="K487">
        <v>120000</v>
      </c>
      <c r="L487" t="s">
        <v>873</v>
      </c>
      <c r="M487" t="s">
        <v>881</v>
      </c>
      <c r="N487" t="s">
        <v>875</v>
      </c>
      <c r="O487" s="9">
        <v>45748</v>
      </c>
      <c r="P487" t="s">
        <v>877</v>
      </c>
      <c r="Q487">
        <v>100000</v>
      </c>
      <c r="R487" t="s">
        <v>826</v>
      </c>
      <c r="S487" t="s">
        <v>735</v>
      </c>
      <c r="T487" t="s">
        <v>736</v>
      </c>
      <c r="U487" t="s">
        <v>541</v>
      </c>
      <c r="V487" t="s">
        <v>23</v>
      </c>
      <c r="W487" t="s">
        <v>137</v>
      </c>
      <c r="X487" t="s">
        <v>9</v>
      </c>
    </row>
    <row r="488" spans="1:24">
      <c r="A488" t="s">
        <v>1383</v>
      </c>
      <c r="B488" s="8">
        <v>45754</v>
      </c>
      <c r="C488" t="s">
        <v>508</v>
      </c>
      <c r="D488" t="s">
        <v>797</v>
      </c>
      <c r="E488">
        <v>1</v>
      </c>
      <c r="F488">
        <v>150000</v>
      </c>
      <c r="G488">
        <v>150000</v>
      </c>
      <c r="H488" t="s">
        <v>872</v>
      </c>
      <c r="I488">
        <v>0</v>
      </c>
      <c r="J488">
        <v>30000</v>
      </c>
      <c r="K488">
        <v>180000</v>
      </c>
      <c r="L488" t="s">
        <v>884</v>
      </c>
      <c r="M488" t="s">
        <v>903</v>
      </c>
      <c r="N488" t="s">
        <v>875</v>
      </c>
      <c r="O488" s="9">
        <v>45748</v>
      </c>
      <c r="P488" t="s">
        <v>877</v>
      </c>
      <c r="Q488">
        <v>150000</v>
      </c>
      <c r="R488" t="s">
        <v>798</v>
      </c>
      <c r="S488" t="s">
        <v>727</v>
      </c>
      <c r="T488" t="s">
        <v>728</v>
      </c>
      <c r="U488" t="s">
        <v>509</v>
      </c>
      <c r="V488" t="s">
        <v>23</v>
      </c>
      <c r="W488" t="s">
        <v>8</v>
      </c>
      <c r="X488" t="s">
        <v>9</v>
      </c>
    </row>
    <row r="489" spans="1:24">
      <c r="A489" t="s">
        <v>1384</v>
      </c>
      <c r="B489" s="8">
        <v>45692</v>
      </c>
      <c r="C489" t="s">
        <v>284</v>
      </c>
      <c r="D489" t="s">
        <v>753</v>
      </c>
      <c r="E489">
        <v>2</v>
      </c>
      <c r="F489">
        <v>300000</v>
      </c>
      <c r="G489">
        <v>600000</v>
      </c>
      <c r="H489" t="s">
        <v>895</v>
      </c>
      <c r="I489">
        <v>90000</v>
      </c>
      <c r="J489">
        <v>30000</v>
      </c>
      <c r="K489">
        <v>540000</v>
      </c>
      <c r="L489" t="s">
        <v>884</v>
      </c>
      <c r="M489" t="s">
        <v>903</v>
      </c>
      <c r="N489" t="s">
        <v>875</v>
      </c>
      <c r="O489" s="9">
        <v>45689</v>
      </c>
      <c r="P489" t="s">
        <v>877</v>
      </c>
      <c r="Q489">
        <v>510000</v>
      </c>
      <c r="R489" t="s">
        <v>754</v>
      </c>
      <c r="S489" t="s">
        <v>735</v>
      </c>
      <c r="T489" t="s">
        <v>736</v>
      </c>
      <c r="U489" t="s">
        <v>285</v>
      </c>
      <c r="V489" t="s">
        <v>7</v>
      </c>
      <c r="W489" t="s">
        <v>137</v>
      </c>
      <c r="X489" t="s">
        <v>24</v>
      </c>
    </row>
    <row r="490" spans="1:24">
      <c r="A490" t="s">
        <v>1385</v>
      </c>
      <c r="B490" s="8">
        <v>45746</v>
      </c>
      <c r="C490" t="s">
        <v>162</v>
      </c>
      <c r="D490" t="s">
        <v>845</v>
      </c>
      <c r="E490">
        <v>1</v>
      </c>
      <c r="F490">
        <v>300000</v>
      </c>
      <c r="G490">
        <v>300000</v>
      </c>
      <c r="H490" t="s">
        <v>883</v>
      </c>
      <c r="I490">
        <v>30000</v>
      </c>
      <c r="J490">
        <v>20000</v>
      </c>
      <c r="K490">
        <v>290000</v>
      </c>
      <c r="L490" t="s">
        <v>889</v>
      </c>
      <c r="M490" t="s">
        <v>881</v>
      </c>
      <c r="N490" t="s">
        <v>875</v>
      </c>
      <c r="O490" s="9">
        <v>45717</v>
      </c>
      <c r="P490" t="s">
        <v>877</v>
      </c>
      <c r="Q490">
        <v>270000</v>
      </c>
      <c r="R490" t="s">
        <v>846</v>
      </c>
      <c r="S490" t="s">
        <v>727</v>
      </c>
      <c r="T490" t="s">
        <v>728</v>
      </c>
      <c r="U490" t="s">
        <v>163</v>
      </c>
      <c r="V490" t="s">
        <v>7</v>
      </c>
      <c r="W490" t="s">
        <v>39</v>
      </c>
      <c r="X490" t="s">
        <v>9</v>
      </c>
    </row>
    <row r="491" spans="1:24">
      <c r="A491" t="s">
        <v>1386</v>
      </c>
      <c r="B491" s="8">
        <v>45814</v>
      </c>
      <c r="C491" t="s">
        <v>125</v>
      </c>
      <c r="D491" t="s">
        <v>787</v>
      </c>
      <c r="E491">
        <v>1</v>
      </c>
      <c r="F491">
        <v>200000</v>
      </c>
      <c r="G491">
        <v>200000</v>
      </c>
      <c r="H491" t="s">
        <v>872</v>
      </c>
      <c r="I491">
        <v>0</v>
      </c>
      <c r="J491">
        <v>10000</v>
      </c>
      <c r="K491">
        <v>210000</v>
      </c>
      <c r="L491" t="s">
        <v>884</v>
      </c>
      <c r="M491" t="s">
        <v>881</v>
      </c>
      <c r="N491" t="s">
        <v>911</v>
      </c>
      <c r="O491" s="9">
        <v>45809</v>
      </c>
      <c r="P491" t="s">
        <v>892</v>
      </c>
      <c r="Q491">
        <v>200000</v>
      </c>
      <c r="R491" t="s">
        <v>788</v>
      </c>
      <c r="S491" t="s">
        <v>731</v>
      </c>
      <c r="T491" t="s">
        <v>732</v>
      </c>
      <c r="U491" t="s">
        <v>126</v>
      </c>
      <c r="V491" t="s">
        <v>23</v>
      </c>
      <c r="W491" t="s">
        <v>56</v>
      </c>
      <c r="X491" t="s">
        <v>9</v>
      </c>
    </row>
    <row r="492" spans="1:24">
      <c r="A492" t="s">
        <v>1387</v>
      </c>
      <c r="B492" s="8">
        <v>45738</v>
      </c>
      <c r="C492" t="s">
        <v>406</v>
      </c>
      <c r="D492" t="s">
        <v>793</v>
      </c>
      <c r="E492">
        <v>2</v>
      </c>
      <c r="F492">
        <v>500000</v>
      </c>
      <c r="G492">
        <v>1000000</v>
      </c>
      <c r="H492" t="s">
        <v>872</v>
      </c>
      <c r="I492">
        <v>0</v>
      </c>
      <c r="J492">
        <v>25000</v>
      </c>
      <c r="K492">
        <v>1025000</v>
      </c>
      <c r="L492" t="s">
        <v>884</v>
      </c>
      <c r="M492" t="s">
        <v>881</v>
      </c>
      <c r="N492" t="s">
        <v>890</v>
      </c>
      <c r="O492" s="9">
        <v>45717</v>
      </c>
      <c r="P492" t="s">
        <v>892</v>
      </c>
      <c r="Q492">
        <v>1000000</v>
      </c>
      <c r="R492" t="s">
        <v>794</v>
      </c>
      <c r="S492" t="s">
        <v>743</v>
      </c>
      <c r="T492" t="s">
        <v>744</v>
      </c>
      <c r="U492" t="s">
        <v>407</v>
      </c>
      <c r="V492" t="s">
        <v>7</v>
      </c>
      <c r="W492" t="s">
        <v>39</v>
      </c>
      <c r="X492" t="s">
        <v>15</v>
      </c>
    </row>
    <row r="493" spans="1:24">
      <c r="A493" t="s">
        <v>1388</v>
      </c>
      <c r="B493" s="8">
        <v>45820</v>
      </c>
      <c r="C493" t="s">
        <v>412</v>
      </c>
      <c r="D493" t="s">
        <v>789</v>
      </c>
      <c r="E493">
        <v>2</v>
      </c>
      <c r="F493">
        <v>200000</v>
      </c>
      <c r="G493">
        <v>400000</v>
      </c>
      <c r="H493" t="s">
        <v>883</v>
      </c>
      <c r="I493">
        <v>40000</v>
      </c>
      <c r="J493">
        <v>20000</v>
      </c>
      <c r="K493">
        <v>380000</v>
      </c>
      <c r="L493" t="s">
        <v>873</v>
      </c>
      <c r="M493" t="s">
        <v>901</v>
      </c>
      <c r="N493" t="s">
        <v>890</v>
      </c>
      <c r="O493" s="9">
        <v>45809</v>
      </c>
      <c r="P493" t="s">
        <v>892</v>
      </c>
      <c r="Q493">
        <v>360000</v>
      </c>
      <c r="R493" t="s">
        <v>790</v>
      </c>
      <c r="S493" t="s">
        <v>735</v>
      </c>
      <c r="T493" t="s">
        <v>736</v>
      </c>
      <c r="U493" t="s">
        <v>413</v>
      </c>
      <c r="V493" t="s">
        <v>7</v>
      </c>
      <c r="W493" t="s">
        <v>8</v>
      </c>
      <c r="X493" t="s">
        <v>9</v>
      </c>
    </row>
    <row r="494" spans="1:24">
      <c r="A494" t="s">
        <v>1389</v>
      </c>
      <c r="B494" s="8">
        <v>45676</v>
      </c>
      <c r="C494" t="s">
        <v>222</v>
      </c>
      <c r="D494" t="s">
        <v>789</v>
      </c>
      <c r="E494">
        <v>2</v>
      </c>
      <c r="F494">
        <v>200000</v>
      </c>
      <c r="G494">
        <v>400000</v>
      </c>
      <c r="H494" t="s">
        <v>872</v>
      </c>
      <c r="I494">
        <v>0</v>
      </c>
      <c r="J494">
        <v>25000</v>
      </c>
      <c r="K494">
        <v>425000</v>
      </c>
      <c r="L494" t="s">
        <v>873</v>
      </c>
      <c r="M494" t="s">
        <v>901</v>
      </c>
      <c r="N494" t="s">
        <v>890</v>
      </c>
      <c r="O494" s="9">
        <v>45658</v>
      </c>
      <c r="P494" t="s">
        <v>892</v>
      </c>
      <c r="Q494">
        <v>400000</v>
      </c>
      <c r="R494" t="s">
        <v>790</v>
      </c>
      <c r="S494" t="s">
        <v>735</v>
      </c>
      <c r="T494" t="s">
        <v>736</v>
      </c>
      <c r="U494" t="s">
        <v>223</v>
      </c>
      <c r="V494" t="s">
        <v>7</v>
      </c>
      <c r="W494" t="s">
        <v>137</v>
      </c>
      <c r="X494" t="s">
        <v>9</v>
      </c>
    </row>
    <row r="495" spans="1:24">
      <c r="A495" t="s">
        <v>1390</v>
      </c>
      <c r="B495" s="8">
        <v>45768</v>
      </c>
      <c r="C495" t="s">
        <v>702</v>
      </c>
      <c r="D495" t="s">
        <v>821</v>
      </c>
      <c r="E495">
        <v>1</v>
      </c>
      <c r="F495">
        <v>50000</v>
      </c>
      <c r="G495">
        <v>50000</v>
      </c>
      <c r="H495" t="s">
        <v>872</v>
      </c>
      <c r="I495">
        <v>0</v>
      </c>
      <c r="J495">
        <v>15000</v>
      </c>
      <c r="K495">
        <v>65000</v>
      </c>
      <c r="L495" t="s">
        <v>884</v>
      </c>
      <c r="M495" t="s">
        <v>903</v>
      </c>
      <c r="N495" t="s">
        <v>875</v>
      </c>
      <c r="O495" s="9">
        <v>45748</v>
      </c>
      <c r="P495" t="s">
        <v>877</v>
      </c>
      <c r="Q495">
        <v>50000</v>
      </c>
      <c r="R495" t="s">
        <v>822</v>
      </c>
      <c r="S495" t="s">
        <v>727</v>
      </c>
      <c r="T495" t="s">
        <v>728</v>
      </c>
      <c r="U495" t="s">
        <v>703</v>
      </c>
      <c r="V495" t="s">
        <v>23</v>
      </c>
      <c r="W495" t="s">
        <v>20</v>
      </c>
      <c r="X495" t="s">
        <v>9</v>
      </c>
    </row>
    <row r="496" spans="1:24">
      <c r="A496" t="s">
        <v>1391</v>
      </c>
      <c r="B496" s="8">
        <v>45808</v>
      </c>
      <c r="C496" t="s">
        <v>616</v>
      </c>
      <c r="D496" t="s">
        <v>761</v>
      </c>
      <c r="E496">
        <v>2</v>
      </c>
      <c r="F496">
        <v>75000</v>
      </c>
      <c r="G496">
        <v>150000</v>
      </c>
      <c r="H496" t="s">
        <v>872</v>
      </c>
      <c r="I496">
        <v>0</v>
      </c>
      <c r="J496">
        <v>25000</v>
      </c>
      <c r="K496">
        <v>175000</v>
      </c>
      <c r="L496" t="s">
        <v>873</v>
      </c>
      <c r="M496" t="s">
        <v>874</v>
      </c>
      <c r="N496" t="s">
        <v>890</v>
      </c>
      <c r="O496" s="9">
        <v>45778</v>
      </c>
      <c r="P496" t="s">
        <v>892</v>
      </c>
      <c r="Q496">
        <v>150000</v>
      </c>
      <c r="R496" t="s">
        <v>762</v>
      </c>
      <c r="S496" t="s">
        <v>727</v>
      </c>
      <c r="T496" t="s">
        <v>728</v>
      </c>
      <c r="U496" t="s">
        <v>617</v>
      </c>
      <c r="V496" t="s">
        <v>7</v>
      </c>
      <c r="W496" t="s">
        <v>39</v>
      </c>
      <c r="X496" t="s">
        <v>9</v>
      </c>
    </row>
    <row r="497" spans="1:24">
      <c r="A497" t="s">
        <v>1392</v>
      </c>
      <c r="B497" s="8">
        <v>45668</v>
      </c>
      <c r="C497" t="s">
        <v>326</v>
      </c>
      <c r="D497" t="s">
        <v>819</v>
      </c>
      <c r="E497">
        <v>1</v>
      </c>
      <c r="F497">
        <v>300000</v>
      </c>
      <c r="G497">
        <v>300000</v>
      </c>
      <c r="H497" t="s">
        <v>895</v>
      </c>
      <c r="I497">
        <v>45000</v>
      </c>
      <c r="J497">
        <v>25000</v>
      </c>
      <c r="K497">
        <v>280000</v>
      </c>
      <c r="L497" t="s">
        <v>884</v>
      </c>
      <c r="M497" t="s">
        <v>881</v>
      </c>
      <c r="N497" t="s">
        <v>911</v>
      </c>
      <c r="O497" s="9">
        <v>45658</v>
      </c>
      <c r="P497" t="s">
        <v>892</v>
      </c>
      <c r="Q497">
        <v>255000</v>
      </c>
      <c r="R497" t="s">
        <v>820</v>
      </c>
      <c r="S497" t="s">
        <v>747</v>
      </c>
      <c r="T497" t="s">
        <v>748</v>
      </c>
      <c r="U497" t="s">
        <v>327</v>
      </c>
      <c r="V497" t="s">
        <v>7</v>
      </c>
      <c r="W497" t="s">
        <v>8</v>
      </c>
      <c r="X497" t="s">
        <v>9</v>
      </c>
    </row>
    <row r="498" spans="1:24">
      <c r="A498" t="s">
        <v>1393</v>
      </c>
      <c r="B498" s="8">
        <v>45770</v>
      </c>
      <c r="C498" t="s">
        <v>458</v>
      </c>
      <c r="D498" t="s">
        <v>725</v>
      </c>
      <c r="E498">
        <v>1</v>
      </c>
      <c r="F498">
        <v>300000</v>
      </c>
      <c r="G498">
        <v>300000</v>
      </c>
      <c r="H498" t="s">
        <v>883</v>
      </c>
      <c r="I498">
        <v>30000</v>
      </c>
      <c r="J498">
        <v>20000</v>
      </c>
      <c r="K498">
        <v>290000</v>
      </c>
      <c r="L498" t="s">
        <v>884</v>
      </c>
      <c r="M498" t="s">
        <v>903</v>
      </c>
      <c r="N498" t="s">
        <v>905</v>
      </c>
      <c r="O498" s="9">
        <v>45748</v>
      </c>
      <c r="P498" t="s">
        <v>892</v>
      </c>
      <c r="Q498">
        <v>270000</v>
      </c>
      <c r="R498" t="s">
        <v>726</v>
      </c>
      <c r="S498" t="s">
        <v>727</v>
      </c>
      <c r="T498" t="s">
        <v>728</v>
      </c>
      <c r="U498" t="s">
        <v>459</v>
      </c>
      <c r="V498" t="s">
        <v>23</v>
      </c>
      <c r="W498" t="s">
        <v>20</v>
      </c>
      <c r="X498" t="s">
        <v>15</v>
      </c>
    </row>
    <row r="499" spans="1:24">
      <c r="A499" t="s">
        <v>1394</v>
      </c>
      <c r="B499" s="8">
        <v>45760</v>
      </c>
      <c r="C499" t="s">
        <v>652</v>
      </c>
      <c r="D499" t="s">
        <v>737</v>
      </c>
      <c r="E499">
        <v>1</v>
      </c>
      <c r="F499">
        <v>300000</v>
      </c>
      <c r="G499">
        <v>300000</v>
      </c>
      <c r="H499" t="s">
        <v>872</v>
      </c>
      <c r="I499">
        <v>0</v>
      </c>
      <c r="J499">
        <v>30000</v>
      </c>
      <c r="K499">
        <v>330000</v>
      </c>
      <c r="L499" t="s">
        <v>873</v>
      </c>
      <c r="M499" t="s">
        <v>874</v>
      </c>
      <c r="N499" t="s">
        <v>890</v>
      </c>
      <c r="O499" s="9">
        <v>45748</v>
      </c>
      <c r="P499" t="s">
        <v>892</v>
      </c>
      <c r="Q499">
        <v>300000</v>
      </c>
      <c r="R499" t="s">
        <v>738</v>
      </c>
      <c r="S499" t="s">
        <v>739</v>
      </c>
      <c r="T499" t="s">
        <v>740</v>
      </c>
      <c r="U499" t="s">
        <v>653</v>
      </c>
      <c r="V499" t="s">
        <v>23</v>
      </c>
      <c r="W499" t="s">
        <v>137</v>
      </c>
      <c r="X499" t="s">
        <v>24</v>
      </c>
    </row>
    <row r="500" spans="1:24">
      <c r="A500" t="s">
        <v>1395</v>
      </c>
      <c r="B500" s="8">
        <v>45822</v>
      </c>
      <c r="C500" t="s">
        <v>109</v>
      </c>
      <c r="D500" t="s">
        <v>841</v>
      </c>
      <c r="E500">
        <v>1</v>
      </c>
      <c r="F500">
        <v>75000</v>
      </c>
      <c r="G500">
        <v>75000</v>
      </c>
      <c r="H500" t="s">
        <v>872</v>
      </c>
      <c r="I500">
        <v>0</v>
      </c>
      <c r="J500">
        <v>25000</v>
      </c>
      <c r="K500">
        <v>100000</v>
      </c>
      <c r="L500" t="s">
        <v>880</v>
      </c>
      <c r="M500" t="s">
        <v>903</v>
      </c>
      <c r="N500" t="s">
        <v>921</v>
      </c>
      <c r="O500" s="9">
        <v>45809</v>
      </c>
      <c r="P500" t="s">
        <v>892</v>
      </c>
      <c r="Q500">
        <v>75000</v>
      </c>
      <c r="R500" t="s">
        <v>842</v>
      </c>
      <c r="S500" t="s">
        <v>743</v>
      </c>
      <c r="T500" t="s">
        <v>744</v>
      </c>
      <c r="U500" t="s">
        <v>110</v>
      </c>
      <c r="V500" t="s">
        <v>23</v>
      </c>
      <c r="W500" t="s">
        <v>46</v>
      </c>
      <c r="X500" t="s">
        <v>15</v>
      </c>
    </row>
    <row r="501" spans="1:24">
      <c r="A501" t="s">
        <v>1396</v>
      </c>
      <c r="B501" s="8">
        <v>45732</v>
      </c>
      <c r="C501" t="s">
        <v>628</v>
      </c>
      <c r="D501" t="s">
        <v>749</v>
      </c>
      <c r="E501">
        <v>3</v>
      </c>
      <c r="F501">
        <v>150000</v>
      </c>
      <c r="G501">
        <v>450000</v>
      </c>
      <c r="H501" t="s">
        <v>872</v>
      </c>
      <c r="I501">
        <v>0</v>
      </c>
      <c r="J501">
        <v>15000</v>
      </c>
      <c r="K501">
        <v>465000</v>
      </c>
      <c r="L501" t="s">
        <v>884</v>
      </c>
      <c r="M501" t="s">
        <v>901</v>
      </c>
      <c r="N501" t="s">
        <v>875</v>
      </c>
      <c r="O501" s="9">
        <v>45717</v>
      </c>
      <c r="P501" t="s">
        <v>877</v>
      </c>
      <c r="Q501">
        <v>450000</v>
      </c>
      <c r="R501" t="s">
        <v>750</v>
      </c>
      <c r="S501" t="s">
        <v>727</v>
      </c>
      <c r="T501" t="s">
        <v>728</v>
      </c>
      <c r="U501" t="s">
        <v>629</v>
      </c>
      <c r="V501" t="s">
        <v>7</v>
      </c>
      <c r="W501" t="s">
        <v>36</v>
      </c>
      <c r="X501" t="s">
        <v>9</v>
      </c>
    </row>
    <row r="502" spans="1:24">
      <c r="A502" t="s">
        <v>1397</v>
      </c>
      <c r="B502" s="8">
        <v>45685</v>
      </c>
      <c r="C502" t="s">
        <v>488</v>
      </c>
      <c r="D502" t="s">
        <v>829</v>
      </c>
      <c r="E502">
        <v>1</v>
      </c>
      <c r="F502">
        <v>500000</v>
      </c>
      <c r="G502">
        <v>500000</v>
      </c>
      <c r="H502" t="s">
        <v>872</v>
      </c>
      <c r="I502">
        <v>0</v>
      </c>
      <c r="J502">
        <v>20000</v>
      </c>
      <c r="K502">
        <v>520000</v>
      </c>
      <c r="L502" t="s">
        <v>889</v>
      </c>
      <c r="M502" t="s">
        <v>881</v>
      </c>
      <c r="N502" t="s">
        <v>875</v>
      </c>
      <c r="O502" s="9">
        <v>45658</v>
      </c>
      <c r="P502" t="s">
        <v>877</v>
      </c>
      <c r="Q502">
        <v>500000</v>
      </c>
      <c r="R502" t="s">
        <v>830</v>
      </c>
      <c r="S502" t="s">
        <v>743</v>
      </c>
      <c r="T502" t="s">
        <v>744</v>
      </c>
      <c r="U502" t="s">
        <v>489</v>
      </c>
      <c r="V502" t="s">
        <v>23</v>
      </c>
      <c r="W502" t="s">
        <v>20</v>
      </c>
      <c r="X502" t="s">
        <v>15</v>
      </c>
    </row>
    <row r="503" spans="1:24">
      <c r="A503" t="s">
        <v>1398</v>
      </c>
      <c r="B503" s="8">
        <v>45687</v>
      </c>
      <c r="C503" t="s">
        <v>714</v>
      </c>
      <c r="D503" t="s">
        <v>769</v>
      </c>
      <c r="E503">
        <v>1</v>
      </c>
      <c r="F503">
        <v>100000</v>
      </c>
      <c r="G503">
        <v>100000</v>
      </c>
      <c r="H503" t="s">
        <v>883</v>
      </c>
      <c r="I503">
        <v>10000</v>
      </c>
      <c r="J503">
        <v>10000</v>
      </c>
      <c r="K503">
        <v>100000</v>
      </c>
      <c r="L503" t="s">
        <v>884</v>
      </c>
      <c r="M503" t="s">
        <v>901</v>
      </c>
      <c r="N503" t="s">
        <v>875</v>
      </c>
      <c r="O503" s="9">
        <v>45658</v>
      </c>
      <c r="P503" t="s">
        <v>877</v>
      </c>
      <c r="Q503">
        <v>90000</v>
      </c>
      <c r="R503" t="s">
        <v>770</v>
      </c>
      <c r="S503" t="s">
        <v>743</v>
      </c>
      <c r="T503" t="s">
        <v>744</v>
      </c>
      <c r="U503" t="s">
        <v>715</v>
      </c>
      <c r="V503" t="s">
        <v>23</v>
      </c>
      <c r="W503" t="s">
        <v>29</v>
      </c>
      <c r="X503" t="s">
        <v>9</v>
      </c>
    </row>
    <row r="504" spans="1:24">
      <c r="A504" t="s">
        <v>1399</v>
      </c>
      <c r="B504" s="8">
        <v>45836</v>
      </c>
      <c r="C504" t="s">
        <v>230</v>
      </c>
      <c r="D504" t="s">
        <v>853</v>
      </c>
      <c r="E504">
        <v>4</v>
      </c>
      <c r="F504">
        <v>75000</v>
      </c>
      <c r="G504">
        <v>300000</v>
      </c>
      <c r="H504" t="s">
        <v>872</v>
      </c>
      <c r="I504">
        <v>0</v>
      </c>
      <c r="J504">
        <v>10000</v>
      </c>
      <c r="K504">
        <v>310000</v>
      </c>
      <c r="L504" t="s">
        <v>884</v>
      </c>
      <c r="M504" t="s">
        <v>903</v>
      </c>
      <c r="N504" t="s">
        <v>875</v>
      </c>
      <c r="O504" s="9">
        <v>45809</v>
      </c>
      <c r="P504" t="s">
        <v>877</v>
      </c>
      <c r="Q504">
        <v>300000</v>
      </c>
      <c r="R504" t="s">
        <v>854</v>
      </c>
      <c r="S504" t="s">
        <v>743</v>
      </c>
      <c r="T504" t="s">
        <v>744</v>
      </c>
      <c r="U504" t="s">
        <v>231</v>
      </c>
      <c r="V504" t="s">
        <v>7</v>
      </c>
      <c r="W504" t="s">
        <v>36</v>
      </c>
      <c r="X504" t="s">
        <v>24</v>
      </c>
    </row>
    <row r="505" spans="1:24">
      <c r="A505" t="s">
        <v>1400</v>
      </c>
      <c r="B505" s="8">
        <v>45664</v>
      </c>
      <c r="C505" t="s">
        <v>574</v>
      </c>
      <c r="D505" t="s">
        <v>769</v>
      </c>
      <c r="E505">
        <v>1</v>
      </c>
      <c r="F505">
        <v>100000</v>
      </c>
      <c r="G505">
        <v>100000</v>
      </c>
      <c r="H505" t="s">
        <v>886</v>
      </c>
      <c r="I505">
        <v>10000</v>
      </c>
      <c r="J505">
        <v>30000</v>
      </c>
      <c r="K505">
        <v>120000</v>
      </c>
      <c r="L505" t="s">
        <v>889</v>
      </c>
      <c r="M505" t="s">
        <v>901</v>
      </c>
      <c r="N505" t="s">
        <v>875</v>
      </c>
      <c r="O505" s="9">
        <v>45658</v>
      </c>
      <c r="P505" t="s">
        <v>877</v>
      </c>
      <c r="Q505">
        <v>90000</v>
      </c>
      <c r="R505" t="s">
        <v>770</v>
      </c>
      <c r="S505" t="s">
        <v>743</v>
      </c>
      <c r="T505" t="s">
        <v>744</v>
      </c>
      <c r="U505" t="s">
        <v>575</v>
      </c>
      <c r="V505" t="s">
        <v>7</v>
      </c>
      <c r="W505" t="s">
        <v>46</v>
      </c>
      <c r="X505" t="s">
        <v>24</v>
      </c>
    </row>
    <row r="506" spans="1:24">
      <c r="A506" t="s">
        <v>1401</v>
      </c>
      <c r="B506" s="8">
        <v>45707</v>
      </c>
      <c r="C506" t="s">
        <v>478</v>
      </c>
      <c r="D506" t="s">
        <v>789</v>
      </c>
      <c r="E506">
        <v>2</v>
      </c>
      <c r="F506">
        <v>200000</v>
      </c>
      <c r="G506">
        <v>400000</v>
      </c>
      <c r="H506" t="s">
        <v>872</v>
      </c>
      <c r="I506">
        <v>0</v>
      </c>
      <c r="J506">
        <v>10000</v>
      </c>
      <c r="K506">
        <v>410000</v>
      </c>
      <c r="L506" t="s">
        <v>889</v>
      </c>
      <c r="M506" t="s">
        <v>874</v>
      </c>
      <c r="N506" t="s">
        <v>875</v>
      </c>
      <c r="O506" s="9">
        <v>45689</v>
      </c>
      <c r="P506" t="s">
        <v>877</v>
      </c>
      <c r="Q506">
        <v>400000</v>
      </c>
      <c r="R506" t="s">
        <v>790</v>
      </c>
      <c r="S506" t="s">
        <v>735</v>
      </c>
      <c r="T506" t="s">
        <v>736</v>
      </c>
      <c r="U506" t="s">
        <v>479</v>
      </c>
      <c r="V506" t="s">
        <v>23</v>
      </c>
      <c r="W506" t="s">
        <v>51</v>
      </c>
      <c r="X506" t="s">
        <v>15</v>
      </c>
    </row>
    <row r="507" spans="1:24">
      <c r="A507" t="s">
        <v>1402</v>
      </c>
      <c r="B507" s="8">
        <v>45789</v>
      </c>
      <c r="C507" t="s">
        <v>454</v>
      </c>
      <c r="D507" t="s">
        <v>737</v>
      </c>
      <c r="E507">
        <v>1</v>
      </c>
      <c r="F507">
        <v>300000</v>
      </c>
      <c r="G507">
        <v>300000</v>
      </c>
      <c r="H507" t="s">
        <v>886</v>
      </c>
      <c r="I507">
        <v>30000</v>
      </c>
      <c r="J507">
        <v>30000</v>
      </c>
      <c r="K507">
        <v>300000</v>
      </c>
      <c r="L507" t="s">
        <v>884</v>
      </c>
      <c r="M507" t="s">
        <v>901</v>
      </c>
      <c r="N507" t="s">
        <v>875</v>
      </c>
      <c r="O507" s="9">
        <v>45778</v>
      </c>
      <c r="P507" t="s">
        <v>877</v>
      </c>
      <c r="Q507">
        <v>270000</v>
      </c>
      <c r="R507" t="s">
        <v>738</v>
      </c>
      <c r="S507" t="s">
        <v>739</v>
      </c>
      <c r="T507" t="s">
        <v>740</v>
      </c>
      <c r="U507" t="s">
        <v>455</v>
      </c>
      <c r="V507" t="s">
        <v>23</v>
      </c>
      <c r="W507" t="s">
        <v>137</v>
      </c>
      <c r="X507" t="s">
        <v>9</v>
      </c>
    </row>
    <row r="508" spans="1:24">
      <c r="A508" t="s">
        <v>1403</v>
      </c>
      <c r="B508" s="8">
        <v>45809</v>
      </c>
      <c r="C508" t="s">
        <v>602</v>
      </c>
      <c r="D508" t="s">
        <v>835</v>
      </c>
      <c r="E508">
        <v>2</v>
      </c>
      <c r="F508">
        <v>200000</v>
      </c>
      <c r="G508">
        <v>400000</v>
      </c>
      <c r="H508" t="s">
        <v>872</v>
      </c>
      <c r="I508">
        <v>0</v>
      </c>
      <c r="J508">
        <v>25000</v>
      </c>
      <c r="K508">
        <v>425000</v>
      </c>
      <c r="L508" t="s">
        <v>884</v>
      </c>
      <c r="M508" t="s">
        <v>903</v>
      </c>
      <c r="N508" t="s">
        <v>875</v>
      </c>
      <c r="O508" s="9">
        <v>45809</v>
      </c>
      <c r="P508" t="s">
        <v>877</v>
      </c>
      <c r="Q508">
        <v>400000</v>
      </c>
      <c r="R508" t="s">
        <v>836</v>
      </c>
      <c r="S508" t="s">
        <v>731</v>
      </c>
      <c r="T508" t="s">
        <v>732</v>
      </c>
      <c r="U508" t="s">
        <v>603</v>
      </c>
      <c r="V508" t="s">
        <v>7</v>
      </c>
      <c r="W508" t="s">
        <v>137</v>
      </c>
      <c r="X508" t="s">
        <v>24</v>
      </c>
    </row>
    <row r="509" spans="1:24">
      <c r="A509" t="s">
        <v>1404</v>
      </c>
      <c r="B509" s="8">
        <v>45814</v>
      </c>
      <c r="C509" t="s">
        <v>47</v>
      </c>
      <c r="D509" t="s">
        <v>805</v>
      </c>
      <c r="E509">
        <v>4</v>
      </c>
      <c r="F509">
        <v>200000</v>
      </c>
      <c r="G509">
        <v>800000</v>
      </c>
      <c r="H509" t="s">
        <v>872</v>
      </c>
      <c r="I509">
        <v>0</v>
      </c>
      <c r="J509">
        <v>15000</v>
      </c>
      <c r="K509">
        <v>815000</v>
      </c>
      <c r="L509" t="s">
        <v>884</v>
      </c>
      <c r="M509" t="s">
        <v>901</v>
      </c>
      <c r="N509" t="s">
        <v>905</v>
      </c>
      <c r="O509" s="9">
        <v>45809</v>
      </c>
      <c r="P509" t="s">
        <v>892</v>
      </c>
      <c r="Q509">
        <v>800000</v>
      </c>
      <c r="R509" t="s">
        <v>806</v>
      </c>
      <c r="S509" t="s">
        <v>743</v>
      </c>
      <c r="T509" t="s">
        <v>744</v>
      </c>
      <c r="U509" t="s">
        <v>48</v>
      </c>
      <c r="V509" t="s">
        <v>23</v>
      </c>
      <c r="W509" t="s">
        <v>36</v>
      </c>
      <c r="X509" t="s">
        <v>9</v>
      </c>
    </row>
    <row r="510" spans="1:24">
      <c r="A510" t="s">
        <v>1405</v>
      </c>
      <c r="B510" s="8">
        <v>45833</v>
      </c>
      <c r="C510" t="s">
        <v>95</v>
      </c>
      <c r="D510" t="s">
        <v>817</v>
      </c>
      <c r="E510">
        <v>2</v>
      </c>
      <c r="F510">
        <v>75000</v>
      </c>
      <c r="G510">
        <v>150000</v>
      </c>
      <c r="H510" t="s">
        <v>886</v>
      </c>
      <c r="I510">
        <v>15000</v>
      </c>
      <c r="J510">
        <v>25000</v>
      </c>
      <c r="K510">
        <v>160000</v>
      </c>
      <c r="L510" t="s">
        <v>884</v>
      </c>
      <c r="M510" t="s">
        <v>903</v>
      </c>
      <c r="N510" t="s">
        <v>875</v>
      </c>
      <c r="O510" s="9">
        <v>45809</v>
      </c>
      <c r="P510" t="s">
        <v>877</v>
      </c>
      <c r="Q510">
        <v>135000</v>
      </c>
      <c r="R510" t="s">
        <v>818</v>
      </c>
      <c r="S510" t="s">
        <v>743</v>
      </c>
      <c r="T510" t="s">
        <v>744</v>
      </c>
      <c r="U510" t="s">
        <v>96</v>
      </c>
      <c r="V510" t="s">
        <v>23</v>
      </c>
      <c r="W510" t="s">
        <v>8</v>
      </c>
      <c r="X510" t="s">
        <v>24</v>
      </c>
    </row>
    <row r="511" spans="1:24">
      <c r="A511" t="s">
        <v>1406</v>
      </c>
      <c r="B511" s="8">
        <v>45675</v>
      </c>
      <c r="C511" t="s">
        <v>198</v>
      </c>
      <c r="D511" t="s">
        <v>841</v>
      </c>
      <c r="E511">
        <v>4</v>
      </c>
      <c r="F511">
        <v>75000</v>
      </c>
      <c r="G511">
        <v>300000</v>
      </c>
      <c r="H511" t="s">
        <v>879</v>
      </c>
      <c r="I511">
        <v>60000</v>
      </c>
      <c r="J511">
        <v>15000</v>
      </c>
      <c r="K511">
        <v>255000</v>
      </c>
      <c r="L511" t="s">
        <v>889</v>
      </c>
      <c r="M511" t="s">
        <v>903</v>
      </c>
      <c r="N511" t="s">
        <v>911</v>
      </c>
      <c r="O511" s="9">
        <v>45658</v>
      </c>
      <c r="P511" t="s">
        <v>892</v>
      </c>
      <c r="Q511">
        <v>240000</v>
      </c>
      <c r="R511" t="s">
        <v>842</v>
      </c>
      <c r="S511" t="s">
        <v>743</v>
      </c>
      <c r="T511" t="s">
        <v>744</v>
      </c>
      <c r="U511" t="s">
        <v>199</v>
      </c>
      <c r="V511" t="s">
        <v>23</v>
      </c>
      <c r="W511" t="s">
        <v>39</v>
      </c>
      <c r="X511" t="s">
        <v>15</v>
      </c>
    </row>
    <row r="512" spans="1:24">
      <c r="A512" t="s">
        <v>1407</v>
      </c>
      <c r="B512" s="8">
        <v>45791</v>
      </c>
      <c r="C512" t="s">
        <v>158</v>
      </c>
      <c r="D512" t="s">
        <v>823</v>
      </c>
      <c r="E512">
        <v>3</v>
      </c>
      <c r="F512">
        <v>500000</v>
      </c>
      <c r="G512">
        <v>1500000</v>
      </c>
      <c r="H512" t="s">
        <v>879</v>
      </c>
      <c r="I512">
        <v>300000</v>
      </c>
      <c r="J512">
        <v>10000</v>
      </c>
      <c r="K512">
        <v>1210000</v>
      </c>
      <c r="L512" t="s">
        <v>884</v>
      </c>
      <c r="M512" t="s">
        <v>903</v>
      </c>
      <c r="N512" t="s">
        <v>875</v>
      </c>
      <c r="O512" s="9">
        <v>45778</v>
      </c>
      <c r="P512" t="s">
        <v>877</v>
      </c>
      <c r="Q512">
        <v>1200000</v>
      </c>
      <c r="R512" t="s">
        <v>824</v>
      </c>
      <c r="S512" t="s">
        <v>731</v>
      </c>
      <c r="T512" t="s">
        <v>732</v>
      </c>
      <c r="U512" t="s">
        <v>159</v>
      </c>
      <c r="V512" t="s">
        <v>23</v>
      </c>
      <c r="W512" t="s">
        <v>20</v>
      </c>
      <c r="X512" t="s">
        <v>9</v>
      </c>
    </row>
    <row r="513" spans="1:24">
      <c r="A513" t="s">
        <v>1408</v>
      </c>
      <c r="B513" s="8">
        <v>45827</v>
      </c>
      <c r="C513" t="s">
        <v>83</v>
      </c>
      <c r="D513" t="s">
        <v>755</v>
      </c>
      <c r="E513">
        <v>2</v>
      </c>
      <c r="F513">
        <v>50000</v>
      </c>
      <c r="G513">
        <v>100000</v>
      </c>
      <c r="H513" t="s">
        <v>879</v>
      </c>
      <c r="I513">
        <v>20000</v>
      </c>
      <c r="J513">
        <v>30000</v>
      </c>
      <c r="K513">
        <v>110000</v>
      </c>
      <c r="L513" t="s">
        <v>873</v>
      </c>
      <c r="M513" t="s">
        <v>881</v>
      </c>
      <c r="N513" t="s">
        <v>890</v>
      </c>
      <c r="O513" s="9">
        <v>45809</v>
      </c>
      <c r="P513" t="s">
        <v>892</v>
      </c>
      <c r="Q513">
        <v>80000</v>
      </c>
      <c r="R513" t="s">
        <v>756</v>
      </c>
      <c r="S513" t="s">
        <v>739</v>
      </c>
      <c r="T513" t="s">
        <v>740</v>
      </c>
      <c r="U513" t="s">
        <v>84</v>
      </c>
      <c r="V513" t="s">
        <v>23</v>
      </c>
      <c r="W513" t="s">
        <v>46</v>
      </c>
      <c r="X513" t="s">
        <v>15</v>
      </c>
    </row>
    <row r="514" spans="1:24">
      <c r="A514" t="s">
        <v>1409</v>
      </c>
      <c r="B514" s="8">
        <v>45733</v>
      </c>
      <c r="C514" t="s">
        <v>512</v>
      </c>
      <c r="D514" t="s">
        <v>793</v>
      </c>
      <c r="E514">
        <v>1</v>
      </c>
      <c r="F514">
        <v>500000</v>
      </c>
      <c r="G514">
        <v>500000</v>
      </c>
      <c r="H514" t="s">
        <v>886</v>
      </c>
      <c r="I514">
        <v>50000</v>
      </c>
      <c r="J514">
        <v>30000</v>
      </c>
      <c r="K514">
        <v>480000</v>
      </c>
      <c r="L514" t="s">
        <v>884</v>
      </c>
      <c r="M514" t="s">
        <v>903</v>
      </c>
      <c r="N514" t="s">
        <v>875</v>
      </c>
      <c r="O514" s="9">
        <v>45717</v>
      </c>
      <c r="P514" t="s">
        <v>877</v>
      </c>
      <c r="Q514">
        <v>450000</v>
      </c>
      <c r="R514" t="s">
        <v>794</v>
      </c>
      <c r="S514" t="s">
        <v>743</v>
      </c>
      <c r="T514" t="s">
        <v>744</v>
      </c>
      <c r="U514" t="s">
        <v>513</v>
      </c>
      <c r="V514" t="s">
        <v>23</v>
      </c>
      <c r="W514" t="s">
        <v>39</v>
      </c>
      <c r="X514" t="s">
        <v>24</v>
      </c>
    </row>
    <row r="515" spans="1:24">
      <c r="A515" t="s">
        <v>1410</v>
      </c>
      <c r="B515" s="8">
        <v>45829</v>
      </c>
      <c r="C515" t="s">
        <v>566</v>
      </c>
      <c r="D515" t="s">
        <v>733</v>
      </c>
      <c r="E515">
        <v>4</v>
      </c>
      <c r="F515">
        <v>150000</v>
      </c>
      <c r="G515">
        <v>600000</v>
      </c>
      <c r="H515" t="s">
        <v>879</v>
      </c>
      <c r="I515">
        <v>120000</v>
      </c>
      <c r="J515">
        <v>25000</v>
      </c>
      <c r="K515">
        <v>505000</v>
      </c>
      <c r="L515" t="s">
        <v>884</v>
      </c>
      <c r="M515" t="s">
        <v>901</v>
      </c>
      <c r="N515" t="s">
        <v>911</v>
      </c>
      <c r="O515" s="9">
        <v>45809</v>
      </c>
      <c r="P515" t="s">
        <v>892</v>
      </c>
      <c r="Q515">
        <v>480000</v>
      </c>
      <c r="R515" t="s">
        <v>734</v>
      </c>
      <c r="S515" t="s">
        <v>735</v>
      </c>
      <c r="T515" t="s">
        <v>736</v>
      </c>
      <c r="U515" t="s">
        <v>567</v>
      </c>
      <c r="V515" t="s">
        <v>7</v>
      </c>
      <c r="W515" t="s">
        <v>137</v>
      </c>
      <c r="X515" t="s">
        <v>24</v>
      </c>
    </row>
    <row r="516" spans="1:24">
      <c r="A516" t="s">
        <v>1411</v>
      </c>
      <c r="B516" s="8">
        <v>45752</v>
      </c>
      <c r="C516" t="s">
        <v>34</v>
      </c>
      <c r="D516" t="s">
        <v>737</v>
      </c>
      <c r="E516">
        <v>1</v>
      </c>
      <c r="F516">
        <v>300000</v>
      </c>
      <c r="G516">
        <v>300000</v>
      </c>
      <c r="H516" t="s">
        <v>872</v>
      </c>
      <c r="I516">
        <v>0</v>
      </c>
      <c r="J516">
        <v>15000</v>
      </c>
      <c r="K516">
        <v>315000</v>
      </c>
      <c r="L516" t="s">
        <v>884</v>
      </c>
      <c r="M516" t="s">
        <v>901</v>
      </c>
      <c r="N516" t="s">
        <v>875</v>
      </c>
      <c r="O516" s="9">
        <v>45748</v>
      </c>
      <c r="P516" t="s">
        <v>877</v>
      </c>
      <c r="Q516">
        <v>300000</v>
      </c>
      <c r="R516" t="s">
        <v>738</v>
      </c>
      <c r="S516" t="s">
        <v>739</v>
      </c>
      <c r="T516" t="s">
        <v>740</v>
      </c>
      <c r="U516" t="s">
        <v>35</v>
      </c>
      <c r="V516" t="s">
        <v>23</v>
      </c>
      <c r="W516" t="s">
        <v>36</v>
      </c>
      <c r="X516" t="s">
        <v>24</v>
      </c>
    </row>
    <row r="517" spans="1:24">
      <c r="A517" t="s">
        <v>1412</v>
      </c>
      <c r="B517" s="8">
        <v>45829</v>
      </c>
      <c r="C517" t="s">
        <v>286</v>
      </c>
      <c r="D517" t="s">
        <v>819</v>
      </c>
      <c r="E517">
        <v>1</v>
      </c>
      <c r="F517">
        <v>300000</v>
      </c>
      <c r="G517">
        <v>300000</v>
      </c>
      <c r="H517" t="s">
        <v>879</v>
      </c>
      <c r="I517">
        <v>60000</v>
      </c>
      <c r="J517">
        <v>25000</v>
      </c>
      <c r="K517">
        <v>265000</v>
      </c>
      <c r="L517" t="s">
        <v>889</v>
      </c>
      <c r="M517" t="s">
        <v>881</v>
      </c>
      <c r="N517" t="s">
        <v>875</v>
      </c>
      <c r="O517" s="9">
        <v>45809</v>
      </c>
      <c r="P517" t="s">
        <v>877</v>
      </c>
      <c r="Q517">
        <v>240000</v>
      </c>
      <c r="R517" t="s">
        <v>820</v>
      </c>
      <c r="S517" t="s">
        <v>747</v>
      </c>
      <c r="T517" t="s">
        <v>748</v>
      </c>
      <c r="U517" t="s">
        <v>287</v>
      </c>
      <c r="V517" t="s">
        <v>7</v>
      </c>
      <c r="W517" t="s">
        <v>46</v>
      </c>
      <c r="X517" t="s">
        <v>24</v>
      </c>
    </row>
    <row r="518" spans="1:24">
      <c r="A518" t="s">
        <v>1413</v>
      </c>
      <c r="B518" s="8">
        <v>45836</v>
      </c>
      <c r="C518" t="s">
        <v>256</v>
      </c>
      <c r="D518" t="s">
        <v>833</v>
      </c>
      <c r="E518">
        <v>1</v>
      </c>
      <c r="F518">
        <v>200000</v>
      </c>
      <c r="G518">
        <v>200000</v>
      </c>
      <c r="H518" t="s">
        <v>886</v>
      </c>
      <c r="I518">
        <v>20000</v>
      </c>
      <c r="J518">
        <v>15000</v>
      </c>
      <c r="K518">
        <v>195000</v>
      </c>
      <c r="L518" t="s">
        <v>880</v>
      </c>
      <c r="M518" t="s">
        <v>901</v>
      </c>
      <c r="N518" t="s">
        <v>875</v>
      </c>
      <c r="O518" s="9">
        <v>45809</v>
      </c>
      <c r="P518" t="s">
        <v>877</v>
      </c>
      <c r="Q518">
        <v>180000</v>
      </c>
      <c r="R518" t="s">
        <v>834</v>
      </c>
      <c r="S518" t="s">
        <v>727</v>
      </c>
      <c r="T518" t="s">
        <v>728</v>
      </c>
      <c r="U518" t="s">
        <v>257</v>
      </c>
      <c r="V518" t="s">
        <v>7</v>
      </c>
      <c r="W518" t="s">
        <v>8</v>
      </c>
      <c r="X518" t="s">
        <v>9</v>
      </c>
    </row>
    <row r="519" spans="1:24">
      <c r="A519" t="s">
        <v>1414</v>
      </c>
      <c r="B519" s="8">
        <v>45710</v>
      </c>
      <c r="C519" t="s">
        <v>678</v>
      </c>
      <c r="D519" t="s">
        <v>853</v>
      </c>
      <c r="E519">
        <v>4</v>
      </c>
      <c r="F519">
        <v>75000</v>
      </c>
      <c r="G519">
        <v>300000</v>
      </c>
      <c r="I519">
        <v>0</v>
      </c>
      <c r="J519">
        <v>20000</v>
      </c>
      <c r="K519">
        <v>320000</v>
      </c>
      <c r="L519" t="s">
        <v>873</v>
      </c>
      <c r="M519" t="s">
        <v>881</v>
      </c>
      <c r="N519" t="s">
        <v>875</v>
      </c>
      <c r="O519" s="9">
        <v>45689</v>
      </c>
      <c r="P519" t="s">
        <v>877</v>
      </c>
      <c r="Q519">
        <v>300000</v>
      </c>
      <c r="R519" t="s">
        <v>854</v>
      </c>
      <c r="S519" t="s">
        <v>743</v>
      </c>
      <c r="T519" t="s">
        <v>744</v>
      </c>
      <c r="U519" t="s">
        <v>679</v>
      </c>
      <c r="V519" t="s">
        <v>7</v>
      </c>
      <c r="W519" t="s">
        <v>46</v>
      </c>
      <c r="X519" t="s">
        <v>9</v>
      </c>
    </row>
    <row r="520" spans="1:24">
      <c r="A520" t="s">
        <v>1415</v>
      </c>
      <c r="B520" s="8">
        <v>45667</v>
      </c>
      <c r="C520" t="s">
        <v>714</v>
      </c>
      <c r="D520" t="s">
        <v>793</v>
      </c>
      <c r="E520">
        <v>4</v>
      </c>
      <c r="F520">
        <v>500000</v>
      </c>
      <c r="G520">
        <v>2000000</v>
      </c>
      <c r="H520" t="s">
        <v>886</v>
      </c>
      <c r="I520">
        <v>200000</v>
      </c>
      <c r="J520">
        <v>20000</v>
      </c>
      <c r="K520">
        <v>1820000</v>
      </c>
      <c r="L520" t="s">
        <v>884</v>
      </c>
      <c r="M520" t="s">
        <v>903</v>
      </c>
      <c r="N520" t="s">
        <v>875</v>
      </c>
      <c r="O520" s="9">
        <v>45658</v>
      </c>
      <c r="P520" t="s">
        <v>877</v>
      </c>
      <c r="Q520">
        <v>1800000</v>
      </c>
      <c r="R520" t="s">
        <v>794</v>
      </c>
      <c r="S520" t="s">
        <v>743</v>
      </c>
      <c r="T520" t="s">
        <v>744</v>
      </c>
      <c r="U520" t="s">
        <v>715</v>
      </c>
      <c r="V520" t="s">
        <v>23</v>
      </c>
      <c r="W520" t="s">
        <v>29</v>
      </c>
      <c r="X520" t="s">
        <v>9</v>
      </c>
    </row>
    <row r="521" spans="1:24">
      <c r="A521" t="s">
        <v>1416</v>
      </c>
      <c r="B521" s="8">
        <v>45724</v>
      </c>
      <c r="C521" t="s">
        <v>27</v>
      </c>
      <c r="D521" t="s">
        <v>845</v>
      </c>
      <c r="E521">
        <v>1</v>
      </c>
      <c r="F521">
        <v>300000</v>
      </c>
      <c r="G521">
        <v>300000</v>
      </c>
      <c r="H521" t="s">
        <v>872</v>
      </c>
      <c r="I521">
        <v>0</v>
      </c>
      <c r="J521">
        <v>30000</v>
      </c>
      <c r="K521">
        <v>330000</v>
      </c>
      <c r="L521" t="s">
        <v>884</v>
      </c>
      <c r="M521" t="s">
        <v>901</v>
      </c>
      <c r="N521" t="s">
        <v>875</v>
      </c>
      <c r="O521" s="9">
        <v>45717</v>
      </c>
      <c r="P521" t="s">
        <v>877</v>
      </c>
      <c r="Q521">
        <v>300000</v>
      </c>
      <c r="R521" t="s">
        <v>846</v>
      </c>
      <c r="S521" t="s">
        <v>727</v>
      </c>
      <c r="T521" t="s">
        <v>728</v>
      </c>
      <c r="U521" t="s">
        <v>28</v>
      </c>
      <c r="V521" t="s">
        <v>7</v>
      </c>
      <c r="W521" t="s">
        <v>29</v>
      </c>
      <c r="X521" t="s">
        <v>9</v>
      </c>
    </row>
    <row r="522" spans="1:24">
      <c r="A522" t="s">
        <v>1417</v>
      </c>
      <c r="B522" s="8">
        <v>45666</v>
      </c>
      <c r="C522" t="s">
        <v>650</v>
      </c>
      <c r="D522" t="s">
        <v>763</v>
      </c>
      <c r="E522">
        <v>2</v>
      </c>
      <c r="F522">
        <v>75000</v>
      </c>
      <c r="G522">
        <v>150000</v>
      </c>
      <c r="H522" t="s">
        <v>872</v>
      </c>
      <c r="I522">
        <v>0</v>
      </c>
      <c r="J522">
        <v>10000</v>
      </c>
      <c r="K522">
        <v>160000</v>
      </c>
      <c r="L522" t="s">
        <v>880</v>
      </c>
      <c r="M522" t="s">
        <v>881</v>
      </c>
      <c r="N522" t="s">
        <v>875</v>
      </c>
      <c r="O522" s="9">
        <v>45658</v>
      </c>
      <c r="P522" t="s">
        <v>877</v>
      </c>
      <c r="Q522">
        <v>150000</v>
      </c>
      <c r="R522" t="s">
        <v>764</v>
      </c>
      <c r="S522" t="s">
        <v>731</v>
      </c>
      <c r="T522" t="s">
        <v>732</v>
      </c>
      <c r="U522" t="s">
        <v>651</v>
      </c>
      <c r="V522" t="s">
        <v>23</v>
      </c>
      <c r="W522" t="s">
        <v>20</v>
      </c>
      <c r="X522" t="s">
        <v>9</v>
      </c>
    </row>
    <row r="523" spans="1:24">
      <c r="A523" t="s">
        <v>1418</v>
      </c>
      <c r="B523" s="8">
        <v>45679</v>
      </c>
      <c r="C523" t="s">
        <v>244</v>
      </c>
      <c r="D523" t="s">
        <v>809</v>
      </c>
      <c r="E523">
        <v>2</v>
      </c>
      <c r="F523">
        <v>100000</v>
      </c>
      <c r="G523">
        <v>200000</v>
      </c>
      <c r="H523" t="s">
        <v>886</v>
      </c>
      <c r="I523">
        <v>20000</v>
      </c>
      <c r="J523">
        <v>10000</v>
      </c>
      <c r="K523">
        <v>190000</v>
      </c>
      <c r="L523" t="s">
        <v>880</v>
      </c>
      <c r="M523" t="s">
        <v>903</v>
      </c>
      <c r="N523" t="s">
        <v>875</v>
      </c>
      <c r="O523" s="9">
        <v>45658</v>
      </c>
      <c r="P523" t="s">
        <v>877</v>
      </c>
      <c r="Q523">
        <v>180000</v>
      </c>
      <c r="R523" t="s">
        <v>810</v>
      </c>
      <c r="S523" t="s">
        <v>727</v>
      </c>
      <c r="T523" t="s">
        <v>728</v>
      </c>
      <c r="U523" t="s">
        <v>245</v>
      </c>
      <c r="V523" t="s">
        <v>7</v>
      </c>
      <c r="W523" t="s">
        <v>46</v>
      </c>
      <c r="X523" t="s">
        <v>9</v>
      </c>
    </row>
    <row r="524" spans="1:24">
      <c r="A524" t="s">
        <v>1419</v>
      </c>
      <c r="B524" s="8">
        <v>45707</v>
      </c>
      <c r="C524" t="s">
        <v>37</v>
      </c>
      <c r="D524" t="s">
        <v>785</v>
      </c>
      <c r="E524">
        <v>1</v>
      </c>
      <c r="F524">
        <v>100000</v>
      </c>
      <c r="G524">
        <v>100000</v>
      </c>
      <c r="H524" t="s">
        <v>872</v>
      </c>
      <c r="I524">
        <v>0</v>
      </c>
      <c r="J524">
        <v>10000</v>
      </c>
      <c r="K524">
        <v>110000</v>
      </c>
      <c r="L524" t="s">
        <v>873</v>
      </c>
      <c r="M524" t="s">
        <v>903</v>
      </c>
      <c r="N524" t="s">
        <v>890</v>
      </c>
      <c r="O524" s="9">
        <v>45689</v>
      </c>
      <c r="P524" t="s">
        <v>892</v>
      </c>
      <c r="Q524">
        <v>100000</v>
      </c>
      <c r="R524" t="s">
        <v>786</v>
      </c>
      <c r="S524" t="s">
        <v>727</v>
      </c>
      <c r="T524" t="s">
        <v>728</v>
      </c>
      <c r="U524" t="s">
        <v>38</v>
      </c>
      <c r="V524" t="s">
        <v>23</v>
      </c>
      <c r="W524" t="s">
        <v>39</v>
      </c>
      <c r="X524" t="s">
        <v>9</v>
      </c>
    </row>
    <row r="525" spans="1:24">
      <c r="A525" t="s">
        <v>1420</v>
      </c>
      <c r="B525" s="8">
        <v>45680</v>
      </c>
      <c r="C525" t="s">
        <v>360</v>
      </c>
      <c r="D525" t="s">
        <v>745</v>
      </c>
      <c r="E525">
        <v>4</v>
      </c>
      <c r="F525">
        <v>500000</v>
      </c>
      <c r="G525">
        <v>2000000</v>
      </c>
      <c r="H525" t="s">
        <v>872</v>
      </c>
      <c r="I525">
        <v>0</v>
      </c>
      <c r="J525">
        <v>25000</v>
      </c>
      <c r="K525">
        <v>2025000</v>
      </c>
      <c r="L525" t="s">
        <v>889</v>
      </c>
      <c r="M525" t="s">
        <v>903</v>
      </c>
      <c r="N525" t="s">
        <v>890</v>
      </c>
      <c r="O525" s="9">
        <v>45658</v>
      </c>
      <c r="P525" t="s">
        <v>892</v>
      </c>
      <c r="Q525">
        <v>2000000</v>
      </c>
      <c r="R525" t="s">
        <v>746</v>
      </c>
      <c r="S525" t="s">
        <v>747</v>
      </c>
      <c r="T525" t="s">
        <v>748</v>
      </c>
      <c r="U525" t="s">
        <v>361</v>
      </c>
      <c r="V525" t="s">
        <v>23</v>
      </c>
      <c r="W525" t="s">
        <v>137</v>
      </c>
      <c r="X525" t="s">
        <v>9</v>
      </c>
    </row>
    <row r="526" spans="1:24">
      <c r="A526" t="s">
        <v>1421</v>
      </c>
      <c r="B526" s="8">
        <v>45803</v>
      </c>
      <c r="C526" t="s">
        <v>648</v>
      </c>
      <c r="D526" t="s">
        <v>855</v>
      </c>
      <c r="E526">
        <v>4</v>
      </c>
      <c r="F526">
        <v>150000</v>
      </c>
      <c r="G526">
        <v>600000</v>
      </c>
      <c r="H526" t="s">
        <v>895</v>
      </c>
      <c r="I526">
        <v>90000</v>
      </c>
      <c r="J526">
        <v>10000</v>
      </c>
      <c r="K526">
        <v>520000</v>
      </c>
      <c r="L526" t="s">
        <v>873</v>
      </c>
      <c r="M526" t="s">
        <v>881</v>
      </c>
      <c r="N526" t="s">
        <v>875</v>
      </c>
      <c r="O526" s="9">
        <v>45778</v>
      </c>
      <c r="P526" t="s">
        <v>877</v>
      </c>
      <c r="Q526">
        <v>510000</v>
      </c>
      <c r="R526" t="s">
        <v>856</v>
      </c>
      <c r="S526" t="s">
        <v>747</v>
      </c>
      <c r="T526" t="s">
        <v>748</v>
      </c>
      <c r="U526" t="s">
        <v>649</v>
      </c>
      <c r="V526" t="s">
        <v>7</v>
      </c>
      <c r="W526" t="s">
        <v>8</v>
      </c>
      <c r="X526" t="s">
        <v>24</v>
      </c>
    </row>
    <row r="527" spans="1:24">
      <c r="A527" t="s">
        <v>1422</v>
      </c>
      <c r="B527" s="8">
        <v>45725</v>
      </c>
      <c r="C527" t="s">
        <v>622</v>
      </c>
      <c r="D527" t="s">
        <v>849</v>
      </c>
      <c r="E527">
        <v>1</v>
      </c>
      <c r="F527">
        <v>500000</v>
      </c>
      <c r="G527">
        <v>500000</v>
      </c>
      <c r="H527" t="s">
        <v>895</v>
      </c>
      <c r="I527">
        <v>75000</v>
      </c>
      <c r="J527">
        <v>30000</v>
      </c>
      <c r="K527">
        <v>455000</v>
      </c>
      <c r="L527" t="s">
        <v>880</v>
      </c>
      <c r="M527" t="s">
        <v>903</v>
      </c>
      <c r="N527" t="s">
        <v>875</v>
      </c>
      <c r="O527" s="9">
        <v>45717</v>
      </c>
      <c r="P527" t="s">
        <v>877</v>
      </c>
      <c r="Q527">
        <v>425000</v>
      </c>
      <c r="R527" t="s">
        <v>850</v>
      </c>
      <c r="S527" t="s">
        <v>735</v>
      </c>
      <c r="T527" t="s">
        <v>736</v>
      </c>
      <c r="U527" t="s">
        <v>623</v>
      </c>
      <c r="V527" t="s">
        <v>7</v>
      </c>
      <c r="W527" t="s">
        <v>39</v>
      </c>
      <c r="X527" t="s">
        <v>9</v>
      </c>
    </row>
    <row r="528" spans="1:24">
      <c r="A528" t="s">
        <v>1423</v>
      </c>
      <c r="B528" s="8">
        <v>45670</v>
      </c>
      <c r="C528" t="s">
        <v>412</v>
      </c>
      <c r="D528" t="s">
        <v>785</v>
      </c>
      <c r="E528">
        <v>2</v>
      </c>
      <c r="F528">
        <v>100000</v>
      </c>
      <c r="G528">
        <v>200000</v>
      </c>
      <c r="H528" t="s">
        <v>886</v>
      </c>
      <c r="I528">
        <v>20000</v>
      </c>
      <c r="J528">
        <v>30000</v>
      </c>
      <c r="K528">
        <v>210000</v>
      </c>
      <c r="L528" t="s">
        <v>873</v>
      </c>
      <c r="M528" t="s">
        <v>903</v>
      </c>
      <c r="N528" t="s">
        <v>875</v>
      </c>
      <c r="O528" s="9">
        <v>45658</v>
      </c>
      <c r="P528" t="s">
        <v>877</v>
      </c>
      <c r="Q528">
        <v>180000</v>
      </c>
      <c r="R528" t="s">
        <v>786</v>
      </c>
      <c r="S528" t="s">
        <v>727</v>
      </c>
      <c r="T528" t="s">
        <v>728</v>
      </c>
      <c r="U528" t="s">
        <v>413</v>
      </c>
      <c r="V528" t="s">
        <v>7</v>
      </c>
      <c r="W528" t="s">
        <v>8</v>
      </c>
      <c r="X528" t="s">
        <v>9</v>
      </c>
    </row>
    <row r="529" spans="1:24">
      <c r="A529" t="s">
        <v>1424</v>
      </c>
      <c r="B529" s="8">
        <v>45771</v>
      </c>
      <c r="C529" t="s">
        <v>368</v>
      </c>
      <c r="D529" t="s">
        <v>759</v>
      </c>
      <c r="E529">
        <v>4</v>
      </c>
      <c r="F529">
        <v>300000</v>
      </c>
      <c r="G529">
        <v>1200000</v>
      </c>
      <c r="H529" t="s">
        <v>895</v>
      </c>
      <c r="I529">
        <v>180000</v>
      </c>
      <c r="J529">
        <v>20000</v>
      </c>
      <c r="K529">
        <v>1040000</v>
      </c>
      <c r="L529" t="s">
        <v>873</v>
      </c>
      <c r="M529" t="s">
        <v>881</v>
      </c>
      <c r="N529" t="s">
        <v>875</v>
      </c>
      <c r="O529" s="9">
        <v>45748</v>
      </c>
      <c r="P529" t="s">
        <v>877</v>
      </c>
      <c r="Q529">
        <v>1020000</v>
      </c>
      <c r="R529" t="s">
        <v>760</v>
      </c>
      <c r="S529" t="s">
        <v>747</v>
      </c>
      <c r="T529" t="s">
        <v>748</v>
      </c>
      <c r="U529" t="s">
        <v>369</v>
      </c>
      <c r="V529" t="s">
        <v>23</v>
      </c>
      <c r="W529" t="s">
        <v>20</v>
      </c>
      <c r="X529" t="s">
        <v>9</v>
      </c>
    </row>
    <row r="530" spans="1:24">
      <c r="A530" t="s">
        <v>1425</v>
      </c>
      <c r="B530" s="8">
        <v>45710</v>
      </c>
      <c r="C530" t="s">
        <v>69</v>
      </c>
      <c r="D530" t="s">
        <v>827</v>
      </c>
      <c r="E530">
        <v>3</v>
      </c>
      <c r="F530">
        <v>100000</v>
      </c>
      <c r="G530">
        <v>300000</v>
      </c>
      <c r="H530" t="s">
        <v>886</v>
      </c>
      <c r="I530">
        <v>30000</v>
      </c>
      <c r="J530">
        <v>20000</v>
      </c>
      <c r="K530">
        <v>290000</v>
      </c>
      <c r="L530" t="s">
        <v>889</v>
      </c>
      <c r="M530" t="s">
        <v>901</v>
      </c>
      <c r="N530" t="s">
        <v>905</v>
      </c>
      <c r="O530" s="9">
        <v>45689</v>
      </c>
      <c r="P530" t="s">
        <v>892</v>
      </c>
      <c r="Q530">
        <v>270000</v>
      </c>
      <c r="R530" t="s">
        <v>828</v>
      </c>
      <c r="S530" t="s">
        <v>739</v>
      </c>
      <c r="T530" t="s">
        <v>740</v>
      </c>
      <c r="U530" t="s">
        <v>70</v>
      </c>
      <c r="V530" t="s">
        <v>7</v>
      </c>
      <c r="W530" t="s">
        <v>29</v>
      </c>
      <c r="X530" t="s">
        <v>9</v>
      </c>
    </row>
    <row r="531" spans="1:24">
      <c r="A531" t="s">
        <v>1426</v>
      </c>
      <c r="B531" s="8">
        <v>45776</v>
      </c>
      <c r="C531" t="s">
        <v>446</v>
      </c>
      <c r="D531" t="s">
        <v>781</v>
      </c>
      <c r="E531">
        <v>3</v>
      </c>
      <c r="F531">
        <v>50000</v>
      </c>
      <c r="G531">
        <v>150000</v>
      </c>
      <c r="H531" t="s">
        <v>872</v>
      </c>
      <c r="I531">
        <v>0</v>
      </c>
      <c r="J531">
        <v>20000</v>
      </c>
      <c r="K531">
        <v>170000</v>
      </c>
      <c r="L531" t="s">
        <v>880</v>
      </c>
      <c r="M531" t="s">
        <v>874</v>
      </c>
      <c r="N531" t="s">
        <v>875</v>
      </c>
      <c r="O531" s="9">
        <v>45748</v>
      </c>
      <c r="P531" t="s">
        <v>877</v>
      </c>
      <c r="Q531">
        <v>150000</v>
      </c>
      <c r="R531" t="s">
        <v>782</v>
      </c>
      <c r="S531" t="s">
        <v>743</v>
      </c>
      <c r="T531" t="s">
        <v>744</v>
      </c>
      <c r="U531" t="s">
        <v>447</v>
      </c>
      <c r="V531" t="s">
        <v>23</v>
      </c>
      <c r="W531" t="s">
        <v>8</v>
      </c>
      <c r="X531" t="s">
        <v>9</v>
      </c>
    </row>
    <row r="532" spans="1:24">
      <c r="A532" t="s">
        <v>1427</v>
      </c>
      <c r="B532" s="8">
        <v>45690</v>
      </c>
      <c r="C532" t="s">
        <v>73</v>
      </c>
      <c r="D532" t="s">
        <v>853</v>
      </c>
      <c r="E532">
        <v>2</v>
      </c>
      <c r="F532">
        <v>75000</v>
      </c>
      <c r="G532">
        <v>150000</v>
      </c>
      <c r="H532" t="s">
        <v>883</v>
      </c>
      <c r="I532">
        <v>15000</v>
      </c>
      <c r="J532">
        <v>20000</v>
      </c>
      <c r="K532">
        <v>155000</v>
      </c>
      <c r="L532" t="s">
        <v>889</v>
      </c>
      <c r="M532" t="s">
        <v>903</v>
      </c>
      <c r="N532" t="s">
        <v>905</v>
      </c>
      <c r="O532" s="9">
        <v>45689</v>
      </c>
      <c r="P532" t="s">
        <v>892</v>
      </c>
      <c r="Q532">
        <v>135000</v>
      </c>
      <c r="R532" t="s">
        <v>854</v>
      </c>
      <c r="S532" t="s">
        <v>743</v>
      </c>
      <c r="T532" t="s">
        <v>744</v>
      </c>
      <c r="U532" t="s">
        <v>74</v>
      </c>
      <c r="V532" t="s">
        <v>7</v>
      </c>
      <c r="W532" t="s">
        <v>29</v>
      </c>
      <c r="X532" t="s">
        <v>15</v>
      </c>
    </row>
    <row r="533" spans="1:24">
      <c r="A533" t="s">
        <v>1428</v>
      </c>
      <c r="B533" s="8">
        <v>45825</v>
      </c>
      <c r="C533" t="s">
        <v>178</v>
      </c>
      <c r="D533" t="s">
        <v>811</v>
      </c>
      <c r="E533">
        <v>2</v>
      </c>
      <c r="F533">
        <v>35000</v>
      </c>
      <c r="G533">
        <v>70000</v>
      </c>
      <c r="H533" t="s">
        <v>872</v>
      </c>
      <c r="I533">
        <v>0</v>
      </c>
      <c r="J533">
        <v>20000</v>
      </c>
      <c r="K533">
        <v>90000</v>
      </c>
      <c r="L533" t="s">
        <v>884</v>
      </c>
      <c r="M533" t="s">
        <v>903</v>
      </c>
      <c r="N533" t="s">
        <v>875</v>
      </c>
      <c r="O533" s="9">
        <v>45809</v>
      </c>
      <c r="P533" t="s">
        <v>877</v>
      </c>
      <c r="Q533">
        <v>70000</v>
      </c>
      <c r="R533" t="s">
        <v>812</v>
      </c>
      <c r="S533" t="s">
        <v>731</v>
      </c>
      <c r="T533" t="s">
        <v>732</v>
      </c>
      <c r="U533" t="s">
        <v>179</v>
      </c>
      <c r="V533" t="s">
        <v>7</v>
      </c>
      <c r="W533" t="s">
        <v>137</v>
      </c>
      <c r="X533" t="s">
        <v>24</v>
      </c>
    </row>
    <row r="534" spans="1:24">
      <c r="A534" t="s">
        <v>1429</v>
      </c>
      <c r="B534" s="8">
        <v>45830</v>
      </c>
      <c r="C534" t="s">
        <v>109</v>
      </c>
      <c r="D534" t="s">
        <v>751</v>
      </c>
      <c r="E534">
        <v>2</v>
      </c>
      <c r="F534">
        <v>150000</v>
      </c>
      <c r="G534">
        <v>300000</v>
      </c>
      <c r="H534" t="s">
        <v>879</v>
      </c>
      <c r="I534">
        <v>60000</v>
      </c>
      <c r="J534">
        <v>10000</v>
      </c>
      <c r="K534">
        <v>250000</v>
      </c>
      <c r="L534" t="s">
        <v>884</v>
      </c>
      <c r="M534" t="s">
        <v>903</v>
      </c>
      <c r="N534" t="s">
        <v>890</v>
      </c>
      <c r="O534" s="9">
        <v>45809</v>
      </c>
      <c r="P534" t="s">
        <v>892</v>
      </c>
      <c r="Q534">
        <v>240000</v>
      </c>
      <c r="R534" t="s">
        <v>752</v>
      </c>
      <c r="S534" t="s">
        <v>731</v>
      </c>
      <c r="T534" t="s">
        <v>732</v>
      </c>
      <c r="U534" t="s">
        <v>110</v>
      </c>
      <c r="V534" t="s">
        <v>23</v>
      </c>
      <c r="W534" t="s">
        <v>46</v>
      </c>
      <c r="X534" t="s">
        <v>15</v>
      </c>
    </row>
    <row r="535" spans="1:24">
      <c r="A535" t="s">
        <v>1430</v>
      </c>
      <c r="B535" s="8">
        <v>45722</v>
      </c>
      <c r="C535" t="s">
        <v>286</v>
      </c>
      <c r="D535" t="s">
        <v>781</v>
      </c>
      <c r="E535">
        <v>1</v>
      </c>
      <c r="F535">
        <v>50000</v>
      </c>
      <c r="G535">
        <v>50000</v>
      </c>
      <c r="H535" t="s">
        <v>886</v>
      </c>
      <c r="I535">
        <v>5000</v>
      </c>
      <c r="J535">
        <v>30000</v>
      </c>
      <c r="K535">
        <v>75000</v>
      </c>
      <c r="L535" t="s">
        <v>884</v>
      </c>
      <c r="M535" t="s">
        <v>881</v>
      </c>
      <c r="N535" t="s">
        <v>875</v>
      </c>
      <c r="O535" s="9">
        <v>45717</v>
      </c>
      <c r="P535" t="s">
        <v>877</v>
      </c>
      <c r="Q535">
        <v>45000</v>
      </c>
      <c r="R535" t="s">
        <v>782</v>
      </c>
      <c r="S535" t="s">
        <v>743</v>
      </c>
      <c r="T535" t="s">
        <v>744</v>
      </c>
      <c r="U535" t="s">
        <v>287</v>
      </c>
      <c r="V535" t="s">
        <v>7</v>
      </c>
      <c r="W535" t="s">
        <v>46</v>
      </c>
      <c r="X535" t="s">
        <v>24</v>
      </c>
    </row>
    <row r="536" spans="1:24">
      <c r="A536" t="s">
        <v>1431</v>
      </c>
      <c r="B536" s="8">
        <v>45803</v>
      </c>
      <c r="C536" t="s">
        <v>704</v>
      </c>
      <c r="D536" t="s">
        <v>765</v>
      </c>
      <c r="E536">
        <v>1</v>
      </c>
      <c r="F536">
        <v>500000</v>
      </c>
      <c r="G536">
        <v>500000</v>
      </c>
      <c r="H536" t="s">
        <v>886</v>
      </c>
      <c r="I536">
        <v>50000</v>
      </c>
      <c r="J536">
        <v>15000</v>
      </c>
      <c r="K536">
        <v>465000</v>
      </c>
      <c r="L536" t="s">
        <v>889</v>
      </c>
      <c r="M536" t="s">
        <v>881</v>
      </c>
      <c r="N536" t="s">
        <v>875</v>
      </c>
      <c r="O536" s="9">
        <v>45778</v>
      </c>
      <c r="P536" t="s">
        <v>877</v>
      </c>
      <c r="Q536">
        <v>450000</v>
      </c>
      <c r="R536" t="s">
        <v>766</v>
      </c>
      <c r="S536" t="s">
        <v>735</v>
      </c>
      <c r="T536" t="s">
        <v>736</v>
      </c>
      <c r="U536" t="s">
        <v>705</v>
      </c>
      <c r="V536" t="s">
        <v>7</v>
      </c>
      <c r="W536" t="s">
        <v>12</v>
      </c>
      <c r="X536" t="s">
        <v>24</v>
      </c>
    </row>
    <row r="537" spans="1:24">
      <c r="A537" t="s">
        <v>1432</v>
      </c>
      <c r="B537" s="8">
        <v>45745</v>
      </c>
      <c r="C537" t="s">
        <v>624</v>
      </c>
      <c r="D537" t="s">
        <v>815</v>
      </c>
      <c r="E537">
        <v>1</v>
      </c>
      <c r="F537">
        <v>75000</v>
      </c>
      <c r="G537">
        <v>75000</v>
      </c>
      <c r="H537" t="s">
        <v>895</v>
      </c>
      <c r="I537">
        <v>11250</v>
      </c>
      <c r="J537">
        <v>20000</v>
      </c>
      <c r="K537">
        <v>83750</v>
      </c>
      <c r="L537" t="s">
        <v>873</v>
      </c>
      <c r="M537" t="s">
        <v>874</v>
      </c>
      <c r="N537" t="s">
        <v>875</v>
      </c>
      <c r="O537" s="9">
        <v>45717</v>
      </c>
      <c r="P537" t="s">
        <v>877</v>
      </c>
      <c r="Q537">
        <v>63750</v>
      </c>
      <c r="R537" t="s">
        <v>816</v>
      </c>
      <c r="S537" t="s">
        <v>739</v>
      </c>
      <c r="T537" t="s">
        <v>740</v>
      </c>
      <c r="U537" t="s">
        <v>625</v>
      </c>
      <c r="V537" t="s">
        <v>7</v>
      </c>
      <c r="W537" t="s">
        <v>56</v>
      </c>
      <c r="X537" t="s">
        <v>9</v>
      </c>
    </row>
    <row r="538" spans="1:24">
      <c r="A538" t="s">
        <v>1433</v>
      </c>
      <c r="B538" s="8">
        <v>45794</v>
      </c>
      <c r="C538" t="s">
        <v>508</v>
      </c>
      <c r="D538" t="s">
        <v>825</v>
      </c>
      <c r="E538">
        <v>1</v>
      </c>
      <c r="F538">
        <v>100000</v>
      </c>
      <c r="G538">
        <v>100000</v>
      </c>
      <c r="H538" t="s">
        <v>872</v>
      </c>
      <c r="I538">
        <v>0</v>
      </c>
      <c r="J538">
        <v>10000</v>
      </c>
      <c r="K538">
        <v>110000</v>
      </c>
      <c r="L538" t="s">
        <v>873</v>
      </c>
      <c r="M538" t="s">
        <v>874</v>
      </c>
      <c r="N538" t="s">
        <v>890</v>
      </c>
      <c r="O538" s="9">
        <v>45778</v>
      </c>
      <c r="P538" t="s">
        <v>892</v>
      </c>
      <c r="Q538">
        <v>100000</v>
      </c>
      <c r="R538" t="s">
        <v>826</v>
      </c>
      <c r="S538" t="s">
        <v>735</v>
      </c>
      <c r="T538" t="s">
        <v>736</v>
      </c>
      <c r="U538" t="s">
        <v>509</v>
      </c>
      <c r="V538" t="s">
        <v>23</v>
      </c>
      <c r="W538" t="s">
        <v>8</v>
      </c>
      <c r="X538" t="s">
        <v>9</v>
      </c>
    </row>
    <row r="539" spans="1:24">
      <c r="A539" t="s">
        <v>1434</v>
      </c>
      <c r="B539" s="8">
        <v>45744</v>
      </c>
      <c r="C539" t="s">
        <v>314</v>
      </c>
      <c r="D539" t="s">
        <v>809</v>
      </c>
      <c r="E539">
        <v>3</v>
      </c>
      <c r="F539">
        <v>100000</v>
      </c>
      <c r="G539">
        <v>300000</v>
      </c>
      <c r="H539" t="s">
        <v>872</v>
      </c>
      <c r="I539">
        <v>0</v>
      </c>
      <c r="J539">
        <v>15000</v>
      </c>
      <c r="K539">
        <v>315000</v>
      </c>
      <c r="L539" t="s">
        <v>884</v>
      </c>
      <c r="M539" t="s">
        <v>901</v>
      </c>
      <c r="N539" t="s">
        <v>875</v>
      </c>
      <c r="O539" s="9">
        <v>45717</v>
      </c>
      <c r="P539" t="s">
        <v>877</v>
      </c>
      <c r="Q539">
        <v>300000</v>
      </c>
      <c r="R539" t="s">
        <v>810</v>
      </c>
      <c r="S539" t="s">
        <v>727</v>
      </c>
      <c r="T539" t="s">
        <v>728</v>
      </c>
      <c r="U539" t="s">
        <v>315</v>
      </c>
      <c r="V539" t="s">
        <v>23</v>
      </c>
      <c r="W539" t="s">
        <v>56</v>
      </c>
      <c r="X539" t="s">
        <v>9</v>
      </c>
    </row>
    <row r="540" spans="1:24">
      <c r="A540" t="s">
        <v>1435</v>
      </c>
      <c r="B540" s="8">
        <v>45698</v>
      </c>
      <c r="C540" t="s">
        <v>286</v>
      </c>
      <c r="D540" t="s">
        <v>757</v>
      </c>
      <c r="E540">
        <v>1</v>
      </c>
      <c r="F540">
        <v>75000</v>
      </c>
      <c r="G540">
        <v>75000</v>
      </c>
      <c r="H540" t="s">
        <v>886</v>
      </c>
      <c r="I540">
        <v>7500</v>
      </c>
      <c r="J540">
        <v>20000</v>
      </c>
      <c r="K540">
        <v>87500</v>
      </c>
      <c r="L540" t="s">
        <v>889</v>
      </c>
      <c r="M540" t="s">
        <v>881</v>
      </c>
      <c r="N540" t="s">
        <v>875</v>
      </c>
      <c r="O540" s="9">
        <v>45689</v>
      </c>
      <c r="P540" t="s">
        <v>877</v>
      </c>
      <c r="Q540">
        <v>67500</v>
      </c>
      <c r="R540" t="s">
        <v>758</v>
      </c>
      <c r="S540" t="s">
        <v>743</v>
      </c>
      <c r="T540" t="s">
        <v>744</v>
      </c>
      <c r="U540" t="s">
        <v>287</v>
      </c>
      <c r="V540" t="s">
        <v>7</v>
      </c>
      <c r="W540" t="s">
        <v>46</v>
      </c>
      <c r="X540" t="s">
        <v>24</v>
      </c>
    </row>
    <row r="541" spans="1:24">
      <c r="A541" t="s">
        <v>1436</v>
      </c>
      <c r="B541" s="8">
        <v>45774</v>
      </c>
      <c r="C541" t="s">
        <v>468</v>
      </c>
      <c r="D541" t="s">
        <v>783</v>
      </c>
      <c r="E541">
        <v>1</v>
      </c>
      <c r="F541">
        <v>500000</v>
      </c>
      <c r="G541">
        <v>500000</v>
      </c>
      <c r="H541" t="s">
        <v>872</v>
      </c>
      <c r="I541">
        <v>0</v>
      </c>
      <c r="J541">
        <v>20000</v>
      </c>
      <c r="K541">
        <v>520000</v>
      </c>
      <c r="L541" t="s">
        <v>884</v>
      </c>
      <c r="M541" t="s">
        <v>901</v>
      </c>
      <c r="N541" t="s">
        <v>875</v>
      </c>
      <c r="O541" s="9">
        <v>45748</v>
      </c>
      <c r="P541" t="s">
        <v>877</v>
      </c>
      <c r="Q541">
        <v>500000</v>
      </c>
      <c r="R541" t="s">
        <v>784</v>
      </c>
      <c r="S541" t="s">
        <v>747</v>
      </c>
      <c r="T541" t="s">
        <v>748</v>
      </c>
      <c r="U541" t="s">
        <v>469</v>
      </c>
      <c r="V541" t="s">
        <v>23</v>
      </c>
      <c r="W541" t="s">
        <v>12</v>
      </c>
      <c r="X541" t="s">
        <v>24</v>
      </c>
    </row>
    <row r="542" spans="1:24">
      <c r="A542" t="s">
        <v>1437</v>
      </c>
      <c r="B542" s="8">
        <v>45658</v>
      </c>
      <c r="C542" t="s">
        <v>324</v>
      </c>
      <c r="D542" t="s">
        <v>825</v>
      </c>
      <c r="E542">
        <v>1</v>
      </c>
      <c r="F542">
        <v>100000</v>
      </c>
      <c r="G542">
        <v>100000</v>
      </c>
      <c r="H542" t="s">
        <v>872</v>
      </c>
      <c r="I542">
        <v>0</v>
      </c>
      <c r="J542">
        <v>30000</v>
      </c>
      <c r="K542">
        <v>130000</v>
      </c>
      <c r="L542" t="s">
        <v>884</v>
      </c>
      <c r="M542" t="s">
        <v>901</v>
      </c>
      <c r="N542" t="s">
        <v>905</v>
      </c>
      <c r="O542" s="9">
        <v>45658</v>
      </c>
      <c r="P542" t="s">
        <v>892</v>
      </c>
      <c r="Q542">
        <v>100000</v>
      </c>
      <c r="R542" t="s">
        <v>826</v>
      </c>
      <c r="S542" t="s">
        <v>735</v>
      </c>
      <c r="T542" t="s">
        <v>736</v>
      </c>
      <c r="U542" t="s">
        <v>325</v>
      </c>
      <c r="V542" t="s">
        <v>7</v>
      </c>
      <c r="W542" t="s">
        <v>137</v>
      </c>
      <c r="X542" t="s">
        <v>9</v>
      </c>
    </row>
    <row r="543" spans="1:24">
      <c r="A543" t="s">
        <v>1438</v>
      </c>
      <c r="B543" s="8">
        <v>45804</v>
      </c>
      <c r="C543" t="s">
        <v>440</v>
      </c>
      <c r="D543" t="s">
        <v>785</v>
      </c>
      <c r="E543">
        <v>3</v>
      </c>
      <c r="F543">
        <v>100000</v>
      </c>
      <c r="G543">
        <v>300000</v>
      </c>
      <c r="H543" t="s">
        <v>872</v>
      </c>
      <c r="I543">
        <v>0</v>
      </c>
      <c r="J543">
        <v>25000</v>
      </c>
      <c r="K543">
        <v>325000</v>
      </c>
      <c r="L543" t="s">
        <v>884</v>
      </c>
      <c r="M543" t="s">
        <v>881</v>
      </c>
      <c r="N543" t="s">
        <v>911</v>
      </c>
      <c r="O543" s="9">
        <v>45778</v>
      </c>
      <c r="P543" t="s">
        <v>892</v>
      </c>
      <c r="Q543">
        <v>300000</v>
      </c>
      <c r="R543" t="s">
        <v>786</v>
      </c>
      <c r="S543" t="s">
        <v>727</v>
      </c>
      <c r="T543" t="s">
        <v>728</v>
      </c>
      <c r="U543" t="s">
        <v>441</v>
      </c>
      <c r="V543" t="s">
        <v>23</v>
      </c>
      <c r="W543" t="s">
        <v>137</v>
      </c>
      <c r="X543" t="s">
        <v>9</v>
      </c>
    </row>
    <row r="544" spans="1:24">
      <c r="A544" t="s">
        <v>1439</v>
      </c>
      <c r="B544" s="8">
        <v>45761</v>
      </c>
      <c r="C544" t="s">
        <v>85</v>
      </c>
      <c r="D544" t="s">
        <v>785</v>
      </c>
      <c r="E544">
        <v>2</v>
      </c>
      <c r="F544">
        <v>100000</v>
      </c>
      <c r="G544">
        <v>200000</v>
      </c>
      <c r="H544" t="s">
        <v>886</v>
      </c>
      <c r="I544">
        <v>20000</v>
      </c>
      <c r="J544">
        <v>20000</v>
      </c>
      <c r="K544">
        <v>200000</v>
      </c>
      <c r="L544" t="s">
        <v>884</v>
      </c>
      <c r="M544" t="s">
        <v>903</v>
      </c>
      <c r="N544" t="s">
        <v>875</v>
      </c>
      <c r="O544" s="9">
        <v>45748</v>
      </c>
      <c r="P544" t="s">
        <v>877</v>
      </c>
      <c r="Q544">
        <v>180000</v>
      </c>
      <c r="R544" t="s">
        <v>786</v>
      </c>
      <c r="S544" t="s">
        <v>727</v>
      </c>
      <c r="T544" t="s">
        <v>728</v>
      </c>
      <c r="U544" t="s">
        <v>86</v>
      </c>
      <c r="V544" t="s">
        <v>23</v>
      </c>
      <c r="W544" t="s">
        <v>39</v>
      </c>
      <c r="X544" t="s">
        <v>9</v>
      </c>
    </row>
    <row r="545" spans="1:24">
      <c r="A545" t="s">
        <v>1440</v>
      </c>
      <c r="B545" s="8">
        <v>45696</v>
      </c>
      <c r="C545" t="s">
        <v>592</v>
      </c>
      <c r="D545" t="s">
        <v>819</v>
      </c>
      <c r="E545">
        <v>1</v>
      </c>
      <c r="F545">
        <v>300000</v>
      </c>
      <c r="G545">
        <v>300000</v>
      </c>
      <c r="H545" t="s">
        <v>872</v>
      </c>
      <c r="I545">
        <v>0</v>
      </c>
      <c r="J545">
        <v>30000</v>
      </c>
      <c r="K545">
        <v>330000</v>
      </c>
      <c r="L545" t="s">
        <v>889</v>
      </c>
      <c r="M545" t="s">
        <v>874</v>
      </c>
      <c r="N545" t="s">
        <v>875</v>
      </c>
      <c r="O545" s="9">
        <v>45689</v>
      </c>
      <c r="P545" t="s">
        <v>877</v>
      </c>
      <c r="Q545">
        <v>300000</v>
      </c>
      <c r="R545" t="s">
        <v>820</v>
      </c>
      <c r="S545" t="s">
        <v>747</v>
      </c>
      <c r="T545" t="s">
        <v>748</v>
      </c>
      <c r="U545" t="s">
        <v>593</v>
      </c>
      <c r="V545" t="s">
        <v>7</v>
      </c>
      <c r="W545" t="s">
        <v>56</v>
      </c>
      <c r="X545" t="s">
        <v>9</v>
      </c>
    </row>
    <row r="546" spans="1:24">
      <c r="A546" t="s">
        <v>1441</v>
      </c>
      <c r="B546" s="8">
        <v>45730</v>
      </c>
      <c r="C546" t="s">
        <v>44</v>
      </c>
      <c r="D546" t="s">
        <v>737</v>
      </c>
      <c r="E546">
        <v>4</v>
      </c>
      <c r="F546">
        <v>300000</v>
      </c>
      <c r="G546">
        <v>1200000</v>
      </c>
      <c r="H546" t="s">
        <v>879</v>
      </c>
      <c r="I546">
        <v>240000</v>
      </c>
      <c r="J546">
        <v>20000</v>
      </c>
      <c r="K546">
        <v>980000</v>
      </c>
      <c r="L546" t="s">
        <v>884</v>
      </c>
      <c r="M546" t="s">
        <v>903</v>
      </c>
      <c r="N546" t="s">
        <v>905</v>
      </c>
      <c r="O546" s="9">
        <v>45717</v>
      </c>
      <c r="P546" t="s">
        <v>892</v>
      </c>
      <c r="Q546">
        <v>960000</v>
      </c>
      <c r="R546" t="s">
        <v>738</v>
      </c>
      <c r="S546" t="s">
        <v>739</v>
      </c>
      <c r="T546" t="s">
        <v>740</v>
      </c>
      <c r="U546" t="s">
        <v>45</v>
      </c>
      <c r="V546" t="s">
        <v>7</v>
      </c>
      <c r="W546" t="s">
        <v>46</v>
      </c>
      <c r="X546" t="s">
        <v>24</v>
      </c>
    </row>
    <row r="547" spans="1:24">
      <c r="A547" t="s">
        <v>1442</v>
      </c>
      <c r="B547" s="8">
        <v>45778</v>
      </c>
      <c r="C547" t="s">
        <v>634</v>
      </c>
      <c r="D547" t="s">
        <v>741</v>
      </c>
      <c r="E547">
        <v>4</v>
      </c>
      <c r="F547">
        <v>75000</v>
      </c>
      <c r="G547">
        <v>300000</v>
      </c>
      <c r="H547" t="s">
        <v>895</v>
      </c>
      <c r="I547">
        <v>45000</v>
      </c>
      <c r="J547">
        <v>30000</v>
      </c>
      <c r="K547">
        <v>285000</v>
      </c>
      <c r="L547" t="s">
        <v>880</v>
      </c>
      <c r="M547" t="s">
        <v>881</v>
      </c>
      <c r="N547" t="s">
        <v>875</v>
      </c>
      <c r="O547" s="9">
        <v>45778</v>
      </c>
      <c r="P547" t="s">
        <v>877</v>
      </c>
      <c r="Q547">
        <v>255000</v>
      </c>
      <c r="R547" t="s">
        <v>742</v>
      </c>
      <c r="S547" t="s">
        <v>743</v>
      </c>
      <c r="T547" t="s">
        <v>744</v>
      </c>
      <c r="U547" t="s">
        <v>635</v>
      </c>
      <c r="V547" t="s">
        <v>23</v>
      </c>
      <c r="W547" t="s">
        <v>8</v>
      </c>
      <c r="X547" t="s">
        <v>24</v>
      </c>
    </row>
    <row r="548" spans="1:24">
      <c r="A548" t="s">
        <v>1443</v>
      </c>
      <c r="B548" s="8">
        <v>45661</v>
      </c>
      <c r="C548" t="s">
        <v>236</v>
      </c>
      <c r="D548" t="s">
        <v>755</v>
      </c>
      <c r="E548">
        <v>2</v>
      </c>
      <c r="F548">
        <v>50000</v>
      </c>
      <c r="G548">
        <v>100000</v>
      </c>
      <c r="H548" t="s">
        <v>872</v>
      </c>
      <c r="I548">
        <v>0</v>
      </c>
      <c r="J548">
        <v>10000</v>
      </c>
      <c r="K548">
        <v>110000</v>
      </c>
      <c r="L548" t="s">
        <v>880</v>
      </c>
      <c r="M548" t="s">
        <v>874</v>
      </c>
      <c r="N548" t="s">
        <v>875</v>
      </c>
      <c r="O548" s="9">
        <v>45658</v>
      </c>
      <c r="P548" t="s">
        <v>877</v>
      </c>
      <c r="Q548">
        <v>100000</v>
      </c>
      <c r="R548" t="s">
        <v>756</v>
      </c>
      <c r="S548" t="s">
        <v>739</v>
      </c>
      <c r="T548" t="s">
        <v>740</v>
      </c>
      <c r="U548" t="s">
        <v>237</v>
      </c>
      <c r="V548" t="s">
        <v>7</v>
      </c>
      <c r="W548" t="s">
        <v>29</v>
      </c>
      <c r="X548" t="s">
        <v>15</v>
      </c>
    </row>
    <row r="549" spans="1:24">
      <c r="A549" t="s">
        <v>1444</v>
      </c>
      <c r="B549" s="8">
        <v>45774</v>
      </c>
      <c r="C549" t="s">
        <v>552</v>
      </c>
      <c r="D549" t="s">
        <v>805</v>
      </c>
      <c r="E549">
        <v>2</v>
      </c>
      <c r="F549">
        <v>200000</v>
      </c>
      <c r="G549">
        <v>400000</v>
      </c>
      <c r="H549" t="s">
        <v>872</v>
      </c>
      <c r="I549">
        <v>0</v>
      </c>
      <c r="J549">
        <v>30000</v>
      </c>
      <c r="K549">
        <v>430000</v>
      </c>
      <c r="L549" t="s">
        <v>880</v>
      </c>
      <c r="M549" t="s">
        <v>874</v>
      </c>
      <c r="N549" t="s">
        <v>875</v>
      </c>
      <c r="O549" s="9">
        <v>45748</v>
      </c>
      <c r="P549" t="s">
        <v>877</v>
      </c>
      <c r="Q549">
        <v>400000</v>
      </c>
      <c r="R549" t="s">
        <v>806</v>
      </c>
      <c r="S549" t="s">
        <v>743</v>
      </c>
      <c r="T549" t="s">
        <v>744</v>
      </c>
      <c r="U549" t="s">
        <v>553</v>
      </c>
      <c r="V549" t="s">
        <v>7</v>
      </c>
      <c r="W549" t="s">
        <v>46</v>
      </c>
      <c r="X549" t="s">
        <v>24</v>
      </c>
    </row>
    <row r="550" spans="1:24">
      <c r="A550" t="s">
        <v>1445</v>
      </c>
      <c r="B550" s="8">
        <v>45731</v>
      </c>
      <c r="C550" t="s">
        <v>164</v>
      </c>
      <c r="D550" t="s">
        <v>839</v>
      </c>
      <c r="E550">
        <v>4</v>
      </c>
      <c r="F550">
        <v>200000</v>
      </c>
      <c r="G550">
        <v>800000</v>
      </c>
      <c r="H550" t="s">
        <v>886</v>
      </c>
      <c r="I550">
        <v>80000</v>
      </c>
      <c r="J550">
        <v>30000</v>
      </c>
      <c r="K550">
        <v>750000</v>
      </c>
      <c r="L550" t="s">
        <v>884</v>
      </c>
      <c r="M550" t="s">
        <v>881</v>
      </c>
      <c r="N550" t="s">
        <v>875</v>
      </c>
      <c r="O550" s="9">
        <v>45717</v>
      </c>
      <c r="P550" t="s">
        <v>877</v>
      </c>
      <c r="Q550">
        <v>720000</v>
      </c>
      <c r="R550" t="s">
        <v>840</v>
      </c>
      <c r="S550" t="s">
        <v>739</v>
      </c>
      <c r="T550" t="s">
        <v>740</v>
      </c>
      <c r="U550" t="s">
        <v>165</v>
      </c>
      <c r="V550" t="s">
        <v>7</v>
      </c>
      <c r="W550" t="s">
        <v>51</v>
      </c>
      <c r="X550" t="s">
        <v>24</v>
      </c>
    </row>
    <row r="551" spans="1:24">
      <c r="A551" t="s">
        <v>1446</v>
      </c>
      <c r="B551" s="8">
        <v>45808</v>
      </c>
      <c r="C551" t="s">
        <v>332</v>
      </c>
      <c r="D551" t="s">
        <v>763</v>
      </c>
      <c r="E551">
        <v>1</v>
      </c>
      <c r="F551">
        <v>75000</v>
      </c>
      <c r="G551">
        <v>75000</v>
      </c>
      <c r="H551" t="s">
        <v>872</v>
      </c>
      <c r="I551">
        <v>0</v>
      </c>
      <c r="J551">
        <v>25000</v>
      </c>
      <c r="K551">
        <v>100000</v>
      </c>
      <c r="L551" t="s">
        <v>873</v>
      </c>
      <c r="M551" t="s">
        <v>901</v>
      </c>
      <c r="N551" t="s">
        <v>890</v>
      </c>
      <c r="O551" s="9">
        <v>45778</v>
      </c>
      <c r="P551" t="s">
        <v>892</v>
      </c>
      <c r="Q551">
        <v>75000</v>
      </c>
      <c r="R551" t="s">
        <v>764</v>
      </c>
      <c r="S551" t="s">
        <v>731</v>
      </c>
      <c r="T551" t="s">
        <v>732</v>
      </c>
      <c r="U551" t="s">
        <v>333</v>
      </c>
      <c r="V551" t="s">
        <v>23</v>
      </c>
      <c r="W551" t="s">
        <v>12</v>
      </c>
      <c r="X551" t="s">
        <v>9</v>
      </c>
    </row>
    <row r="552" spans="1:24">
      <c r="A552" t="s">
        <v>1447</v>
      </c>
      <c r="B552" s="8">
        <v>45787</v>
      </c>
      <c r="C552" t="s">
        <v>324</v>
      </c>
      <c r="D552" t="s">
        <v>761</v>
      </c>
      <c r="E552">
        <v>1</v>
      </c>
      <c r="F552">
        <v>75000</v>
      </c>
      <c r="G552">
        <v>75000</v>
      </c>
      <c r="H552" t="s">
        <v>872</v>
      </c>
      <c r="I552">
        <v>0</v>
      </c>
      <c r="J552">
        <v>20000</v>
      </c>
      <c r="K552">
        <v>95000</v>
      </c>
      <c r="L552" t="s">
        <v>889</v>
      </c>
      <c r="M552" t="s">
        <v>903</v>
      </c>
      <c r="N552" t="s">
        <v>875</v>
      </c>
      <c r="O552" s="9">
        <v>45778</v>
      </c>
      <c r="P552" t="s">
        <v>877</v>
      </c>
      <c r="Q552">
        <v>75000</v>
      </c>
      <c r="R552" t="s">
        <v>762</v>
      </c>
      <c r="S552" t="s">
        <v>727</v>
      </c>
      <c r="T552" t="s">
        <v>728</v>
      </c>
      <c r="U552" t="s">
        <v>325</v>
      </c>
      <c r="V552" t="s">
        <v>7</v>
      </c>
      <c r="W552" t="s">
        <v>137</v>
      </c>
      <c r="X552" t="s">
        <v>9</v>
      </c>
    </row>
    <row r="553" spans="1:24">
      <c r="A553" t="s">
        <v>1448</v>
      </c>
      <c r="B553" s="8">
        <v>45739</v>
      </c>
      <c r="C553" t="s">
        <v>168</v>
      </c>
      <c r="D553" t="s">
        <v>843</v>
      </c>
      <c r="E553">
        <v>2</v>
      </c>
      <c r="F553">
        <v>100000</v>
      </c>
      <c r="G553">
        <v>200000</v>
      </c>
      <c r="H553" t="s">
        <v>872</v>
      </c>
      <c r="I553">
        <v>0</v>
      </c>
      <c r="J553">
        <v>10000</v>
      </c>
      <c r="K553">
        <v>210000</v>
      </c>
      <c r="L553" t="s">
        <v>889</v>
      </c>
      <c r="M553" t="s">
        <v>881</v>
      </c>
      <c r="N553" t="s">
        <v>890</v>
      </c>
      <c r="O553" s="9">
        <v>45717</v>
      </c>
      <c r="P553" t="s">
        <v>892</v>
      </c>
      <c r="Q553">
        <v>200000</v>
      </c>
      <c r="R553" t="s">
        <v>844</v>
      </c>
      <c r="S553" t="s">
        <v>747</v>
      </c>
      <c r="T553" t="s">
        <v>748</v>
      </c>
      <c r="U553" t="s">
        <v>169</v>
      </c>
      <c r="V553" t="s">
        <v>7</v>
      </c>
      <c r="W553" t="s">
        <v>12</v>
      </c>
      <c r="X553" t="s">
        <v>24</v>
      </c>
    </row>
    <row r="554" spans="1:24">
      <c r="A554" t="s">
        <v>1449</v>
      </c>
      <c r="B554" s="8">
        <v>45725</v>
      </c>
      <c r="C554" t="s">
        <v>44</v>
      </c>
      <c r="D554" t="s">
        <v>785</v>
      </c>
      <c r="E554">
        <v>2</v>
      </c>
      <c r="F554">
        <v>100000</v>
      </c>
      <c r="G554">
        <v>200000</v>
      </c>
      <c r="H554" t="s">
        <v>895</v>
      </c>
      <c r="I554">
        <v>30000</v>
      </c>
      <c r="J554">
        <v>25000</v>
      </c>
      <c r="K554">
        <v>195000</v>
      </c>
      <c r="L554" t="s">
        <v>880</v>
      </c>
      <c r="M554" t="s">
        <v>901</v>
      </c>
      <c r="N554" t="s">
        <v>911</v>
      </c>
      <c r="O554" s="9">
        <v>45717</v>
      </c>
      <c r="P554" t="s">
        <v>892</v>
      </c>
      <c r="Q554">
        <v>170000</v>
      </c>
      <c r="R554" t="s">
        <v>786</v>
      </c>
      <c r="S554" t="s">
        <v>727</v>
      </c>
      <c r="T554" t="s">
        <v>728</v>
      </c>
      <c r="U554" t="s">
        <v>45</v>
      </c>
      <c r="V554" t="s">
        <v>7</v>
      </c>
      <c r="W554" t="s">
        <v>46</v>
      </c>
      <c r="X554" t="s">
        <v>24</v>
      </c>
    </row>
    <row r="555" spans="1:24">
      <c r="A555" t="s">
        <v>1450</v>
      </c>
      <c r="B555" s="8">
        <v>45664</v>
      </c>
      <c r="C555" t="s">
        <v>77</v>
      </c>
      <c r="D555" t="s">
        <v>773</v>
      </c>
      <c r="E555">
        <v>1</v>
      </c>
      <c r="F555">
        <v>500000</v>
      </c>
      <c r="G555">
        <v>500000</v>
      </c>
      <c r="H555" t="s">
        <v>883</v>
      </c>
      <c r="I555">
        <v>50000</v>
      </c>
      <c r="J555">
        <v>15000</v>
      </c>
      <c r="K555">
        <v>465000</v>
      </c>
      <c r="L555" t="s">
        <v>884</v>
      </c>
      <c r="M555" t="s">
        <v>874</v>
      </c>
      <c r="N555" t="s">
        <v>875</v>
      </c>
      <c r="O555" s="9">
        <v>45658</v>
      </c>
      <c r="P555" t="s">
        <v>877</v>
      </c>
      <c r="Q555">
        <v>450000</v>
      </c>
      <c r="R555" t="s">
        <v>774</v>
      </c>
      <c r="S555" t="s">
        <v>727</v>
      </c>
      <c r="T555" t="s">
        <v>728</v>
      </c>
      <c r="U555" t="s">
        <v>78</v>
      </c>
      <c r="V555" t="s">
        <v>23</v>
      </c>
      <c r="W555" t="s">
        <v>29</v>
      </c>
      <c r="X555" t="s">
        <v>9</v>
      </c>
    </row>
    <row r="556" spans="1:24">
      <c r="A556" t="s">
        <v>1451</v>
      </c>
      <c r="B556" s="8">
        <v>45737</v>
      </c>
      <c r="C556" t="s">
        <v>184</v>
      </c>
      <c r="D556" t="s">
        <v>819</v>
      </c>
      <c r="E556">
        <v>1</v>
      </c>
      <c r="F556">
        <v>300000</v>
      </c>
      <c r="G556">
        <v>300000</v>
      </c>
      <c r="H556" t="s">
        <v>895</v>
      </c>
      <c r="I556">
        <v>45000</v>
      </c>
      <c r="J556">
        <v>25000</v>
      </c>
      <c r="K556">
        <v>280000</v>
      </c>
      <c r="L556" t="s">
        <v>880</v>
      </c>
      <c r="M556" t="s">
        <v>881</v>
      </c>
      <c r="N556" t="s">
        <v>875</v>
      </c>
      <c r="O556" s="9">
        <v>45717</v>
      </c>
      <c r="P556" t="s">
        <v>877</v>
      </c>
      <c r="Q556">
        <v>255000</v>
      </c>
      <c r="R556" t="s">
        <v>820</v>
      </c>
      <c r="S556" t="s">
        <v>747</v>
      </c>
      <c r="T556" t="s">
        <v>748</v>
      </c>
      <c r="U556" t="s">
        <v>185</v>
      </c>
      <c r="V556" t="s">
        <v>23</v>
      </c>
      <c r="W556" t="s">
        <v>12</v>
      </c>
      <c r="X556" t="s">
        <v>15</v>
      </c>
    </row>
    <row r="557" spans="1:24">
      <c r="A557" t="s">
        <v>1452</v>
      </c>
      <c r="B557" s="8">
        <v>45810</v>
      </c>
      <c r="C557" t="s">
        <v>21</v>
      </c>
      <c r="D557" t="s">
        <v>783</v>
      </c>
      <c r="E557">
        <v>1</v>
      </c>
      <c r="F557">
        <v>500000</v>
      </c>
      <c r="G557">
        <v>500000</v>
      </c>
      <c r="H557" t="s">
        <v>872</v>
      </c>
      <c r="I557">
        <v>0</v>
      </c>
      <c r="J557">
        <v>20000</v>
      </c>
      <c r="K557">
        <v>520000</v>
      </c>
      <c r="L557" t="s">
        <v>873</v>
      </c>
      <c r="M557" t="s">
        <v>901</v>
      </c>
      <c r="N557" t="s">
        <v>911</v>
      </c>
      <c r="O557" s="9">
        <v>45809</v>
      </c>
      <c r="P557" t="s">
        <v>892</v>
      </c>
      <c r="Q557">
        <v>500000</v>
      </c>
      <c r="R557" t="s">
        <v>784</v>
      </c>
      <c r="S557" t="s">
        <v>747</v>
      </c>
      <c r="T557" t="s">
        <v>748</v>
      </c>
      <c r="U557" t="s">
        <v>22</v>
      </c>
      <c r="V557" t="s">
        <v>23</v>
      </c>
      <c r="W557" t="s">
        <v>20</v>
      </c>
      <c r="X557" t="s">
        <v>24</v>
      </c>
    </row>
    <row r="558" spans="1:24">
      <c r="A558" t="s">
        <v>1453</v>
      </c>
      <c r="B558" s="8">
        <v>45683</v>
      </c>
      <c r="C558" t="s">
        <v>248</v>
      </c>
      <c r="D558" t="s">
        <v>803</v>
      </c>
      <c r="E558">
        <v>2</v>
      </c>
      <c r="F558">
        <v>50000</v>
      </c>
      <c r="G558">
        <v>100000</v>
      </c>
      <c r="H558" t="s">
        <v>872</v>
      </c>
      <c r="I558">
        <v>0</v>
      </c>
      <c r="J558">
        <v>30000</v>
      </c>
      <c r="K558">
        <v>130000</v>
      </c>
      <c r="L558" t="s">
        <v>880</v>
      </c>
      <c r="M558" t="s">
        <v>903</v>
      </c>
      <c r="N558" t="s">
        <v>905</v>
      </c>
      <c r="O558" s="9">
        <v>45658</v>
      </c>
      <c r="P558" t="s">
        <v>892</v>
      </c>
      <c r="Q558">
        <v>100000</v>
      </c>
      <c r="R558" t="s">
        <v>804</v>
      </c>
      <c r="S558" t="s">
        <v>739</v>
      </c>
      <c r="T558" t="s">
        <v>740</v>
      </c>
      <c r="U558" t="s">
        <v>249</v>
      </c>
      <c r="V558" t="s">
        <v>23</v>
      </c>
      <c r="W558" t="s">
        <v>56</v>
      </c>
      <c r="X558" t="s">
        <v>9</v>
      </c>
    </row>
    <row r="559" spans="1:24">
      <c r="A559" t="s">
        <v>1454</v>
      </c>
      <c r="B559" s="8">
        <v>45711</v>
      </c>
      <c r="C559" t="s">
        <v>386</v>
      </c>
      <c r="D559" t="s">
        <v>813</v>
      </c>
      <c r="E559">
        <v>3</v>
      </c>
      <c r="F559">
        <v>35000</v>
      </c>
      <c r="G559">
        <v>105000</v>
      </c>
      <c r="H559" t="s">
        <v>872</v>
      </c>
      <c r="I559">
        <v>0</v>
      </c>
      <c r="J559">
        <v>20000</v>
      </c>
      <c r="K559">
        <v>125000</v>
      </c>
      <c r="L559" t="s">
        <v>880</v>
      </c>
      <c r="M559" t="s">
        <v>874</v>
      </c>
      <c r="N559" t="s">
        <v>911</v>
      </c>
      <c r="O559" s="9">
        <v>45689</v>
      </c>
      <c r="P559" t="s">
        <v>892</v>
      </c>
      <c r="Q559">
        <v>105000</v>
      </c>
      <c r="R559" t="s">
        <v>814</v>
      </c>
      <c r="S559" t="s">
        <v>735</v>
      </c>
      <c r="T559" t="s">
        <v>736</v>
      </c>
      <c r="U559" t="s">
        <v>387</v>
      </c>
      <c r="V559" t="s">
        <v>7</v>
      </c>
      <c r="W559" t="s">
        <v>36</v>
      </c>
      <c r="X559" t="s">
        <v>9</v>
      </c>
    </row>
    <row r="560" spans="1:24">
      <c r="A560" t="s">
        <v>1455</v>
      </c>
      <c r="B560" s="8">
        <v>45728</v>
      </c>
      <c r="C560" t="s">
        <v>236</v>
      </c>
      <c r="D560" t="s">
        <v>725</v>
      </c>
      <c r="E560">
        <v>2</v>
      </c>
      <c r="F560">
        <v>300000</v>
      </c>
      <c r="G560">
        <v>600000</v>
      </c>
      <c r="H560" t="s">
        <v>886</v>
      </c>
      <c r="I560">
        <v>60000</v>
      </c>
      <c r="J560">
        <v>20000</v>
      </c>
      <c r="K560">
        <v>560000</v>
      </c>
      <c r="L560" t="s">
        <v>873</v>
      </c>
      <c r="M560" t="s">
        <v>874</v>
      </c>
      <c r="N560" t="s">
        <v>890</v>
      </c>
      <c r="O560" s="9">
        <v>45717</v>
      </c>
      <c r="P560" t="s">
        <v>892</v>
      </c>
      <c r="Q560">
        <v>540000</v>
      </c>
      <c r="R560" t="s">
        <v>726</v>
      </c>
      <c r="S560" t="s">
        <v>727</v>
      </c>
      <c r="T560" t="s">
        <v>728</v>
      </c>
      <c r="U560" t="s">
        <v>237</v>
      </c>
      <c r="V560" t="s">
        <v>7</v>
      </c>
      <c r="W560" t="s">
        <v>29</v>
      </c>
      <c r="X560" t="s">
        <v>15</v>
      </c>
    </row>
    <row r="561" spans="1:24">
      <c r="A561" t="s">
        <v>1456</v>
      </c>
      <c r="B561" s="8">
        <v>45761</v>
      </c>
      <c r="C561" t="s">
        <v>25</v>
      </c>
      <c r="D561" t="s">
        <v>789</v>
      </c>
      <c r="E561">
        <v>1</v>
      </c>
      <c r="F561">
        <v>200000</v>
      </c>
      <c r="G561">
        <v>200000</v>
      </c>
      <c r="H561" t="s">
        <v>872</v>
      </c>
      <c r="I561">
        <v>0</v>
      </c>
      <c r="J561">
        <v>20000</v>
      </c>
      <c r="K561">
        <v>220000</v>
      </c>
      <c r="L561" t="s">
        <v>880</v>
      </c>
      <c r="M561" t="s">
        <v>874</v>
      </c>
      <c r="N561" t="s">
        <v>875</v>
      </c>
      <c r="O561" s="9">
        <v>45748</v>
      </c>
      <c r="P561" t="s">
        <v>877</v>
      </c>
      <c r="Q561">
        <v>200000</v>
      </c>
      <c r="R561" t="s">
        <v>790</v>
      </c>
      <c r="S561" t="s">
        <v>735</v>
      </c>
      <c r="T561" t="s">
        <v>736</v>
      </c>
      <c r="U561" t="s">
        <v>26</v>
      </c>
      <c r="V561" t="s">
        <v>23</v>
      </c>
      <c r="W561" t="s">
        <v>20</v>
      </c>
      <c r="X561" t="s">
        <v>9</v>
      </c>
    </row>
    <row r="562" spans="1:24">
      <c r="A562" t="s">
        <v>1457</v>
      </c>
      <c r="B562" s="8">
        <v>45732</v>
      </c>
      <c r="C562" t="s">
        <v>614</v>
      </c>
      <c r="D562" t="s">
        <v>841</v>
      </c>
      <c r="E562">
        <v>1</v>
      </c>
      <c r="F562">
        <v>75000</v>
      </c>
      <c r="G562">
        <v>75000</v>
      </c>
      <c r="H562" t="s">
        <v>872</v>
      </c>
      <c r="I562">
        <v>0</v>
      </c>
      <c r="J562">
        <v>10000</v>
      </c>
      <c r="K562">
        <v>85000</v>
      </c>
      <c r="L562" t="s">
        <v>873</v>
      </c>
      <c r="M562" t="s">
        <v>901</v>
      </c>
      <c r="N562" t="s">
        <v>875</v>
      </c>
      <c r="O562" s="9">
        <v>45717</v>
      </c>
      <c r="P562" t="s">
        <v>877</v>
      </c>
      <c r="Q562">
        <v>75000</v>
      </c>
      <c r="R562" t="s">
        <v>842</v>
      </c>
      <c r="S562" t="s">
        <v>743</v>
      </c>
      <c r="T562" t="s">
        <v>744</v>
      </c>
      <c r="U562" t="s">
        <v>615</v>
      </c>
      <c r="V562" t="s">
        <v>23</v>
      </c>
      <c r="W562" t="s">
        <v>51</v>
      </c>
      <c r="X562" t="s">
        <v>9</v>
      </c>
    </row>
    <row r="563" spans="1:24">
      <c r="A563" t="s">
        <v>1458</v>
      </c>
      <c r="B563" s="8">
        <v>45833</v>
      </c>
      <c r="C563" t="s">
        <v>113</v>
      </c>
      <c r="D563" t="s">
        <v>799</v>
      </c>
      <c r="E563">
        <v>1</v>
      </c>
      <c r="F563">
        <v>35000</v>
      </c>
      <c r="G563">
        <v>35000</v>
      </c>
      <c r="H563" t="s">
        <v>886</v>
      </c>
      <c r="I563">
        <v>3500</v>
      </c>
      <c r="J563">
        <v>30000</v>
      </c>
      <c r="K563">
        <v>61500</v>
      </c>
      <c r="L563" t="s">
        <v>889</v>
      </c>
      <c r="N563" t="s">
        <v>890</v>
      </c>
      <c r="O563" s="9">
        <v>45809</v>
      </c>
      <c r="P563" t="s">
        <v>892</v>
      </c>
      <c r="Q563">
        <v>31500</v>
      </c>
      <c r="R563" t="s">
        <v>800</v>
      </c>
      <c r="S563" t="s">
        <v>731</v>
      </c>
      <c r="T563" t="s">
        <v>732</v>
      </c>
      <c r="U563" t="s">
        <v>114</v>
      </c>
      <c r="V563" t="s">
        <v>23</v>
      </c>
      <c r="W563" t="s">
        <v>39</v>
      </c>
      <c r="X563" t="s">
        <v>24</v>
      </c>
    </row>
    <row r="564" spans="1:24">
      <c r="A564" t="s">
        <v>1459</v>
      </c>
      <c r="B564" s="8">
        <v>45718</v>
      </c>
      <c r="C564" t="s">
        <v>208</v>
      </c>
      <c r="D564" t="s">
        <v>769</v>
      </c>
      <c r="E564">
        <v>2</v>
      </c>
      <c r="F564">
        <v>100000</v>
      </c>
      <c r="G564">
        <v>200000</v>
      </c>
      <c r="H564" t="s">
        <v>872</v>
      </c>
      <c r="I564">
        <v>0</v>
      </c>
      <c r="J564">
        <v>15000</v>
      </c>
      <c r="K564">
        <v>215000</v>
      </c>
      <c r="L564" t="s">
        <v>889</v>
      </c>
      <c r="M564" t="s">
        <v>903</v>
      </c>
      <c r="N564" t="s">
        <v>890</v>
      </c>
      <c r="O564" s="9">
        <v>45717</v>
      </c>
      <c r="P564" t="s">
        <v>892</v>
      </c>
      <c r="Q564">
        <v>200000</v>
      </c>
      <c r="R564" t="s">
        <v>770</v>
      </c>
      <c r="S564" t="s">
        <v>743</v>
      </c>
      <c r="T564" t="s">
        <v>744</v>
      </c>
      <c r="U564" t="s">
        <v>209</v>
      </c>
      <c r="V564" t="s">
        <v>7</v>
      </c>
      <c r="W564" t="s">
        <v>20</v>
      </c>
      <c r="X564" t="s">
        <v>9</v>
      </c>
    </row>
    <row r="565" spans="1:24">
      <c r="A565" t="s">
        <v>1460</v>
      </c>
      <c r="B565" s="8">
        <v>45736</v>
      </c>
      <c r="C565" t="s">
        <v>176</v>
      </c>
      <c r="D565" t="s">
        <v>745</v>
      </c>
      <c r="E565">
        <v>1</v>
      </c>
      <c r="F565">
        <v>500000</v>
      </c>
      <c r="G565">
        <v>500000</v>
      </c>
      <c r="H565" t="s">
        <v>895</v>
      </c>
      <c r="I565">
        <v>75000</v>
      </c>
      <c r="J565">
        <v>30000</v>
      </c>
      <c r="K565">
        <v>455000</v>
      </c>
      <c r="L565" t="s">
        <v>873</v>
      </c>
      <c r="M565" t="s">
        <v>874</v>
      </c>
      <c r="N565" t="s">
        <v>875</v>
      </c>
      <c r="O565" s="9">
        <v>45717</v>
      </c>
      <c r="P565" t="s">
        <v>877</v>
      </c>
      <c r="Q565">
        <v>425000</v>
      </c>
      <c r="R565" t="s">
        <v>746</v>
      </c>
      <c r="S565" t="s">
        <v>747</v>
      </c>
      <c r="T565" t="s">
        <v>748</v>
      </c>
      <c r="U565" t="s">
        <v>177</v>
      </c>
      <c r="V565" t="s">
        <v>7</v>
      </c>
      <c r="W565" t="s">
        <v>56</v>
      </c>
      <c r="X565" t="s">
        <v>9</v>
      </c>
    </row>
    <row r="566" spans="1:24">
      <c r="A566" t="s">
        <v>1461</v>
      </c>
      <c r="B566" s="8">
        <v>45762</v>
      </c>
      <c r="C566" t="s">
        <v>396</v>
      </c>
      <c r="D566" t="s">
        <v>799</v>
      </c>
      <c r="E566">
        <v>3</v>
      </c>
      <c r="F566">
        <v>35000</v>
      </c>
      <c r="G566">
        <v>105000</v>
      </c>
      <c r="H566" t="s">
        <v>872</v>
      </c>
      <c r="I566">
        <v>0</v>
      </c>
      <c r="J566">
        <v>25000</v>
      </c>
      <c r="K566">
        <v>130000</v>
      </c>
      <c r="L566" t="s">
        <v>889</v>
      </c>
      <c r="M566" t="s">
        <v>903</v>
      </c>
      <c r="N566" t="s">
        <v>911</v>
      </c>
      <c r="O566" s="9">
        <v>45748</v>
      </c>
      <c r="P566" t="s">
        <v>892</v>
      </c>
      <c r="Q566">
        <v>105000</v>
      </c>
      <c r="R566" t="s">
        <v>800</v>
      </c>
      <c r="S566" t="s">
        <v>731</v>
      </c>
      <c r="T566" t="s">
        <v>732</v>
      </c>
      <c r="U566" t="s">
        <v>397</v>
      </c>
      <c r="V566" t="s">
        <v>7</v>
      </c>
      <c r="W566" t="s">
        <v>36</v>
      </c>
      <c r="X566" t="s">
        <v>9</v>
      </c>
    </row>
    <row r="567" spans="1:24">
      <c r="A567" t="s">
        <v>1462</v>
      </c>
      <c r="B567" s="8">
        <v>45735</v>
      </c>
      <c r="C567" t="s">
        <v>716</v>
      </c>
      <c r="D567" t="s">
        <v>803</v>
      </c>
      <c r="E567">
        <v>1</v>
      </c>
      <c r="F567">
        <v>50000</v>
      </c>
      <c r="G567">
        <v>50000</v>
      </c>
      <c r="H567" t="s">
        <v>872</v>
      </c>
      <c r="I567">
        <v>0</v>
      </c>
      <c r="J567">
        <v>10000</v>
      </c>
      <c r="K567">
        <v>60000</v>
      </c>
      <c r="L567" t="s">
        <v>880</v>
      </c>
      <c r="M567" t="s">
        <v>881</v>
      </c>
      <c r="N567" t="s">
        <v>875</v>
      </c>
      <c r="O567" s="9">
        <v>45717</v>
      </c>
      <c r="P567" t="s">
        <v>877</v>
      </c>
      <c r="Q567">
        <v>50000</v>
      </c>
      <c r="R567" t="s">
        <v>804</v>
      </c>
      <c r="S567" t="s">
        <v>739</v>
      </c>
      <c r="T567" t="s">
        <v>740</v>
      </c>
      <c r="U567" t="s">
        <v>717</v>
      </c>
      <c r="V567" t="s">
        <v>23</v>
      </c>
      <c r="W567" t="s">
        <v>8</v>
      </c>
      <c r="X567" t="s">
        <v>9</v>
      </c>
    </row>
    <row r="568" spans="1:24">
      <c r="A568" t="s">
        <v>1463</v>
      </c>
      <c r="B568" s="8">
        <v>45695</v>
      </c>
      <c r="C568" t="s">
        <v>42</v>
      </c>
      <c r="D568" t="s">
        <v>751</v>
      </c>
      <c r="E568">
        <v>1</v>
      </c>
      <c r="F568">
        <v>150000</v>
      </c>
      <c r="G568">
        <v>150000</v>
      </c>
      <c r="H568" t="s">
        <v>883</v>
      </c>
      <c r="I568">
        <v>15000</v>
      </c>
      <c r="J568">
        <v>30000</v>
      </c>
      <c r="K568">
        <v>165000</v>
      </c>
      <c r="L568" t="s">
        <v>889</v>
      </c>
      <c r="M568" t="s">
        <v>903</v>
      </c>
      <c r="N568" t="s">
        <v>875</v>
      </c>
      <c r="O568" s="9">
        <v>45689</v>
      </c>
      <c r="P568" t="s">
        <v>877</v>
      </c>
      <c r="Q568">
        <v>135000</v>
      </c>
      <c r="R568" t="s">
        <v>752</v>
      </c>
      <c r="S568" t="s">
        <v>731</v>
      </c>
      <c r="T568" t="s">
        <v>732</v>
      </c>
      <c r="U568" t="s">
        <v>43</v>
      </c>
      <c r="V568" t="s">
        <v>23</v>
      </c>
      <c r="W568" t="s">
        <v>39</v>
      </c>
      <c r="X568" t="s">
        <v>15</v>
      </c>
    </row>
    <row r="569" spans="1:24">
      <c r="A569" t="s">
        <v>1464</v>
      </c>
      <c r="B569" s="8">
        <v>45741</v>
      </c>
      <c r="C569" t="s">
        <v>188</v>
      </c>
      <c r="D569" t="s">
        <v>841</v>
      </c>
      <c r="E569">
        <v>3</v>
      </c>
      <c r="F569">
        <v>75000</v>
      </c>
      <c r="G569">
        <v>225000</v>
      </c>
      <c r="H569" t="s">
        <v>895</v>
      </c>
      <c r="I569">
        <v>33750</v>
      </c>
      <c r="J569">
        <v>20000</v>
      </c>
      <c r="K569">
        <v>211250</v>
      </c>
      <c r="L569" t="s">
        <v>880</v>
      </c>
      <c r="M569" t="s">
        <v>903</v>
      </c>
      <c r="N569" t="s">
        <v>875</v>
      </c>
      <c r="O569" s="9">
        <v>45717</v>
      </c>
      <c r="P569" t="s">
        <v>877</v>
      </c>
      <c r="Q569">
        <v>191250</v>
      </c>
      <c r="R569" t="s">
        <v>842</v>
      </c>
      <c r="S569" t="s">
        <v>743</v>
      </c>
      <c r="T569" t="s">
        <v>744</v>
      </c>
      <c r="U569" t="s">
        <v>189</v>
      </c>
      <c r="V569" t="s">
        <v>23</v>
      </c>
      <c r="W569" t="s">
        <v>137</v>
      </c>
      <c r="X569" t="s">
        <v>9</v>
      </c>
    </row>
    <row r="570" spans="1:24">
      <c r="A570" t="s">
        <v>1465</v>
      </c>
      <c r="B570" s="8">
        <v>45674</v>
      </c>
      <c r="C570" t="s">
        <v>690</v>
      </c>
      <c r="D570" t="s">
        <v>851</v>
      </c>
      <c r="E570">
        <v>4</v>
      </c>
      <c r="F570">
        <v>35000</v>
      </c>
      <c r="G570">
        <v>140000</v>
      </c>
      <c r="H570" t="s">
        <v>895</v>
      </c>
      <c r="I570">
        <v>21000</v>
      </c>
      <c r="J570">
        <v>10000</v>
      </c>
      <c r="K570">
        <v>129000</v>
      </c>
      <c r="L570" t="s">
        <v>884</v>
      </c>
      <c r="M570" t="s">
        <v>903</v>
      </c>
      <c r="N570" t="s">
        <v>890</v>
      </c>
      <c r="O570" s="9">
        <v>45658</v>
      </c>
      <c r="P570" t="s">
        <v>892</v>
      </c>
      <c r="Q570">
        <v>119000</v>
      </c>
      <c r="R570" t="s">
        <v>852</v>
      </c>
      <c r="S570" t="s">
        <v>739</v>
      </c>
      <c r="T570" t="s">
        <v>740</v>
      </c>
      <c r="U570" t="s">
        <v>691</v>
      </c>
      <c r="V570" t="s">
        <v>23</v>
      </c>
      <c r="W570" t="s">
        <v>46</v>
      </c>
      <c r="X570" t="s">
        <v>9</v>
      </c>
    </row>
    <row r="571" spans="1:24">
      <c r="A571" t="s">
        <v>1466</v>
      </c>
      <c r="B571" s="8">
        <v>45726</v>
      </c>
      <c r="C571" t="s">
        <v>156</v>
      </c>
      <c r="D571" t="s">
        <v>775</v>
      </c>
      <c r="E571">
        <v>1</v>
      </c>
      <c r="F571">
        <v>75000</v>
      </c>
      <c r="G571">
        <v>75000</v>
      </c>
      <c r="H571" t="s">
        <v>883</v>
      </c>
      <c r="I571">
        <v>7500</v>
      </c>
      <c r="J571">
        <v>15000</v>
      </c>
      <c r="K571">
        <v>82500</v>
      </c>
      <c r="L571" t="s">
        <v>889</v>
      </c>
      <c r="M571" t="s">
        <v>901</v>
      </c>
      <c r="N571" t="s">
        <v>875</v>
      </c>
      <c r="O571" s="9">
        <v>45717</v>
      </c>
      <c r="P571" t="s">
        <v>877</v>
      </c>
      <c r="Q571">
        <v>67500</v>
      </c>
      <c r="R571" t="s">
        <v>776</v>
      </c>
      <c r="S571" t="s">
        <v>731</v>
      </c>
      <c r="T571" t="s">
        <v>732</v>
      </c>
      <c r="U571" t="s">
        <v>157</v>
      </c>
      <c r="V571" t="s">
        <v>23</v>
      </c>
      <c r="W571" t="s">
        <v>137</v>
      </c>
      <c r="X571" t="s">
        <v>15</v>
      </c>
    </row>
    <row r="572" spans="1:24">
      <c r="A572" t="s">
        <v>1467</v>
      </c>
      <c r="B572" s="8">
        <v>45666</v>
      </c>
      <c r="C572" t="s">
        <v>218</v>
      </c>
      <c r="D572" t="s">
        <v>779</v>
      </c>
      <c r="E572">
        <v>3</v>
      </c>
      <c r="F572">
        <v>150000</v>
      </c>
      <c r="G572">
        <v>450000</v>
      </c>
      <c r="H572" t="s">
        <v>895</v>
      </c>
      <c r="I572">
        <v>67500</v>
      </c>
      <c r="J572">
        <v>10000</v>
      </c>
      <c r="K572">
        <v>392500</v>
      </c>
      <c r="L572" t="s">
        <v>889</v>
      </c>
      <c r="M572" t="s">
        <v>903</v>
      </c>
      <c r="N572" t="s">
        <v>890</v>
      </c>
      <c r="O572" s="9">
        <v>45658</v>
      </c>
      <c r="P572" t="s">
        <v>892</v>
      </c>
      <c r="Q572">
        <v>382500</v>
      </c>
      <c r="R572" t="s">
        <v>780</v>
      </c>
      <c r="S572" t="s">
        <v>739</v>
      </c>
      <c r="T572" t="s">
        <v>740</v>
      </c>
      <c r="U572" t="s">
        <v>219</v>
      </c>
      <c r="V572" t="s">
        <v>23</v>
      </c>
      <c r="W572" t="s">
        <v>137</v>
      </c>
      <c r="X572" t="s">
        <v>9</v>
      </c>
    </row>
    <row r="573" spans="1:24">
      <c r="A573" t="s">
        <v>1468</v>
      </c>
      <c r="B573" s="8">
        <v>45675</v>
      </c>
      <c r="C573" t="s">
        <v>672</v>
      </c>
      <c r="D573" t="s">
        <v>725</v>
      </c>
      <c r="E573">
        <v>4</v>
      </c>
      <c r="F573">
        <v>300000</v>
      </c>
      <c r="G573">
        <v>1200000</v>
      </c>
      <c r="H573" t="s">
        <v>872</v>
      </c>
      <c r="I573">
        <v>0</v>
      </c>
      <c r="J573">
        <v>20000</v>
      </c>
      <c r="K573">
        <v>1220000</v>
      </c>
      <c r="L573" t="s">
        <v>889</v>
      </c>
      <c r="M573" t="s">
        <v>874</v>
      </c>
      <c r="N573" t="s">
        <v>875</v>
      </c>
      <c r="O573" s="9">
        <v>45658</v>
      </c>
      <c r="P573" t="s">
        <v>877</v>
      </c>
      <c r="Q573">
        <v>1200000</v>
      </c>
      <c r="R573" t="s">
        <v>726</v>
      </c>
      <c r="S573" t="s">
        <v>727</v>
      </c>
      <c r="T573" t="s">
        <v>728</v>
      </c>
      <c r="U573" t="s">
        <v>673</v>
      </c>
      <c r="V573" t="s">
        <v>7</v>
      </c>
      <c r="W573" t="s">
        <v>51</v>
      </c>
      <c r="X573" t="s">
        <v>9</v>
      </c>
    </row>
    <row r="574" spans="1:24">
      <c r="A574" t="s">
        <v>1469</v>
      </c>
      <c r="B574" s="8">
        <v>45828</v>
      </c>
      <c r="C574" t="s">
        <v>135</v>
      </c>
      <c r="D574" t="s">
        <v>799</v>
      </c>
      <c r="E574">
        <v>1</v>
      </c>
      <c r="F574">
        <v>35000</v>
      </c>
      <c r="G574">
        <v>35000</v>
      </c>
      <c r="H574" t="s">
        <v>879</v>
      </c>
      <c r="I574">
        <v>7000</v>
      </c>
      <c r="J574">
        <v>15000</v>
      </c>
      <c r="K574">
        <v>43000</v>
      </c>
      <c r="L574" t="s">
        <v>889</v>
      </c>
      <c r="M574" t="s">
        <v>874</v>
      </c>
      <c r="N574" t="s">
        <v>890</v>
      </c>
      <c r="O574" s="9">
        <v>45809</v>
      </c>
      <c r="P574" t="s">
        <v>892</v>
      </c>
      <c r="Q574">
        <v>28000</v>
      </c>
      <c r="R574" t="s">
        <v>800</v>
      </c>
      <c r="S574" t="s">
        <v>731</v>
      </c>
      <c r="T574" t="s">
        <v>732</v>
      </c>
      <c r="U574" t="s">
        <v>136</v>
      </c>
      <c r="V574" t="s">
        <v>23</v>
      </c>
      <c r="W574" t="s">
        <v>137</v>
      </c>
      <c r="X574" t="s">
        <v>24</v>
      </c>
    </row>
    <row r="575" spans="1:24">
      <c r="A575" t="s">
        <v>1470</v>
      </c>
      <c r="B575" s="8">
        <v>45744</v>
      </c>
      <c r="C575" t="s">
        <v>129</v>
      </c>
      <c r="D575" t="s">
        <v>833</v>
      </c>
      <c r="E575">
        <v>2</v>
      </c>
      <c r="F575">
        <v>200000</v>
      </c>
      <c r="G575">
        <v>400000</v>
      </c>
      <c r="H575" t="s">
        <v>872</v>
      </c>
      <c r="I575">
        <v>0</v>
      </c>
      <c r="J575">
        <v>30000</v>
      </c>
      <c r="K575">
        <v>430000</v>
      </c>
      <c r="L575" t="s">
        <v>884</v>
      </c>
      <c r="M575" t="s">
        <v>901</v>
      </c>
      <c r="N575" t="s">
        <v>875</v>
      </c>
      <c r="O575" s="9">
        <v>45717</v>
      </c>
      <c r="P575" t="s">
        <v>877</v>
      </c>
      <c r="Q575">
        <v>400000</v>
      </c>
      <c r="R575" t="s">
        <v>834</v>
      </c>
      <c r="S575" t="s">
        <v>727</v>
      </c>
      <c r="T575" t="s">
        <v>728</v>
      </c>
      <c r="U575" t="s">
        <v>130</v>
      </c>
      <c r="V575" t="s">
        <v>23</v>
      </c>
      <c r="W575" t="s">
        <v>8</v>
      </c>
      <c r="X575" t="s">
        <v>24</v>
      </c>
    </row>
    <row r="576" spans="1:24">
      <c r="A576" t="s">
        <v>1471</v>
      </c>
      <c r="B576" s="8">
        <v>45827</v>
      </c>
      <c r="C576" t="s">
        <v>176</v>
      </c>
      <c r="D576" t="s">
        <v>771</v>
      </c>
      <c r="E576">
        <v>4</v>
      </c>
      <c r="F576">
        <v>500000</v>
      </c>
      <c r="G576">
        <v>2000000</v>
      </c>
      <c r="H576" t="s">
        <v>886</v>
      </c>
      <c r="I576">
        <v>200000</v>
      </c>
      <c r="J576">
        <v>20000</v>
      </c>
      <c r="K576">
        <v>1820000</v>
      </c>
      <c r="L576" t="s">
        <v>889</v>
      </c>
      <c r="M576" t="s">
        <v>903</v>
      </c>
      <c r="N576" t="s">
        <v>875</v>
      </c>
      <c r="O576" s="9">
        <v>45809</v>
      </c>
      <c r="P576" t="s">
        <v>877</v>
      </c>
      <c r="Q576">
        <v>1800000</v>
      </c>
      <c r="R576" t="s">
        <v>772</v>
      </c>
      <c r="S576" t="s">
        <v>747</v>
      </c>
      <c r="T576" t="s">
        <v>748</v>
      </c>
      <c r="U576" t="s">
        <v>177</v>
      </c>
      <c r="V576" t="s">
        <v>7</v>
      </c>
      <c r="W576" t="s">
        <v>56</v>
      </c>
      <c r="X576" t="s">
        <v>9</v>
      </c>
    </row>
    <row r="577" spans="1:24">
      <c r="A577" t="s">
        <v>1472</v>
      </c>
      <c r="B577" s="8">
        <v>45728</v>
      </c>
      <c r="C577" t="s">
        <v>514</v>
      </c>
      <c r="D577" t="s">
        <v>771</v>
      </c>
      <c r="E577">
        <v>1</v>
      </c>
      <c r="F577">
        <v>500000</v>
      </c>
      <c r="G577">
        <v>500000</v>
      </c>
      <c r="H577" t="s">
        <v>886</v>
      </c>
      <c r="I577">
        <v>50000</v>
      </c>
      <c r="J577">
        <v>10000</v>
      </c>
      <c r="K577">
        <v>460000</v>
      </c>
      <c r="L577" t="s">
        <v>884</v>
      </c>
      <c r="M577" t="s">
        <v>903</v>
      </c>
      <c r="N577" t="s">
        <v>875</v>
      </c>
      <c r="O577" s="9">
        <v>45717</v>
      </c>
      <c r="P577" t="s">
        <v>877</v>
      </c>
      <c r="Q577">
        <v>450000</v>
      </c>
      <c r="R577" t="s">
        <v>772</v>
      </c>
      <c r="S577" t="s">
        <v>747</v>
      </c>
      <c r="T577" t="s">
        <v>748</v>
      </c>
      <c r="U577" t="s">
        <v>515</v>
      </c>
      <c r="V577" t="s">
        <v>23</v>
      </c>
      <c r="W577" t="s">
        <v>39</v>
      </c>
      <c r="X577" t="s">
        <v>9</v>
      </c>
    </row>
    <row r="578" spans="1:24">
      <c r="A578" t="s">
        <v>1473</v>
      </c>
      <c r="B578" s="8">
        <v>45709</v>
      </c>
      <c r="C578" t="s">
        <v>588</v>
      </c>
      <c r="D578" t="s">
        <v>777</v>
      </c>
      <c r="E578">
        <v>1</v>
      </c>
      <c r="F578">
        <v>200000</v>
      </c>
      <c r="G578">
        <v>200000</v>
      </c>
      <c r="H578" t="s">
        <v>879</v>
      </c>
      <c r="I578">
        <v>40000</v>
      </c>
      <c r="J578">
        <v>20000</v>
      </c>
      <c r="K578">
        <v>180000</v>
      </c>
      <c r="L578" t="s">
        <v>889</v>
      </c>
      <c r="N578" t="s">
        <v>875</v>
      </c>
      <c r="O578" s="9">
        <v>45689</v>
      </c>
      <c r="P578" t="s">
        <v>877</v>
      </c>
      <c r="Q578">
        <v>160000</v>
      </c>
      <c r="R578" t="s">
        <v>778</v>
      </c>
      <c r="S578" t="s">
        <v>735</v>
      </c>
      <c r="T578" t="s">
        <v>736</v>
      </c>
      <c r="U578" t="s">
        <v>589</v>
      </c>
      <c r="V578" t="s">
        <v>7</v>
      </c>
      <c r="W578" t="s">
        <v>39</v>
      </c>
      <c r="X578" t="s">
        <v>9</v>
      </c>
    </row>
    <row r="579" spans="1:24">
      <c r="A579" t="s">
        <v>1474</v>
      </c>
      <c r="B579" s="8">
        <v>45785</v>
      </c>
      <c r="C579" t="s">
        <v>57</v>
      </c>
      <c r="D579" t="s">
        <v>783</v>
      </c>
      <c r="E579">
        <v>1</v>
      </c>
      <c r="F579">
        <v>500000</v>
      </c>
      <c r="G579">
        <v>500000</v>
      </c>
      <c r="H579" t="s">
        <v>872</v>
      </c>
      <c r="I579">
        <v>0</v>
      </c>
      <c r="J579">
        <v>20000</v>
      </c>
      <c r="K579">
        <v>520000</v>
      </c>
      <c r="L579" t="s">
        <v>884</v>
      </c>
      <c r="M579" t="s">
        <v>901</v>
      </c>
      <c r="N579" t="s">
        <v>875</v>
      </c>
      <c r="O579" s="9">
        <v>45778</v>
      </c>
      <c r="P579" t="s">
        <v>877</v>
      </c>
      <c r="Q579">
        <v>500000</v>
      </c>
      <c r="R579" t="s">
        <v>784</v>
      </c>
      <c r="S579" t="s">
        <v>747</v>
      </c>
      <c r="T579" t="s">
        <v>748</v>
      </c>
      <c r="U579" t="s">
        <v>58</v>
      </c>
      <c r="V579" t="s">
        <v>23</v>
      </c>
      <c r="W579" t="s">
        <v>8</v>
      </c>
      <c r="X579" t="s">
        <v>9</v>
      </c>
    </row>
    <row r="580" spans="1:24">
      <c r="A580" t="s">
        <v>1475</v>
      </c>
      <c r="B580" s="8">
        <v>45720</v>
      </c>
      <c r="C580" t="s">
        <v>388</v>
      </c>
      <c r="D580" t="s">
        <v>845</v>
      </c>
      <c r="E580">
        <v>2</v>
      </c>
      <c r="F580">
        <v>300000</v>
      </c>
      <c r="G580">
        <v>600000</v>
      </c>
      <c r="H580" t="s">
        <v>879</v>
      </c>
      <c r="I580">
        <v>120000</v>
      </c>
      <c r="J580">
        <v>30000</v>
      </c>
      <c r="K580">
        <v>510000</v>
      </c>
      <c r="L580" t="s">
        <v>884</v>
      </c>
      <c r="M580" t="s">
        <v>903</v>
      </c>
      <c r="N580" t="s">
        <v>875</v>
      </c>
      <c r="O580" s="9">
        <v>45717</v>
      </c>
      <c r="P580" t="s">
        <v>877</v>
      </c>
      <c r="Q580">
        <v>480000</v>
      </c>
      <c r="R580" t="s">
        <v>846</v>
      </c>
      <c r="S580" t="s">
        <v>727</v>
      </c>
      <c r="T580" t="s">
        <v>728</v>
      </c>
      <c r="U580" t="s">
        <v>389</v>
      </c>
      <c r="V580" t="s">
        <v>7</v>
      </c>
      <c r="W580" t="s">
        <v>51</v>
      </c>
      <c r="X580" t="s">
        <v>9</v>
      </c>
    </row>
    <row r="581" spans="1:24">
      <c r="A581" t="s">
        <v>1476</v>
      </c>
      <c r="B581" s="8">
        <v>45826</v>
      </c>
      <c r="C581" t="s">
        <v>101</v>
      </c>
      <c r="D581" t="s">
        <v>803</v>
      </c>
      <c r="E581">
        <v>1</v>
      </c>
      <c r="F581">
        <v>50000</v>
      </c>
      <c r="G581">
        <v>50000</v>
      </c>
      <c r="H581" t="s">
        <v>879</v>
      </c>
      <c r="I581">
        <v>10000</v>
      </c>
      <c r="J581">
        <v>10000</v>
      </c>
      <c r="K581">
        <v>50000</v>
      </c>
      <c r="L581" t="s">
        <v>889</v>
      </c>
      <c r="M581" t="s">
        <v>881</v>
      </c>
      <c r="N581" t="s">
        <v>921</v>
      </c>
      <c r="O581" s="9">
        <v>45809</v>
      </c>
      <c r="P581" t="s">
        <v>892</v>
      </c>
      <c r="Q581">
        <v>40000</v>
      </c>
      <c r="R581" t="s">
        <v>804</v>
      </c>
      <c r="S581" t="s">
        <v>739</v>
      </c>
      <c r="T581" t="s">
        <v>740</v>
      </c>
      <c r="U581" t="s">
        <v>102</v>
      </c>
      <c r="V581" t="s">
        <v>23</v>
      </c>
      <c r="W581" t="s">
        <v>46</v>
      </c>
      <c r="X581" t="s">
        <v>9</v>
      </c>
    </row>
    <row r="582" spans="1:24">
      <c r="A582" t="s">
        <v>1477</v>
      </c>
      <c r="B582" s="8">
        <v>45767</v>
      </c>
      <c r="C582" t="s">
        <v>574</v>
      </c>
      <c r="D582" t="s">
        <v>733</v>
      </c>
      <c r="E582">
        <v>4</v>
      </c>
      <c r="F582">
        <v>150000</v>
      </c>
      <c r="G582">
        <v>600000</v>
      </c>
      <c r="H582" t="s">
        <v>895</v>
      </c>
      <c r="I582">
        <v>90000</v>
      </c>
      <c r="J582">
        <v>10000</v>
      </c>
      <c r="K582">
        <v>520000</v>
      </c>
      <c r="L582" t="s">
        <v>889</v>
      </c>
      <c r="M582" t="s">
        <v>881</v>
      </c>
      <c r="N582" t="s">
        <v>875</v>
      </c>
      <c r="O582" s="9">
        <v>45748</v>
      </c>
      <c r="P582" t="s">
        <v>877</v>
      </c>
      <c r="Q582">
        <v>510000</v>
      </c>
      <c r="R582" t="s">
        <v>734</v>
      </c>
      <c r="S582" t="s">
        <v>735</v>
      </c>
      <c r="T582" t="s">
        <v>736</v>
      </c>
      <c r="U582" t="s">
        <v>575</v>
      </c>
      <c r="V582" t="s">
        <v>7</v>
      </c>
      <c r="W582" t="s">
        <v>46</v>
      </c>
      <c r="X582" t="s">
        <v>24</v>
      </c>
    </row>
    <row r="583" spans="1:24">
      <c r="A583" t="s">
        <v>1478</v>
      </c>
      <c r="B583" s="8">
        <v>45709</v>
      </c>
      <c r="C583" t="s">
        <v>700</v>
      </c>
      <c r="D583" t="s">
        <v>793</v>
      </c>
      <c r="E583">
        <v>3</v>
      </c>
      <c r="F583">
        <v>500000</v>
      </c>
      <c r="G583">
        <v>1500000</v>
      </c>
      <c r="H583" t="s">
        <v>895</v>
      </c>
      <c r="I583">
        <v>225000</v>
      </c>
      <c r="J583">
        <v>25000</v>
      </c>
      <c r="K583">
        <v>1300000</v>
      </c>
      <c r="L583" t="s">
        <v>880</v>
      </c>
      <c r="M583" t="s">
        <v>881</v>
      </c>
      <c r="N583" t="s">
        <v>875</v>
      </c>
      <c r="O583" s="9">
        <v>45689</v>
      </c>
      <c r="P583" t="s">
        <v>877</v>
      </c>
      <c r="Q583">
        <v>1275000</v>
      </c>
      <c r="R583" t="s">
        <v>794</v>
      </c>
      <c r="S583" t="s">
        <v>743</v>
      </c>
      <c r="T583" t="s">
        <v>744</v>
      </c>
      <c r="U583" t="s">
        <v>701</v>
      </c>
      <c r="V583" t="s">
        <v>23</v>
      </c>
      <c r="W583" t="s">
        <v>12</v>
      </c>
      <c r="X583" t="s">
        <v>9</v>
      </c>
    </row>
    <row r="584" spans="1:24">
      <c r="A584" t="s">
        <v>1479</v>
      </c>
      <c r="B584" s="8">
        <v>45780</v>
      </c>
      <c r="C584" t="s">
        <v>140</v>
      </c>
      <c r="D584" t="s">
        <v>843</v>
      </c>
      <c r="E584">
        <v>1</v>
      </c>
      <c r="F584">
        <v>100000</v>
      </c>
      <c r="G584">
        <v>100000</v>
      </c>
      <c r="H584" t="s">
        <v>886</v>
      </c>
      <c r="I584">
        <v>10000</v>
      </c>
      <c r="J584">
        <v>10000</v>
      </c>
      <c r="K584">
        <v>100000</v>
      </c>
      <c r="L584" t="s">
        <v>873</v>
      </c>
      <c r="M584" t="s">
        <v>903</v>
      </c>
      <c r="N584" t="s">
        <v>875</v>
      </c>
      <c r="O584" s="9">
        <v>45778</v>
      </c>
      <c r="P584" t="s">
        <v>877</v>
      </c>
      <c r="Q584">
        <v>90000</v>
      </c>
      <c r="R584" t="s">
        <v>844</v>
      </c>
      <c r="S584" t="s">
        <v>747</v>
      </c>
      <c r="T584" t="s">
        <v>748</v>
      </c>
      <c r="U584" t="s">
        <v>141</v>
      </c>
      <c r="V584" t="s">
        <v>23</v>
      </c>
      <c r="W584" t="s">
        <v>137</v>
      </c>
      <c r="X584" t="s">
        <v>9</v>
      </c>
    </row>
    <row r="585" spans="1:24">
      <c r="A585" t="s">
        <v>1480</v>
      </c>
      <c r="B585" s="8">
        <v>45778</v>
      </c>
      <c r="C585" t="s">
        <v>392</v>
      </c>
      <c r="D585" t="s">
        <v>781</v>
      </c>
      <c r="E585">
        <v>4</v>
      </c>
      <c r="F585">
        <v>50000</v>
      </c>
      <c r="G585">
        <v>200000</v>
      </c>
      <c r="H585" t="s">
        <v>883</v>
      </c>
      <c r="I585">
        <v>20000</v>
      </c>
      <c r="J585">
        <v>30000</v>
      </c>
      <c r="K585">
        <v>210000</v>
      </c>
      <c r="L585" t="s">
        <v>884</v>
      </c>
      <c r="M585" t="s">
        <v>881</v>
      </c>
      <c r="N585" t="s">
        <v>875</v>
      </c>
      <c r="O585" s="9">
        <v>45778</v>
      </c>
      <c r="P585" t="s">
        <v>877</v>
      </c>
      <c r="Q585">
        <v>180000</v>
      </c>
      <c r="R585" t="s">
        <v>782</v>
      </c>
      <c r="S585" t="s">
        <v>743</v>
      </c>
      <c r="T585" t="s">
        <v>744</v>
      </c>
      <c r="U585" t="s">
        <v>393</v>
      </c>
      <c r="V585" t="s">
        <v>7</v>
      </c>
      <c r="W585" t="s">
        <v>20</v>
      </c>
      <c r="X585" t="s">
        <v>9</v>
      </c>
    </row>
    <row r="586" spans="1:24">
      <c r="A586" t="s">
        <v>1481</v>
      </c>
      <c r="B586" s="8">
        <v>45735</v>
      </c>
      <c r="C586" t="s">
        <v>47</v>
      </c>
      <c r="D586" t="s">
        <v>749</v>
      </c>
      <c r="E586">
        <v>1</v>
      </c>
      <c r="F586">
        <v>150000</v>
      </c>
      <c r="G586">
        <v>150000</v>
      </c>
      <c r="H586" t="s">
        <v>886</v>
      </c>
      <c r="I586">
        <v>15000</v>
      </c>
      <c r="J586">
        <v>10000</v>
      </c>
      <c r="K586">
        <v>145000</v>
      </c>
      <c r="L586" t="s">
        <v>889</v>
      </c>
      <c r="M586" t="s">
        <v>901</v>
      </c>
      <c r="N586" t="s">
        <v>890</v>
      </c>
      <c r="O586" s="9">
        <v>45717</v>
      </c>
      <c r="P586" t="s">
        <v>892</v>
      </c>
      <c r="Q586">
        <v>135000</v>
      </c>
      <c r="R586" t="s">
        <v>750</v>
      </c>
      <c r="S586" t="s">
        <v>727</v>
      </c>
      <c r="T586" t="s">
        <v>728</v>
      </c>
      <c r="U586" t="s">
        <v>48</v>
      </c>
      <c r="V586" t="s">
        <v>23</v>
      </c>
      <c r="W586" t="s">
        <v>36</v>
      </c>
      <c r="X586" t="s">
        <v>9</v>
      </c>
    </row>
    <row r="587" spans="1:24">
      <c r="A587" t="s">
        <v>1482</v>
      </c>
      <c r="B587" s="8">
        <v>45741</v>
      </c>
      <c r="C587" t="s">
        <v>276</v>
      </c>
      <c r="D587" t="s">
        <v>843</v>
      </c>
      <c r="E587">
        <v>4</v>
      </c>
      <c r="F587">
        <v>100000</v>
      </c>
      <c r="G587">
        <v>400000</v>
      </c>
      <c r="H587" t="s">
        <v>872</v>
      </c>
      <c r="I587">
        <v>0</v>
      </c>
      <c r="J587">
        <v>10000</v>
      </c>
      <c r="K587">
        <v>410000</v>
      </c>
      <c r="L587" t="s">
        <v>889</v>
      </c>
      <c r="M587" t="s">
        <v>903</v>
      </c>
      <c r="N587" t="s">
        <v>875</v>
      </c>
      <c r="O587" s="9">
        <v>45717</v>
      </c>
      <c r="P587" t="s">
        <v>877</v>
      </c>
      <c r="Q587">
        <v>400000</v>
      </c>
      <c r="R587" t="s">
        <v>844</v>
      </c>
      <c r="S587" t="s">
        <v>747</v>
      </c>
      <c r="T587" t="s">
        <v>748</v>
      </c>
      <c r="U587" t="s">
        <v>277</v>
      </c>
      <c r="V587" t="s">
        <v>7</v>
      </c>
      <c r="W587" t="s">
        <v>137</v>
      </c>
      <c r="X587" t="s">
        <v>15</v>
      </c>
    </row>
    <row r="588" spans="1:24">
      <c r="A588" t="s">
        <v>1483</v>
      </c>
      <c r="B588" s="8">
        <v>45680</v>
      </c>
      <c r="C588" t="s">
        <v>63</v>
      </c>
      <c r="D588" t="s">
        <v>787</v>
      </c>
      <c r="E588">
        <v>2</v>
      </c>
      <c r="F588">
        <v>200000</v>
      </c>
      <c r="G588">
        <v>400000</v>
      </c>
      <c r="H588" t="s">
        <v>895</v>
      </c>
      <c r="I588">
        <v>60000</v>
      </c>
      <c r="J588">
        <v>25000</v>
      </c>
      <c r="K588">
        <v>365000</v>
      </c>
      <c r="L588" t="s">
        <v>880</v>
      </c>
      <c r="M588" t="s">
        <v>903</v>
      </c>
      <c r="N588" t="s">
        <v>921</v>
      </c>
      <c r="O588" s="9">
        <v>45658</v>
      </c>
      <c r="P588" t="s">
        <v>892</v>
      </c>
      <c r="Q588">
        <v>340000</v>
      </c>
      <c r="R588" t="s">
        <v>788</v>
      </c>
      <c r="S588" t="s">
        <v>731</v>
      </c>
      <c r="T588" t="s">
        <v>732</v>
      </c>
      <c r="U588" t="s">
        <v>64</v>
      </c>
      <c r="V588" t="s">
        <v>7</v>
      </c>
      <c r="W588" t="s">
        <v>8</v>
      </c>
      <c r="X588" t="s">
        <v>15</v>
      </c>
    </row>
    <row r="589" spans="1:24">
      <c r="A589" t="s">
        <v>1484</v>
      </c>
      <c r="B589" s="8">
        <v>45766</v>
      </c>
      <c r="C589" t="s">
        <v>127</v>
      </c>
      <c r="D589" t="s">
        <v>789</v>
      </c>
      <c r="E589">
        <v>1</v>
      </c>
      <c r="F589">
        <v>200000</v>
      </c>
      <c r="G589">
        <v>200000</v>
      </c>
      <c r="H589" t="s">
        <v>872</v>
      </c>
      <c r="I589">
        <v>0</v>
      </c>
      <c r="J589">
        <v>30000</v>
      </c>
      <c r="K589">
        <v>230000</v>
      </c>
      <c r="L589" t="s">
        <v>884</v>
      </c>
      <c r="M589" t="s">
        <v>903</v>
      </c>
      <c r="N589" t="s">
        <v>890</v>
      </c>
      <c r="O589" s="9">
        <v>45748</v>
      </c>
      <c r="P589" t="s">
        <v>892</v>
      </c>
      <c r="Q589">
        <v>200000</v>
      </c>
      <c r="R589" t="s">
        <v>790</v>
      </c>
      <c r="S589" t="s">
        <v>735</v>
      </c>
      <c r="T589" t="s">
        <v>736</v>
      </c>
      <c r="U589" t="s">
        <v>128</v>
      </c>
      <c r="V589" t="s">
        <v>7</v>
      </c>
      <c r="W589" t="s">
        <v>39</v>
      </c>
      <c r="X589" t="s">
        <v>15</v>
      </c>
    </row>
    <row r="590" spans="1:24">
      <c r="A590" t="s">
        <v>1485</v>
      </c>
      <c r="B590" s="8">
        <v>45811</v>
      </c>
      <c r="C590" t="s">
        <v>87</v>
      </c>
      <c r="D590" t="s">
        <v>765</v>
      </c>
      <c r="E590">
        <v>1</v>
      </c>
      <c r="F590">
        <v>500000</v>
      </c>
      <c r="G590">
        <v>500000</v>
      </c>
      <c r="H590" t="s">
        <v>886</v>
      </c>
      <c r="I590">
        <v>50000</v>
      </c>
      <c r="J590">
        <v>20000</v>
      </c>
      <c r="K590">
        <v>470000</v>
      </c>
      <c r="L590" t="s">
        <v>889</v>
      </c>
      <c r="M590" t="s">
        <v>901</v>
      </c>
      <c r="N590" t="s">
        <v>875</v>
      </c>
      <c r="O590" s="9">
        <v>45809</v>
      </c>
      <c r="P590" t="s">
        <v>877</v>
      </c>
      <c r="Q590">
        <v>450000</v>
      </c>
      <c r="R590" t="s">
        <v>766</v>
      </c>
      <c r="S590" t="s">
        <v>735</v>
      </c>
      <c r="T590" t="s">
        <v>736</v>
      </c>
      <c r="U590" t="s">
        <v>88</v>
      </c>
      <c r="V590" t="s">
        <v>23</v>
      </c>
      <c r="W590" t="s">
        <v>39</v>
      </c>
      <c r="X590" t="s">
        <v>24</v>
      </c>
    </row>
    <row r="591" spans="1:24">
      <c r="A591" t="s">
        <v>1486</v>
      </c>
      <c r="B591" s="8">
        <v>45715</v>
      </c>
      <c r="C591" t="s">
        <v>81</v>
      </c>
      <c r="D591" t="s">
        <v>797</v>
      </c>
      <c r="E591">
        <v>1</v>
      </c>
      <c r="F591">
        <v>150000</v>
      </c>
      <c r="G591">
        <v>150000</v>
      </c>
      <c r="H591" t="s">
        <v>872</v>
      </c>
      <c r="I591">
        <v>0</v>
      </c>
      <c r="J591">
        <v>15000</v>
      </c>
      <c r="K591">
        <v>165000</v>
      </c>
      <c r="L591" t="s">
        <v>880</v>
      </c>
      <c r="M591" t="s">
        <v>901</v>
      </c>
      <c r="N591" t="s">
        <v>911</v>
      </c>
      <c r="O591" s="9">
        <v>45689</v>
      </c>
      <c r="P591" t="s">
        <v>892</v>
      </c>
      <c r="Q591">
        <v>150000</v>
      </c>
      <c r="R591" t="s">
        <v>798</v>
      </c>
      <c r="S591" t="s">
        <v>727</v>
      </c>
      <c r="T591" t="s">
        <v>728</v>
      </c>
      <c r="U591" t="s">
        <v>82</v>
      </c>
      <c r="V591" t="s">
        <v>23</v>
      </c>
      <c r="W591" t="s">
        <v>20</v>
      </c>
      <c r="X591" t="s">
        <v>24</v>
      </c>
    </row>
    <row r="592" spans="1:24">
      <c r="A592" t="s">
        <v>1487</v>
      </c>
      <c r="B592" s="8">
        <v>45728</v>
      </c>
      <c r="C592" t="s">
        <v>198</v>
      </c>
      <c r="D592" t="s">
        <v>803</v>
      </c>
      <c r="E592">
        <v>3</v>
      </c>
      <c r="F592">
        <v>50000</v>
      </c>
      <c r="G592">
        <v>150000</v>
      </c>
      <c r="H592" t="s">
        <v>872</v>
      </c>
      <c r="I592">
        <v>0</v>
      </c>
      <c r="J592">
        <v>20000</v>
      </c>
      <c r="K592">
        <v>170000</v>
      </c>
      <c r="L592" t="s">
        <v>884</v>
      </c>
      <c r="M592" t="s">
        <v>901</v>
      </c>
      <c r="N592" t="s">
        <v>905</v>
      </c>
      <c r="O592" s="9">
        <v>45717</v>
      </c>
      <c r="P592" t="s">
        <v>892</v>
      </c>
      <c r="Q592">
        <v>150000</v>
      </c>
      <c r="R592" t="s">
        <v>804</v>
      </c>
      <c r="S592" t="s">
        <v>739</v>
      </c>
      <c r="T592" t="s">
        <v>740</v>
      </c>
      <c r="U592" t="s">
        <v>199</v>
      </c>
      <c r="V592" t="s">
        <v>23</v>
      </c>
      <c r="W592" t="s">
        <v>39</v>
      </c>
      <c r="X592" t="s">
        <v>15</v>
      </c>
    </row>
    <row r="593" spans="1:24">
      <c r="A593" t="s">
        <v>1488</v>
      </c>
      <c r="B593" s="8">
        <v>45827</v>
      </c>
      <c r="C593" t="s">
        <v>632</v>
      </c>
      <c r="D593" t="s">
        <v>759</v>
      </c>
      <c r="E593">
        <v>1</v>
      </c>
      <c r="F593">
        <v>300000</v>
      </c>
      <c r="G593">
        <v>300000</v>
      </c>
      <c r="H593" t="s">
        <v>872</v>
      </c>
      <c r="I593">
        <v>0</v>
      </c>
      <c r="J593">
        <v>20000</v>
      </c>
      <c r="K593">
        <v>320000</v>
      </c>
      <c r="L593" t="s">
        <v>873</v>
      </c>
      <c r="M593" t="s">
        <v>874</v>
      </c>
      <c r="N593" t="s">
        <v>875</v>
      </c>
      <c r="O593" s="9">
        <v>45809</v>
      </c>
      <c r="P593" t="s">
        <v>877</v>
      </c>
      <c r="Q593">
        <v>300000</v>
      </c>
      <c r="R593" t="s">
        <v>760</v>
      </c>
      <c r="S593" t="s">
        <v>747</v>
      </c>
      <c r="T593" t="s">
        <v>748</v>
      </c>
      <c r="U593" t="s">
        <v>633</v>
      </c>
      <c r="V593" t="s">
        <v>23</v>
      </c>
      <c r="W593" t="s">
        <v>29</v>
      </c>
      <c r="X593" t="s">
        <v>9</v>
      </c>
    </row>
    <row r="594" spans="1:24">
      <c r="A594" t="s">
        <v>1489</v>
      </c>
      <c r="B594" s="8">
        <v>45787</v>
      </c>
      <c r="C594" t="s">
        <v>272</v>
      </c>
      <c r="D594" t="s">
        <v>807</v>
      </c>
      <c r="E594">
        <v>1</v>
      </c>
      <c r="F594">
        <v>150000</v>
      </c>
      <c r="G594">
        <v>150000</v>
      </c>
      <c r="H594" t="s">
        <v>872</v>
      </c>
      <c r="I594">
        <v>0</v>
      </c>
      <c r="J594">
        <v>15000</v>
      </c>
      <c r="K594">
        <v>165000</v>
      </c>
      <c r="L594" t="s">
        <v>884</v>
      </c>
      <c r="M594" t="s">
        <v>881</v>
      </c>
      <c r="N594" t="s">
        <v>911</v>
      </c>
      <c r="O594" s="9">
        <v>45778</v>
      </c>
      <c r="P594" t="s">
        <v>892</v>
      </c>
      <c r="Q594">
        <v>150000</v>
      </c>
      <c r="R594" t="s">
        <v>808</v>
      </c>
      <c r="S594" t="s">
        <v>747</v>
      </c>
      <c r="T594" t="s">
        <v>748</v>
      </c>
      <c r="U594" t="s">
        <v>273</v>
      </c>
      <c r="V594" t="s">
        <v>23</v>
      </c>
      <c r="W594" t="s">
        <v>51</v>
      </c>
      <c r="X594" t="s">
        <v>24</v>
      </c>
    </row>
    <row r="595" spans="1:24">
      <c r="A595" t="s">
        <v>1490</v>
      </c>
      <c r="B595" s="8">
        <v>45731</v>
      </c>
      <c r="C595" t="s">
        <v>67</v>
      </c>
      <c r="D595" t="s">
        <v>809</v>
      </c>
      <c r="E595">
        <v>1</v>
      </c>
      <c r="F595">
        <v>100000</v>
      </c>
      <c r="G595">
        <v>100000</v>
      </c>
      <c r="H595" t="s">
        <v>872</v>
      </c>
      <c r="I595">
        <v>0</v>
      </c>
      <c r="J595">
        <v>10000</v>
      </c>
      <c r="K595">
        <v>110000</v>
      </c>
      <c r="L595" t="s">
        <v>889</v>
      </c>
      <c r="M595" t="s">
        <v>874</v>
      </c>
      <c r="N595" t="s">
        <v>875</v>
      </c>
      <c r="O595" s="9">
        <v>45717</v>
      </c>
      <c r="P595" t="s">
        <v>877</v>
      </c>
      <c r="Q595">
        <v>100000</v>
      </c>
      <c r="R595" t="s">
        <v>810</v>
      </c>
      <c r="S595" t="s">
        <v>727</v>
      </c>
      <c r="T595" t="s">
        <v>728</v>
      </c>
      <c r="U595" t="s">
        <v>68</v>
      </c>
      <c r="V595" t="s">
        <v>7</v>
      </c>
      <c r="W595" t="s">
        <v>56</v>
      </c>
      <c r="X595" t="s">
        <v>24</v>
      </c>
    </row>
    <row r="596" spans="1:24">
      <c r="A596" t="s">
        <v>1491</v>
      </c>
      <c r="B596" s="8">
        <v>45802</v>
      </c>
      <c r="C596" t="s">
        <v>450</v>
      </c>
      <c r="D596" t="s">
        <v>809</v>
      </c>
      <c r="E596">
        <v>1</v>
      </c>
      <c r="F596">
        <v>100000</v>
      </c>
      <c r="G596">
        <v>100000</v>
      </c>
      <c r="H596" t="s">
        <v>883</v>
      </c>
      <c r="I596">
        <v>10000</v>
      </c>
      <c r="J596">
        <v>25000</v>
      </c>
      <c r="K596">
        <v>115000</v>
      </c>
      <c r="L596" t="s">
        <v>884</v>
      </c>
      <c r="M596" t="s">
        <v>903</v>
      </c>
      <c r="N596" t="s">
        <v>875</v>
      </c>
      <c r="O596" s="9">
        <v>45778</v>
      </c>
      <c r="P596" t="s">
        <v>877</v>
      </c>
      <c r="Q596">
        <v>90000</v>
      </c>
      <c r="R596" t="s">
        <v>810</v>
      </c>
      <c r="S596" t="s">
        <v>727</v>
      </c>
      <c r="T596" t="s">
        <v>728</v>
      </c>
      <c r="U596" t="s">
        <v>451</v>
      </c>
      <c r="V596" t="s">
        <v>23</v>
      </c>
      <c r="W596" t="s">
        <v>56</v>
      </c>
      <c r="X596" t="s">
        <v>9</v>
      </c>
    </row>
    <row r="597" spans="1:24">
      <c r="A597" t="s">
        <v>1492</v>
      </c>
      <c r="B597" s="8">
        <v>45738</v>
      </c>
      <c r="C597" t="s">
        <v>564</v>
      </c>
      <c r="D597" t="s">
        <v>841</v>
      </c>
      <c r="E597">
        <v>1</v>
      </c>
      <c r="F597">
        <v>75000</v>
      </c>
      <c r="G597">
        <v>75000</v>
      </c>
      <c r="H597" t="s">
        <v>872</v>
      </c>
      <c r="I597">
        <v>0</v>
      </c>
      <c r="J597">
        <v>15000</v>
      </c>
      <c r="K597">
        <v>90000</v>
      </c>
      <c r="L597" t="s">
        <v>889</v>
      </c>
      <c r="M597" t="s">
        <v>881</v>
      </c>
      <c r="N597" t="s">
        <v>921</v>
      </c>
      <c r="O597" s="9">
        <v>45717</v>
      </c>
      <c r="P597" t="s">
        <v>892</v>
      </c>
      <c r="Q597">
        <v>75000</v>
      </c>
      <c r="R597" t="s">
        <v>842</v>
      </c>
      <c r="S597" t="s">
        <v>743</v>
      </c>
      <c r="T597" t="s">
        <v>744</v>
      </c>
      <c r="U597" t="s">
        <v>565</v>
      </c>
      <c r="V597" t="s">
        <v>23</v>
      </c>
      <c r="W597" t="s">
        <v>46</v>
      </c>
      <c r="X597" t="s">
        <v>15</v>
      </c>
    </row>
    <row r="598" spans="1:24">
      <c r="A598" t="s">
        <v>1493</v>
      </c>
      <c r="B598" s="8">
        <v>45814</v>
      </c>
      <c r="C598" t="s">
        <v>322</v>
      </c>
      <c r="D598" t="s">
        <v>755</v>
      </c>
      <c r="E598">
        <v>2</v>
      </c>
      <c r="F598">
        <v>50000</v>
      </c>
      <c r="G598">
        <v>100000</v>
      </c>
      <c r="H598" t="s">
        <v>879</v>
      </c>
      <c r="I598">
        <v>20000</v>
      </c>
      <c r="J598">
        <v>15000</v>
      </c>
      <c r="K598">
        <v>95000</v>
      </c>
      <c r="L598" t="s">
        <v>873</v>
      </c>
      <c r="M598" t="s">
        <v>874</v>
      </c>
      <c r="N598" t="s">
        <v>905</v>
      </c>
      <c r="O598" s="9">
        <v>45809</v>
      </c>
      <c r="P598" t="s">
        <v>892</v>
      </c>
      <c r="Q598">
        <v>80000</v>
      </c>
      <c r="R598" t="s">
        <v>756</v>
      </c>
      <c r="S598" t="s">
        <v>739</v>
      </c>
      <c r="T598" t="s">
        <v>740</v>
      </c>
      <c r="U598" t="s">
        <v>323</v>
      </c>
      <c r="V598" t="s">
        <v>7</v>
      </c>
      <c r="W598" t="s">
        <v>8</v>
      </c>
      <c r="X598" t="s">
        <v>9</v>
      </c>
    </row>
    <row r="599" spans="1:24">
      <c r="A599" t="s">
        <v>1494</v>
      </c>
      <c r="B599" s="8">
        <v>45674</v>
      </c>
      <c r="C599" t="s">
        <v>164</v>
      </c>
      <c r="D599" t="s">
        <v>763</v>
      </c>
      <c r="E599">
        <v>1</v>
      </c>
      <c r="F599">
        <v>75000</v>
      </c>
      <c r="G599">
        <v>75000</v>
      </c>
      <c r="H599" t="s">
        <v>895</v>
      </c>
      <c r="I599">
        <v>11250</v>
      </c>
      <c r="J599">
        <v>20000</v>
      </c>
      <c r="K599">
        <v>83750</v>
      </c>
      <c r="L599" t="s">
        <v>889</v>
      </c>
      <c r="M599" t="s">
        <v>881</v>
      </c>
      <c r="N599" t="s">
        <v>875</v>
      </c>
      <c r="O599" s="9">
        <v>45658</v>
      </c>
      <c r="P599" t="s">
        <v>877</v>
      </c>
      <c r="Q599">
        <v>63750</v>
      </c>
      <c r="R599" t="s">
        <v>764</v>
      </c>
      <c r="S599" t="s">
        <v>731</v>
      </c>
      <c r="T599" t="s">
        <v>732</v>
      </c>
      <c r="U599" t="s">
        <v>165</v>
      </c>
      <c r="V599" t="s">
        <v>7</v>
      </c>
      <c r="W599" t="s">
        <v>51</v>
      </c>
      <c r="X599" t="s">
        <v>24</v>
      </c>
    </row>
    <row r="600" spans="1:24">
      <c r="A600" t="s">
        <v>1495</v>
      </c>
      <c r="B600" s="8">
        <v>45765</v>
      </c>
      <c r="C600" t="s">
        <v>548</v>
      </c>
      <c r="D600" t="s">
        <v>761</v>
      </c>
      <c r="E600">
        <v>4</v>
      </c>
      <c r="F600">
        <v>75000</v>
      </c>
      <c r="G600">
        <v>300000</v>
      </c>
      <c r="H600" t="s">
        <v>895</v>
      </c>
      <c r="I600">
        <v>45000</v>
      </c>
      <c r="J600">
        <v>25000</v>
      </c>
      <c r="K600">
        <v>280000</v>
      </c>
      <c r="L600" t="s">
        <v>889</v>
      </c>
      <c r="M600" t="s">
        <v>881</v>
      </c>
      <c r="N600" t="s">
        <v>875</v>
      </c>
      <c r="O600" s="9">
        <v>45748</v>
      </c>
      <c r="P600" t="s">
        <v>877</v>
      </c>
      <c r="Q600">
        <v>255000</v>
      </c>
      <c r="R600" t="s">
        <v>762</v>
      </c>
      <c r="S600" t="s">
        <v>727</v>
      </c>
      <c r="T600" t="s">
        <v>728</v>
      </c>
      <c r="U600" t="s">
        <v>549</v>
      </c>
      <c r="V600" t="s">
        <v>23</v>
      </c>
      <c r="W600" t="s">
        <v>12</v>
      </c>
      <c r="X600" t="s">
        <v>9</v>
      </c>
    </row>
    <row r="601" spans="1:24">
      <c r="A601" t="s">
        <v>1496</v>
      </c>
      <c r="B601" s="8">
        <v>45683</v>
      </c>
      <c r="C601" t="s">
        <v>452</v>
      </c>
      <c r="D601" t="s">
        <v>787</v>
      </c>
      <c r="E601">
        <v>1</v>
      </c>
      <c r="F601">
        <v>200000</v>
      </c>
      <c r="G601">
        <v>200000</v>
      </c>
      <c r="H601" t="s">
        <v>886</v>
      </c>
      <c r="I601">
        <v>20000</v>
      </c>
      <c r="J601">
        <v>15000</v>
      </c>
      <c r="K601">
        <v>195000</v>
      </c>
      <c r="L601" t="s">
        <v>873</v>
      </c>
      <c r="M601" t="s">
        <v>874</v>
      </c>
      <c r="N601" t="s">
        <v>875</v>
      </c>
      <c r="O601" s="9">
        <v>45658</v>
      </c>
      <c r="P601" t="s">
        <v>877</v>
      </c>
      <c r="Q601">
        <v>180000</v>
      </c>
      <c r="R601" t="s">
        <v>788</v>
      </c>
      <c r="S601" t="s">
        <v>731</v>
      </c>
      <c r="T601" t="s">
        <v>732</v>
      </c>
      <c r="U601" t="s">
        <v>453</v>
      </c>
      <c r="V601" t="s">
        <v>7</v>
      </c>
      <c r="W601" t="s">
        <v>36</v>
      </c>
      <c r="X601" t="s">
        <v>9</v>
      </c>
    </row>
    <row r="602" spans="1:24">
      <c r="A602" t="s">
        <v>1497</v>
      </c>
      <c r="B602" s="8">
        <v>45699</v>
      </c>
      <c r="C602" t="s">
        <v>568</v>
      </c>
      <c r="D602" t="s">
        <v>769</v>
      </c>
      <c r="E602">
        <v>2</v>
      </c>
      <c r="F602">
        <v>100000</v>
      </c>
      <c r="G602">
        <v>200000</v>
      </c>
      <c r="H602" t="s">
        <v>895</v>
      </c>
      <c r="I602">
        <v>30000</v>
      </c>
      <c r="J602">
        <v>10000</v>
      </c>
      <c r="K602">
        <v>180000</v>
      </c>
      <c r="L602" t="s">
        <v>880</v>
      </c>
      <c r="M602" t="s">
        <v>881</v>
      </c>
      <c r="N602" t="s">
        <v>890</v>
      </c>
      <c r="O602" s="9">
        <v>45689</v>
      </c>
      <c r="P602" t="s">
        <v>892</v>
      </c>
      <c r="Q602">
        <v>170000</v>
      </c>
      <c r="R602" t="s">
        <v>770</v>
      </c>
      <c r="S602" t="s">
        <v>743</v>
      </c>
      <c r="T602" t="s">
        <v>744</v>
      </c>
      <c r="U602" t="s">
        <v>569</v>
      </c>
      <c r="V602" t="s">
        <v>23</v>
      </c>
      <c r="W602" t="s">
        <v>137</v>
      </c>
      <c r="X602" t="s">
        <v>9</v>
      </c>
    </row>
    <row r="603" spans="1:24">
      <c r="A603" t="s">
        <v>1498</v>
      </c>
      <c r="B603" s="8">
        <v>45712</v>
      </c>
      <c r="C603" t="s">
        <v>326</v>
      </c>
      <c r="D603" t="s">
        <v>805</v>
      </c>
      <c r="E603">
        <v>2</v>
      </c>
      <c r="F603">
        <v>200000</v>
      </c>
      <c r="G603">
        <v>400000</v>
      </c>
      <c r="H603" t="s">
        <v>895</v>
      </c>
      <c r="I603">
        <v>60000</v>
      </c>
      <c r="J603">
        <v>30000</v>
      </c>
      <c r="K603">
        <v>370000</v>
      </c>
      <c r="L603" t="s">
        <v>873</v>
      </c>
      <c r="M603" t="s">
        <v>903</v>
      </c>
      <c r="N603" t="s">
        <v>890</v>
      </c>
      <c r="O603" s="9">
        <v>45689</v>
      </c>
      <c r="P603" t="s">
        <v>892</v>
      </c>
      <c r="Q603">
        <v>340000</v>
      </c>
      <c r="R603" t="s">
        <v>806</v>
      </c>
      <c r="S603" t="s">
        <v>743</v>
      </c>
      <c r="T603" t="s">
        <v>744</v>
      </c>
      <c r="U603" t="s">
        <v>327</v>
      </c>
      <c r="V603" t="s">
        <v>7</v>
      </c>
      <c r="W603" t="s">
        <v>8</v>
      </c>
      <c r="X603" t="s">
        <v>9</v>
      </c>
    </row>
    <row r="604" spans="1:24">
      <c r="A604" t="s">
        <v>1499</v>
      </c>
      <c r="B604" s="8">
        <v>45711</v>
      </c>
      <c r="C604" t="s">
        <v>654</v>
      </c>
      <c r="D604" t="s">
        <v>725</v>
      </c>
      <c r="E604">
        <v>1</v>
      </c>
      <c r="F604">
        <v>300000</v>
      </c>
      <c r="G604">
        <v>300000</v>
      </c>
      <c r="H604" t="s">
        <v>886</v>
      </c>
      <c r="I604">
        <v>30000</v>
      </c>
      <c r="J604">
        <v>30000</v>
      </c>
      <c r="K604">
        <v>300000</v>
      </c>
      <c r="L604" t="s">
        <v>889</v>
      </c>
      <c r="M604" t="s">
        <v>874</v>
      </c>
      <c r="N604" t="s">
        <v>875</v>
      </c>
      <c r="O604" s="9">
        <v>45689</v>
      </c>
      <c r="P604" t="s">
        <v>877</v>
      </c>
      <c r="Q604">
        <v>270000</v>
      </c>
      <c r="R604" t="s">
        <v>726</v>
      </c>
      <c r="S604" t="s">
        <v>727</v>
      </c>
      <c r="T604" t="s">
        <v>728</v>
      </c>
      <c r="U604" t="s">
        <v>655</v>
      </c>
      <c r="V604" t="s">
        <v>7</v>
      </c>
      <c r="W604" t="s">
        <v>36</v>
      </c>
      <c r="X604" t="s">
        <v>24</v>
      </c>
    </row>
    <row r="605" spans="1:24">
      <c r="A605" t="s">
        <v>1500</v>
      </c>
      <c r="B605" s="8">
        <v>45749</v>
      </c>
      <c r="C605" t="s">
        <v>286</v>
      </c>
      <c r="D605" t="s">
        <v>767</v>
      </c>
      <c r="E605">
        <v>2</v>
      </c>
      <c r="F605">
        <v>150000</v>
      </c>
      <c r="G605">
        <v>300000</v>
      </c>
      <c r="H605" t="s">
        <v>872</v>
      </c>
      <c r="I605">
        <v>0</v>
      </c>
      <c r="J605">
        <v>10000</v>
      </c>
      <c r="K605">
        <v>310000</v>
      </c>
      <c r="L605" t="s">
        <v>873</v>
      </c>
      <c r="M605" t="s">
        <v>881</v>
      </c>
      <c r="N605" t="s">
        <v>875</v>
      </c>
      <c r="O605" s="9">
        <v>45748</v>
      </c>
      <c r="P605" t="s">
        <v>877</v>
      </c>
      <c r="Q605">
        <v>300000</v>
      </c>
      <c r="R605" t="s">
        <v>768</v>
      </c>
      <c r="S605" t="s">
        <v>739</v>
      </c>
      <c r="T605" t="s">
        <v>740</v>
      </c>
      <c r="U605" t="s">
        <v>287</v>
      </c>
      <c r="V605" t="s">
        <v>7</v>
      </c>
      <c r="W605" t="s">
        <v>46</v>
      </c>
      <c r="X605" t="s">
        <v>24</v>
      </c>
    </row>
    <row r="606" spans="1:24">
      <c r="A606" t="s">
        <v>1501</v>
      </c>
      <c r="B606" s="8">
        <v>45683</v>
      </c>
      <c r="C606" t="s">
        <v>260</v>
      </c>
      <c r="D606" t="s">
        <v>825</v>
      </c>
      <c r="E606">
        <v>2</v>
      </c>
      <c r="F606">
        <v>100000</v>
      </c>
      <c r="G606">
        <v>200000</v>
      </c>
      <c r="H606" t="s">
        <v>872</v>
      </c>
      <c r="I606">
        <v>0</v>
      </c>
      <c r="J606">
        <v>15000</v>
      </c>
      <c r="K606">
        <v>215000</v>
      </c>
      <c r="L606" t="s">
        <v>880</v>
      </c>
      <c r="M606" t="s">
        <v>901</v>
      </c>
      <c r="N606" t="s">
        <v>875</v>
      </c>
      <c r="O606" s="9">
        <v>45658</v>
      </c>
      <c r="P606" t="s">
        <v>877</v>
      </c>
      <c r="Q606">
        <v>200000</v>
      </c>
      <c r="R606" t="s">
        <v>826</v>
      </c>
      <c r="S606" t="s">
        <v>735</v>
      </c>
      <c r="T606" t="s">
        <v>736</v>
      </c>
      <c r="U606" t="s">
        <v>261</v>
      </c>
      <c r="V606" t="s">
        <v>7</v>
      </c>
      <c r="W606" t="s">
        <v>51</v>
      </c>
      <c r="X606" t="s">
        <v>9</v>
      </c>
    </row>
    <row r="607" spans="1:24">
      <c r="A607" t="s">
        <v>1502</v>
      </c>
      <c r="B607" s="8">
        <v>45799</v>
      </c>
      <c r="C607" t="s">
        <v>234</v>
      </c>
      <c r="D607" t="s">
        <v>795</v>
      </c>
      <c r="E607">
        <v>1</v>
      </c>
      <c r="F607">
        <v>100000</v>
      </c>
      <c r="G607">
        <v>100000</v>
      </c>
      <c r="H607" t="s">
        <v>886</v>
      </c>
      <c r="I607">
        <v>10000</v>
      </c>
      <c r="J607">
        <v>15000</v>
      </c>
      <c r="K607">
        <v>105000</v>
      </c>
      <c r="L607" t="s">
        <v>884</v>
      </c>
      <c r="M607" t="s">
        <v>901</v>
      </c>
      <c r="N607" t="s">
        <v>911</v>
      </c>
      <c r="O607" s="9">
        <v>45778</v>
      </c>
      <c r="P607" t="s">
        <v>892</v>
      </c>
      <c r="Q607">
        <v>90000</v>
      </c>
      <c r="R607" t="s">
        <v>796</v>
      </c>
      <c r="S607" t="s">
        <v>747</v>
      </c>
      <c r="T607" t="s">
        <v>748</v>
      </c>
      <c r="U607" t="s">
        <v>235</v>
      </c>
      <c r="V607" t="s">
        <v>7</v>
      </c>
      <c r="W607" t="s">
        <v>29</v>
      </c>
      <c r="X607" t="s">
        <v>9</v>
      </c>
    </row>
    <row r="608" spans="1:24">
      <c r="A608" t="s">
        <v>1503</v>
      </c>
      <c r="B608" s="8">
        <v>45683</v>
      </c>
      <c r="C608" t="s">
        <v>316</v>
      </c>
      <c r="D608" t="s">
        <v>791</v>
      </c>
      <c r="E608">
        <v>2</v>
      </c>
      <c r="F608">
        <v>50000</v>
      </c>
      <c r="G608">
        <v>100000</v>
      </c>
      <c r="H608" t="s">
        <v>872</v>
      </c>
      <c r="I608">
        <v>0</v>
      </c>
      <c r="J608">
        <v>10000</v>
      </c>
      <c r="K608">
        <v>110000</v>
      </c>
      <c r="L608" t="s">
        <v>889</v>
      </c>
      <c r="M608" t="s">
        <v>881</v>
      </c>
      <c r="N608" t="s">
        <v>875</v>
      </c>
      <c r="O608" s="9">
        <v>45658</v>
      </c>
      <c r="P608" t="s">
        <v>877</v>
      </c>
      <c r="Q608">
        <v>100000</v>
      </c>
      <c r="R608" t="s">
        <v>792</v>
      </c>
      <c r="S608" t="s">
        <v>739</v>
      </c>
      <c r="T608" t="s">
        <v>740</v>
      </c>
      <c r="U608" t="s">
        <v>317</v>
      </c>
      <c r="V608" t="s">
        <v>23</v>
      </c>
      <c r="W608" t="s">
        <v>46</v>
      </c>
      <c r="X608" t="s">
        <v>9</v>
      </c>
    </row>
    <row r="609" spans="1:24">
      <c r="A609" t="s">
        <v>1504</v>
      </c>
      <c r="B609" s="8">
        <v>45705</v>
      </c>
      <c r="C609" t="s">
        <v>278</v>
      </c>
      <c r="D609" t="s">
        <v>775</v>
      </c>
      <c r="E609">
        <v>2</v>
      </c>
      <c r="F609">
        <v>75000</v>
      </c>
      <c r="G609">
        <v>150000</v>
      </c>
      <c r="H609" t="s">
        <v>895</v>
      </c>
      <c r="I609">
        <v>22500</v>
      </c>
      <c r="J609">
        <v>25000</v>
      </c>
      <c r="K609">
        <v>152500</v>
      </c>
      <c r="L609" t="s">
        <v>873</v>
      </c>
      <c r="M609" t="s">
        <v>874</v>
      </c>
      <c r="N609" t="s">
        <v>890</v>
      </c>
      <c r="O609" s="9">
        <v>45689</v>
      </c>
      <c r="P609" t="s">
        <v>892</v>
      </c>
      <c r="Q609">
        <v>127500</v>
      </c>
      <c r="R609" t="s">
        <v>776</v>
      </c>
      <c r="S609" t="s">
        <v>731</v>
      </c>
      <c r="T609" t="s">
        <v>732</v>
      </c>
      <c r="U609" t="s">
        <v>279</v>
      </c>
      <c r="V609" t="s">
        <v>23</v>
      </c>
      <c r="W609" t="s">
        <v>56</v>
      </c>
      <c r="X609" t="s">
        <v>15</v>
      </c>
    </row>
    <row r="610" spans="1:24">
      <c r="A610" t="s">
        <v>1505</v>
      </c>
      <c r="B610" s="8">
        <v>45735</v>
      </c>
      <c r="C610" t="s">
        <v>562</v>
      </c>
      <c r="D610" t="s">
        <v>773</v>
      </c>
      <c r="E610">
        <v>1</v>
      </c>
      <c r="F610">
        <v>500000</v>
      </c>
      <c r="G610">
        <v>500000</v>
      </c>
      <c r="H610" t="s">
        <v>883</v>
      </c>
      <c r="I610">
        <v>50000</v>
      </c>
      <c r="J610">
        <v>15000</v>
      </c>
      <c r="K610">
        <v>465000</v>
      </c>
      <c r="L610" t="s">
        <v>884</v>
      </c>
      <c r="M610" t="s">
        <v>901</v>
      </c>
      <c r="N610" t="s">
        <v>911</v>
      </c>
      <c r="O610" s="9">
        <v>45717</v>
      </c>
      <c r="P610" t="s">
        <v>892</v>
      </c>
      <c r="Q610">
        <v>450000</v>
      </c>
      <c r="R610" t="s">
        <v>774</v>
      </c>
      <c r="S610" t="s">
        <v>727</v>
      </c>
      <c r="T610" t="s">
        <v>728</v>
      </c>
      <c r="U610" t="s">
        <v>563</v>
      </c>
      <c r="V610" t="s">
        <v>7</v>
      </c>
      <c r="W610" t="s">
        <v>56</v>
      </c>
      <c r="X610" t="s">
        <v>9</v>
      </c>
    </row>
    <row r="611" spans="1:24">
      <c r="A611" t="s">
        <v>1506</v>
      </c>
      <c r="B611" s="8">
        <v>45669</v>
      </c>
      <c r="C611" t="s">
        <v>378</v>
      </c>
      <c r="D611" t="s">
        <v>853</v>
      </c>
      <c r="E611">
        <v>3</v>
      </c>
      <c r="F611">
        <v>75000</v>
      </c>
      <c r="G611">
        <v>225000</v>
      </c>
      <c r="H611" t="s">
        <v>886</v>
      </c>
      <c r="I611">
        <v>22500</v>
      </c>
      <c r="J611">
        <v>20000</v>
      </c>
      <c r="K611">
        <v>222500</v>
      </c>
      <c r="L611" t="s">
        <v>884</v>
      </c>
      <c r="M611" t="s">
        <v>881</v>
      </c>
      <c r="N611" t="s">
        <v>875</v>
      </c>
      <c r="O611" s="9">
        <v>45658</v>
      </c>
      <c r="P611" t="s">
        <v>877</v>
      </c>
      <c r="Q611">
        <v>202500</v>
      </c>
      <c r="R611" t="s">
        <v>854</v>
      </c>
      <c r="S611" t="s">
        <v>743</v>
      </c>
      <c r="T611" t="s">
        <v>744</v>
      </c>
      <c r="U611" t="s">
        <v>379</v>
      </c>
      <c r="V611" t="s">
        <v>23</v>
      </c>
      <c r="W611" t="s">
        <v>137</v>
      </c>
      <c r="X611" t="s">
        <v>9</v>
      </c>
    </row>
    <row r="612" spans="1:24">
      <c r="A612" t="s">
        <v>1507</v>
      </c>
      <c r="B612" s="8">
        <v>45663</v>
      </c>
      <c r="C612" t="s">
        <v>186</v>
      </c>
      <c r="D612" t="s">
        <v>789</v>
      </c>
      <c r="E612">
        <v>2</v>
      </c>
      <c r="F612">
        <v>200000</v>
      </c>
      <c r="G612">
        <v>400000</v>
      </c>
      <c r="H612" t="s">
        <v>895</v>
      </c>
      <c r="I612">
        <v>60000</v>
      </c>
      <c r="J612">
        <v>20000</v>
      </c>
      <c r="K612">
        <v>360000</v>
      </c>
      <c r="L612" t="s">
        <v>873</v>
      </c>
      <c r="M612" t="s">
        <v>881</v>
      </c>
      <c r="N612" t="s">
        <v>875</v>
      </c>
      <c r="O612" s="9">
        <v>45658</v>
      </c>
      <c r="P612" t="s">
        <v>877</v>
      </c>
      <c r="Q612">
        <v>340000</v>
      </c>
      <c r="R612" t="s">
        <v>790</v>
      </c>
      <c r="S612" t="s">
        <v>735</v>
      </c>
      <c r="T612" t="s">
        <v>736</v>
      </c>
      <c r="U612" t="s">
        <v>187</v>
      </c>
      <c r="V612" t="s">
        <v>23</v>
      </c>
      <c r="W612" t="s">
        <v>51</v>
      </c>
      <c r="X612" t="s">
        <v>9</v>
      </c>
    </row>
    <row r="613" spans="1:24">
      <c r="A613" t="s">
        <v>1508</v>
      </c>
      <c r="B613" s="8">
        <v>45779</v>
      </c>
      <c r="C613" t="s">
        <v>156</v>
      </c>
      <c r="D613" t="s">
        <v>781</v>
      </c>
      <c r="E613">
        <v>2</v>
      </c>
      <c r="F613">
        <v>50000</v>
      </c>
      <c r="G613">
        <v>100000</v>
      </c>
      <c r="H613" t="s">
        <v>872</v>
      </c>
      <c r="I613">
        <v>0</v>
      </c>
      <c r="J613">
        <v>15000</v>
      </c>
      <c r="K613">
        <v>115000</v>
      </c>
      <c r="L613" t="s">
        <v>873</v>
      </c>
      <c r="M613" t="s">
        <v>901</v>
      </c>
      <c r="N613" t="s">
        <v>875</v>
      </c>
      <c r="O613" s="9">
        <v>45778</v>
      </c>
      <c r="P613" t="s">
        <v>877</v>
      </c>
      <c r="Q613">
        <v>100000</v>
      </c>
      <c r="R613" t="s">
        <v>782</v>
      </c>
      <c r="S613" t="s">
        <v>743</v>
      </c>
      <c r="T613" t="s">
        <v>744</v>
      </c>
      <c r="U613" t="s">
        <v>157</v>
      </c>
      <c r="V613" t="s">
        <v>23</v>
      </c>
      <c r="W613" t="s">
        <v>137</v>
      </c>
      <c r="X613" t="s">
        <v>15</v>
      </c>
    </row>
    <row r="614" spans="1:24">
      <c r="A614" t="s">
        <v>1509</v>
      </c>
      <c r="B614" s="8">
        <v>45806</v>
      </c>
      <c r="C614" t="s">
        <v>674</v>
      </c>
      <c r="D614" t="s">
        <v>777</v>
      </c>
      <c r="E614">
        <v>1</v>
      </c>
      <c r="F614">
        <v>200000</v>
      </c>
      <c r="G614">
        <v>200000</v>
      </c>
      <c r="H614" t="s">
        <v>895</v>
      </c>
      <c r="I614">
        <v>30000</v>
      </c>
      <c r="J614">
        <v>15000</v>
      </c>
      <c r="K614">
        <v>185000</v>
      </c>
      <c r="L614" t="s">
        <v>880</v>
      </c>
      <c r="M614" t="s">
        <v>874</v>
      </c>
      <c r="N614" t="s">
        <v>875</v>
      </c>
      <c r="O614" s="9">
        <v>45778</v>
      </c>
      <c r="P614" t="s">
        <v>877</v>
      </c>
      <c r="Q614">
        <v>170000</v>
      </c>
      <c r="R614" t="s">
        <v>778</v>
      </c>
      <c r="S614" t="s">
        <v>735</v>
      </c>
      <c r="T614" t="s">
        <v>736</v>
      </c>
      <c r="U614" t="s">
        <v>675</v>
      </c>
      <c r="V614" t="s">
        <v>7</v>
      </c>
      <c r="W614" t="s">
        <v>39</v>
      </c>
      <c r="X614" t="s">
        <v>15</v>
      </c>
    </row>
    <row r="615" spans="1:24">
      <c r="A615" t="s">
        <v>1510</v>
      </c>
      <c r="B615" s="8">
        <v>45797</v>
      </c>
      <c r="C615" t="s">
        <v>606</v>
      </c>
      <c r="D615" t="s">
        <v>823</v>
      </c>
      <c r="E615">
        <v>4</v>
      </c>
      <c r="F615">
        <v>500000</v>
      </c>
      <c r="G615">
        <v>2000000</v>
      </c>
      <c r="H615" t="s">
        <v>872</v>
      </c>
      <c r="I615">
        <v>0</v>
      </c>
      <c r="J615">
        <v>20000</v>
      </c>
      <c r="K615">
        <v>2020000</v>
      </c>
      <c r="L615" t="s">
        <v>889</v>
      </c>
      <c r="M615" t="s">
        <v>903</v>
      </c>
      <c r="N615" t="s">
        <v>875</v>
      </c>
      <c r="O615" s="9">
        <v>45778</v>
      </c>
      <c r="P615" t="s">
        <v>877</v>
      </c>
      <c r="Q615">
        <v>2000000</v>
      </c>
      <c r="R615" t="s">
        <v>824</v>
      </c>
      <c r="S615" t="s">
        <v>731</v>
      </c>
      <c r="T615" t="s">
        <v>732</v>
      </c>
      <c r="U615" t="s">
        <v>607</v>
      </c>
      <c r="V615" t="s">
        <v>23</v>
      </c>
      <c r="W615" t="s">
        <v>46</v>
      </c>
      <c r="X615" t="s">
        <v>24</v>
      </c>
    </row>
    <row r="616" spans="1:24">
      <c r="A616" t="s">
        <v>1511</v>
      </c>
      <c r="B616" s="8">
        <v>45772</v>
      </c>
      <c r="C616" t="s">
        <v>532</v>
      </c>
      <c r="D616" t="s">
        <v>759</v>
      </c>
      <c r="E616">
        <v>4</v>
      </c>
      <c r="F616">
        <v>300000</v>
      </c>
      <c r="G616">
        <v>1200000</v>
      </c>
      <c r="H616" t="s">
        <v>895</v>
      </c>
      <c r="I616">
        <v>180000</v>
      </c>
      <c r="J616">
        <v>10000</v>
      </c>
      <c r="K616">
        <v>1030000</v>
      </c>
      <c r="L616" t="s">
        <v>889</v>
      </c>
      <c r="M616" t="s">
        <v>903</v>
      </c>
      <c r="N616" t="s">
        <v>875</v>
      </c>
      <c r="O616" s="9">
        <v>45748</v>
      </c>
      <c r="P616" t="s">
        <v>877</v>
      </c>
      <c r="Q616">
        <v>1020000</v>
      </c>
      <c r="R616" t="s">
        <v>760</v>
      </c>
      <c r="S616" t="s">
        <v>747</v>
      </c>
      <c r="T616" t="s">
        <v>748</v>
      </c>
      <c r="U616" t="s">
        <v>533</v>
      </c>
      <c r="V616" t="s">
        <v>7</v>
      </c>
      <c r="W616" t="s">
        <v>12</v>
      </c>
      <c r="X616" t="s">
        <v>24</v>
      </c>
    </row>
    <row r="617" spans="1:24">
      <c r="A617" t="s">
        <v>1512</v>
      </c>
      <c r="B617" s="8">
        <v>45789</v>
      </c>
      <c r="C617" t="s">
        <v>694</v>
      </c>
      <c r="D617" t="s">
        <v>741</v>
      </c>
      <c r="E617">
        <v>1</v>
      </c>
      <c r="F617">
        <v>75000</v>
      </c>
      <c r="G617">
        <v>75000</v>
      </c>
      <c r="H617" t="s">
        <v>872</v>
      </c>
      <c r="I617">
        <v>0</v>
      </c>
      <c r="J617">
        <v>30000</v>
      </c>
      <c r="K617">
        <v>105000</v>
      </c>
      <c r="L617" t="s">
        <v>873</v>
      </c>
      <c r="M617" t="s">
        <v>903</v>
      </c>
      <c r="N617" t="s">
        <v>911</v>
      </c>
      <c r="O617" s="9">
        <v>45778</v>
      </c>
      <c r="P617" t="s">
        <v>892</v>
      </c>
      <c r="Q617">
        <v>75000</v>
      </c>
      <c r="R617" t="s">
        <v>742</v>
      </c>
      <c r="S617" t="s">
        <v>743</v>
      </c>
      <c r="T617" t="s">
        <v>744</v>
      </c>
      <c r="U617" t="s">
        <v>695</v>
      </c>
      <c r="V617" t="s">
        <v>23</v>
      </c>
      <c r="W617" t="s">
        <v>8</v>
      </c>
      <c r="X617" t="s">
        <v>9</v>
      </c>
    </row>
    <row r="618" spans="1:24">
      <c r="A618" t="s">
        <v>1513</v>
      </c>
      <c r="B618" s="8">
        <v>45708</v>
      </c>
      <c r="C618" t="s">
        <v>552</v>
      </c>
      <c r="D618" t="s">
        <v>849</v>
      </c>
      <c r="E618">
        <v>4</v>
      </c>
      <c r="F618">
        <v>500000</v>
      </c>
      <c r="G618">
        <v>2000000</v>
      </c>
      <c r="H618" t="s">
        <v>872</v>
      </c>
      <c r="I618">
        <v>0</v>
      </c>
      <c r="J618">
        <v>30000</v>
      </c>
      <c r="K618">
        <v>2030000</v>
      </c>
      <c r="L618" t="s">
        <v>884</v>
      </c>
      <c r="M618" t="s">
        <v>903</v>
      </c>
      <c r="N618" t="s">
        <v>875</v>
      </c>
      <c r="O618" s="9">
        <v>45689</v>
      </c>
      <c r="P618" t="s">
        <v>877</v>
      </c>
      <c r="Q618">
        <v>2000000</v>
      </c>
      <c r="R618" t="s">
        <v>850</v>
      </c>
      <c r="S618" t="s">
        <v>735</v>
      </c>
      <c r="T618" t="s">
        <v>736</v>
      </c>
      <c r="U618" t="s">
        <v>553</v>
      </c>
      <c r="V618" t="s">
        <v>7</v>
      </c>
      <c r="W618" t="s">
        <v>46</v>
      </c>
      <c r="X618" t="s">
        <v>24</v>
      </c>
    </row>
    <row r="619" spans="1:24">
      <c r="A619" t="s">
        <v>1514</v>
      </c>
      <c r="B619" s="8">
        <v>45667</v>
      </c>
      <c r="C619" t="s">
        <v>442</v>
      </c>
      <c r="D619" t="s">
        <v>831</v>
      </c>
      <c r="E619">
        <v>2</v>
      </c>
      <c r="F619">
        <v>300000</v>
      </c>
      <c r="G619">
        <v>600000</v>
      </c>
      <c r="H619" t="s">
        <v>883</v>
      </c>
      <c r="I619">
        <v>60000</v>
      </c>
      <c r="J619">
        <v>15000</v>
      </c>
      <c r="K619">
        <v>555000</v>
      </c>
      <c r="L619" t="s">
        <v>884</v>
      </c>
      <c r="M619" t="s">
        <v>903</v>
      </c>
      <c r="N619" t="s">
        <v>875</v>
      </c>
      <c r="O619" s="9">
        <v>45658</v>
      </c>
      <c r="P619" t="s">
        <v>877</v>
      </c>
      <c r="Q619">
        <v>540000</v>
      </c>
      <c r="R619" t="s">
        <v>832</v>
      </c>
      <c r="S619" t="s">
        <v>747</v>
      </c>
      <c r="T619" t="s">
        <v>748</v>
      </c>
      <c r="U619" t="s">
        <v>443</v>
      </c>
      <c r="V619" t="s">
        <v>23</v>
      </c>
      <c r="W619" t="s">
        <v>137</v>
      </c>
      <c r="X619" t="s">
        <v>24</v>
      </c>
    </row>
    <row r="620" spans="1:24">
      <c r="A620" t="s">
        <v>1515</v>
      </c>
      <c r="B620" s="8">
        <v>45743</v>
      </c>
      <c r="C620" t="s">
        <v>316</v>
      </c>
      <c r="D620" t="s">
        <v>823</v>
      </c>
      <c r="E620">
        <v>1</v>
      </c>
      <c r="F620">
        <v>500000</v>
      </c>
      <c r="G620">
        <v>500000</v>
      </c>
      <c r="H620" t="s">
        <v>886</v>
      </c>
      <c r="I620">
        <v>50000</v>
      </c>
      <c r="J620">
        <v>10000</v>
      </c>
      <c r="K620">
        <v>460000</v>
      </c>
      <c r="L620" t="s">
        <v>880</v>
      </c>
      <c r="M620" t="s">
        <v>881</v>
      </c>
      <c r="N620" t="s">
        <v>875</v>
      </c>
      <c r="O620" s="9">
        <v>45717</v>
      </c>
      <c r="P620" t="s">
        <v>877</v>
      </c>
      <c r="Q620">
        <v>450000</v>
      </c>
      <c r="R620" t="s">
        <v>824</v>
      </c>
      <c r="S620" t="s">
        <v>731</v>
      </c>
      <c r="T620" t="s">
        <v>732</v>
      </c>
      <c r="U620" t="s">
        <v>317</v>
      </c>
      <c r="V620" t="s">
        <v>23</v>
      </c>
      <c r="W620" t="s">
        <v>46</v>
      </c>
      <c r="X620" t="s">
        <v>9</v>
      </c>
    </row>
    <row r="621" spans="1:24">
      <c r="A621" t="s">
        <v>1516</v>
      </c>
      <c r="B621" s="8">
        <v>45811</v>
      </c>
      <c r="C621" t="s">
        <v>606</v>
      </c>
      <c r="D621" t="s">
        <v>843</v>
      </c>
      <c r="E621">
        <v>2</v>
      </c>
      <c r="F621">
        <v>100000</v>
      </c>
      <c r="G621">
        <v>200000</v>
      </c>
      <c r="H621" t="s">
        <v>872</v>
      </c>
      <c r="I621">
        <v>0</v>
      </c>
      <c r="J621">
        <v>10000</v>
      </c>
      <c r="K621">
        <v>210000</v>
      </c>
      <c r="L621" t="s">
        <v>884</v>
      </c>
      <c r="M621" t="s">
        <v>881</v>
      </c>
      <c r="N621" t="s">
        <v>875</v>
      </c>
      <c r="O621" s="9">
        <v>45809</v>
      </c>
      <c r="P621" t="s">
        <v>877</v>
      </c>
      <c r="Q621">
        <v>200000</v>
      </c>
      <c r="R621" t="s">
        <v>844</v>
      </c>
      <c r="S621" t="s">
        <v>747</v>
      </c>
      <c r="T621" t="s">
        <v>748</v>
      </c>
      <c r="U621" t="s">
        <v>607</v>
      </c>
      <c r="V621" t="s">
        <v>23</v>
      </c>
      <c r="W621" t="s">
        <v>46</v>
      </c>
      <c r="X621" t="s">
        <v>24</v>
      </c>
    </row>
    <row r="622" spans="1:24">
      <c r="A622" t="s">
        <v>1517</v>
      </c>
      <c r="B622" s="8">
        <v>45708</v>
      </c>
      <c r="C622" t="s">
        <v>502</v>
      </c>
      <c r="D622" t="s">
        <v>811</v>
      </c>
      <c r="E622">
        <v>1</v>
      </c>
      <c r="F622">
        <v>35000</v>
      </c>
      <c r="G622">
        <v>35000</v>
      </c>
      <c r="H622" t="s">
        <v>872</v>
      </c>
      <c r="I622">
        <v>0</v>
      </c>
      <c r="J622">
        <v>10000</v>
      </c>
      <c r="K622">
        <v>45000</v>
      </c>
      <c r="L622" t="s">
        <v>880</v>
      </c>
      <c r="M622" t="s">
        <v>874</v>
      </c>
      <c r="N622" t="s">
        <v>875</v>
      </c>
      <c r="O622" s="9">
        <v>45689</v>
      </c>
      <c r="P622" t="s">
        <v>877</v>
      </c>
      <c r="Q622">
        <v>35000</v>
      </c>
      <c r="R622" t="s">
        <v>812</v>
      </c>
      <c r="S622" t="s">
        <v>731</v>
      </c>
      <c r="T622" t="s">
        <v>732</v>
      </c>
      <c r="U622" t="s">
        <v>503</v>
      </c>
      <c r="V622" t="s">
        <v>7</v>
      </c>
      <c r="W622" t="s">
        <v>56</v>
      </c>
      <c r="X622" t="s">
        <v>24</v>
      </c>
    </row>
    <row r="623" spans="1:24">
      <c r="A623" t="s">
        <v>1518</v>
      </c>
      <c r="B623" s="8">
        <v>45783</v>
      </c>
      <c r="C623" t="s">
        <v>95</v>
      </c>
      <c r="D623" t="s">
        <v>783</v>
      </c>
      <c r="E623">
        <v>1</v>
      </c>
      <c r="F623">
        <v>500000</v>
      </c>
      <c r="G623">
        <v>500000</v>
      </c>
      <c r="H623" t="s">
        <v>886</v>
      </c>
      <c r="I623">
        <v>50000</v>
      </c>
      <c r="J623">
        <v>25000</v>
      </c>
      <c r="K623">
        <v>475000</v>
      </c>
      <c r="L623" t="s">
        <v>889</v>
      </c>
      <c r="M623" t="s">
        <v>901</v>
      </c>
      <c r="N623" t="s">
        <v>875</v>
      </c>
      <c r="O623" s="9">
        <v>45778</v>
      </c>
      <c r="P623" t="s">
        <v>877</v>
      </c>
      <c r="Q623">
        <v>450000</v>
      </c>
      <c r="R623" t="s">
        <v>784</v>
      </c>
      <c r="S623" t="s">
        <v>747</v>
      </c>
      <c r="T623" t="s">
        <v>748</v>
      </c>
      <c r="U623" t="s">
        <v>96</v>
      </c>
      <c r="V623" t="s">
        <v>23</v>
      </c>
      <c r="W623" t="s">
        <v>8</v>
      </c>
      <c r="X623" t="s">
        <v>24</v>
      </c>
    </row>
    <row r="624" spans="1:24">
      <c r="A624" t="s">
        <v>1519</v>
      </c>
      <c r="B624" s="8">
        <v>45705</v>
      </c>
      <c r="C624" t="s">
        <v>614</v>
      </c>
      <c r="D624" t="s">
        <v>789</v>
      </c>
      <c r="E624">
        <v>1</v>
      </c>
      <c r="F624">
        <v>200000</v>
      </c>
      <c r="G624">
        <v>200000</v>
      </c>
      <c r="H624" t="s">
        <v>879</v>
      </c>
      <c r="I624">
        <v>40000</v>
      </c>
      <c r="J624">
        <v>10000</v>
      </c>
      <c r="K624">
        <v>170000</v>
      </c>
      <c r="L624" t="s">
        <v>873</v>
      </c>
      <c r="M624" t="s">
        <v>874</v>
      </c>
      <c r="N624" t="s">
        <v>875</v>
      </c>
      <c r="O624" s="9">
        <v>45689</v>
      </c>
      <c r="P624" t="s">
        <v>877</v>
      </c>
      <c r="Q624">
        <v>160000</v>
      </c>
      <c r="R624" t="s">
        <v>790</v>
      </c>
      <c r="S624" t="s">
        <v>735</v>
      </c>
      <c r="T624" t="s">
        <v>736</v>
      </c>
      <c r="U624" t="s">
        <v>615</v>
      </c>
      <c r="V624" t="s">
        <v>23</v>
      </c>
      <c r="W624" t="s">
        <v>51</v>
      </c>
      <c r="X624" t="s">
        <v>9</v>
      </c>
    </row>
    <row r="625" spans="1:24">
      <c r="A625" t="s">
        <v>1520</v>
      </c>
      <c r="B625" s="8">
        <v>45732</v>
      </c>
      <c r="C625" t="s">
        <v>576</v>
      </c>
      <c r="D625" t="s">
        <v>803</v>
      </c>
      <c r="E625">
        <v>1</v>
      </c>
      <c r="F625">
        <v>50000</v>
      </c>
      <c r="G625">
        <v>50000</v>
      </c>
      <c r="H625" t="s">
        <v>895</v>
      </c>
      <c r="I625">
        <v>7500</v>
      </c>
      <c r="J625">
        <v>10000</v>
      </c>
      <c r="K625">
        <v>52500</v>
      </c>
      <c r="L625" t="s">
        <v>880</v>
      </c>
      <c r="M625" t="s">
        <v>901</v>
      </c>
      <c r="N625" t="s">
        <v>875</v>
      </c>
      <c r="O625" s="9">
        <v>45717</v>
      </c>
      <c r="P625" t="s">
        <v>877</v>
      </c>
      <c r="Q625">
        <v>42500</v>
      </c>
      <c r="R625" t="s">
        <v>804</v>
      </c>
      <c r="S625" t="s">
        <v>739</v>
      </c>
      <c r="T625" t="s">
        <v>740</v>
      </c>
      <c r="U625" t="s">
        <v>577</v>
      </c>
      <c r="V625" t="s">
        <v>23</v>
      </c>
      <c r="W625" t="s">
        <v>8</v>
      </c>
      <c r="X625" t="s">
        <v>9</v>
      </c>
    </row>
    <row r="626" spans="1:24">
      <c r="A626" t="s">
        <v>1521</v>
      </c>
      <c r="B626" s="8">
        <v>45659</v>
      </c>
      <c r="C626" t="s">
        <v>52</v>
      </c>
      <c r="D626" t="s">
        <v>829</v>
      </c>
      <c r="E626">
        <v>1</v>
      </c>
      <c r="F626">
        <v>500000</v>
      </c>
      <c r="G626">
        <v>500000</v>
      </c>
      <c r="H626" t="s">
        <v>886</v>
      </c>
      <c r="I626">
        <v>50000</v>
      </c>
      <c r="J626">
        <v>15000</v>
      </c>
      <c r="K626">
        <v>465000</v>
      </c>
      <c r="L626" t="s">
        <v>873</v>
      </c>
      <c r="M626" t="s">
        <v>881</v>
      </c>
      <c r="N626" t="s">
        <v>875</v>
      </c>
      <c r="O626" s="9">
        <v>45658</v>
      </c>
      <c r="P626" t="s">
        <v>877</v>
      </c>
      <c r="Q626">
        <v>450000</v>
      </c>
      <c r="R626" t="s">
        <v>830</v>
      </c>
      <c r="S626" t="s">
        <v>743</v>
      </c>
      <c r="T626" t="s">
        <v>744</v>
      </c>
      <c r="U626" t="s">
        <v>53</v>
      </c>
      <c r="V626" t="s">
        <v>23</v>
      </c>
      <c r="W626" t="s">
        <v>51</v>
      </c>
      <c r="X626" t="s">
        <v>24</v>
      </c>
    </row>
    <row r="627" spans="1:24">
      <c r="A627" t="s">
        <v>1522</v>
      </c>
      <c r="B627" s="8">
        <v>45767</v>
      </c>
      <c r="C627" t="s">
        <v>526</v>
      </c>
      <c r="D627" t="s">
        <v>783</v>
      </c>
      <c r="E627">
        <v>2</v>
      </c>
      <c r="F627">
        <v>500000</v>
      </c>
      <c r="G627">
        <v>1000000</v>
      </c>
      <c r="H627" t="s">
        <v>895</v>
      </c>
      <c r="I627">
        <v>150000</v>
      </c>
      <c r="J627">
        <v>20000</v>
      </c>
      <c r="K627">
        <v>870000</v>
      </c>
      <c r="L627" t="s">
        <v>889</v>
      </c>
      <c r="M627" t="s">
        <v>881</v>
      </c>
      <c r="N627" t="s">
        <v>911</v>
      </c>
      <c r="O627" s="9">
        <v>45748</v>
      </c>
      <c r="P627" t="s">
        <v>892</v>
      </c>
      <c r="Q627">
        <v>850000</v>
      </c>
      <c r="R627" t="s">
        <v>784</v>
      </c>
      <c r="S627" t="s">
        <v>747</v>
      </c>
      <c r="T627" t="s">
        <v>748</v>
      </c>
      <c r="U627" t="s">
        <v>527</v>
      </c>
      <c r="V627" t="s">
        <v>7</v>
      </c>
      <c r="W627" t="s">
        <v>36</v>
      </c>
      <c r="X627" t="s">
        <v>9</v>
      </c>
    </row>
    <row r="628" spans="1:24">
      <c r="A628" t="s">
        <v>1523</v>
      </c>
      <c r="B628" s="8">
        <v>45821</v>
      </c>
      <c r="C628" t="s">
        <v>340</v>
      </c>
      <c r="D628" t="s">
        <v>829</v>
      </c>
      <c r="E628">
        <v>2</v>
      </c>
      <c r="F628">
        <v>500000</v>
      </c>
      <c r="G628">
        <v>1000000</v>
      </c>
      <c r="H628" t="s">
        <v>895</v>
      </c>
      <c r="I628">
        <v>150000</v>
      </c>
      <c r="J628">
        <v>20000</v>
      </c>
      <c r="K628">
        <v>870000</v>
      </c>
      <c r="L628" t="s">
        <v>884</v>
      </c>
      <c r="M628" t="s">
        <v>881</v>
      </c>
      <c r="N628" t="s">
        <v>890</v>
      </c>
      <c r="O628" s="9">
        <v>45809</v>
      </c>
      <c r="P628" t="s">
        <v>892</v>
      </c>
      <c r="Q628">
        <v>850000</v>
      </c>
      <c r="R628" t="s">
        <v>830</v>
      </c>
      <c r="S628" t="s">
        <v>743</v>
      </c>
      <c r="T628" t="s">
        <v>744</v>
      </c>
      <c r="U628" t="s">
        <v>341</v>
      </c>
      <c r="V628" t="s">
        <v>7</v>
      </c>
      <c r="W628" t="s">
        <v>46</v>
      </c>
      <c r="X628" t="s">
        <v>24</v>
      </c>
    </row>
    <row r="629" spans="1:24">
      <c r="A629" t="s">
        <v>1524</v>
      </c>
      <c r="B629" s="8">
        <v>45680</v>
      </c>
      <c r="C629" t="s">
        <v>520</v>
      </c>
      <c r="D629" t="s">
        <v>843</v>
      </c>
      <c r="E629">
        <v>1</v>
      </c>
      <c r="F629">
        <v>100000</v>
      </c>
      <c r="G629">
        <v>100000</v>
      </c>
      <c r="H629" t="s">
        <v>886</v>
      </c>
      <c r="I629">
        <v>10000</v>
      </c>
      <c r="J629">
        <v>10000</v>
      </c>
      <c r="K629">
        <v>100000</v>
      </c>
      <c r="L629" t="s">
        <v>884</v>
      </c>
      <c r="M629" t="s">
        <v>901</v>
      </c>
      <c r="N629" t="s">
        <v>875</v>
      </c>
      <c r="O629" s="9">
        <v>45658</v>
      </c>
      <c r="P629" t="s">
        <v>877</v>
      </c>
      <c r="Q629">
        <v>90000</v>
      </c>
      <c r="R629" t="s">
        <v>844</v>
      </c>
      <c r="S629" t="s">
        <v>747</v>
      </c>
      <c r="T629" t="s">
        <v>748</v>
      </c>
      <c r="U629" t="s">
        <v>521</v>
      </c>
      <c r="V629" t="s">
        <v>23</v>
      </c>
      <c r="W629" t="s">
        <v>29</v>
      </c>
      <c r="X629" t="s">
        <v>9</v>
      </c>
    </row>
    <row r="630" spans="1:24">
      <c r="A630" t="s">
        <v>1525</v>
      </c>
      <c r="B630" s="8">
        <v>45769</v>
      </c>
      <c r="C630" t="s">
        <v>18</v>
      </c>
      <c r="D630" t="s">
        <v>787</v>
      </c>
      <c r="E630">
        <v>3</v>
      </c>
      <c r="F630">
        <v>200000</v>
      </c>
      <c r="G630">
        <v>600000</v>
      </c>
      <c r="H630" t="s">
        <v>883</v>
      </c>
      <c r="I630">
        <v>60000</v>
      </c>
      <c r="J630">
        <v>20000</v>
      </c>
      <c r="K630">
        <v>560000</v>
      </c>
      <c r="L630" t="s">
        <v>884</v>
      </c>
      <c r="M630" t="s">
        <v>881</v>
      </c>
      <c r="N630" t="s">
        <v>875</v>
      </c>
      <c r="O630" s="9">
        <v>45748</v>
      </c>
      <c r="P630" t="s">
        <v>877</v>
      </c>
      <c r="Q630">
        <v>540000</v>
      </c>
      <c r="R630" t="s">
        <v>788</v>
      </c>
      <c r="S630" t="s">
        <v>731</v>
      </c>
      <c r="T630" t="s">
        <v>732</v>
      </c>
      <c r="U630" t="s">
        <v>19</v>
      </c>
      <c r="V630" t="s">
        <v>7</v>
      </c>
      <c r="W630" t="s">
        <v>20</v>
      </c>
      <c r="X630" t="s">
        <v>9</v>
      </c>
    </row>
    <row r="631" spans="1:24">
      <c r="A631" t="s">
        <v>1526</v>
      </c>
      <c r="B631" s="8">
        <v>45733</v>
      </c>
      <c r="C631" t="s">
        <v>234</v>
      </c>
      <c r="D631" t="s">
        <v>791</v>
      </c>
      <c r="E631">
        <v>1</v>
      </c>
      <c r="F631">
        <v>50000</v>
      </c>
      <c r="G631">
        <v>50000</v>
      </c>
      <c r="H631" t="s">
        <v>872</v>
      </c>
      <c r="I631">
        <v>0</v>
      </c>
      <c r="J631">
        <v>15000</v>
      </c>
      <c r="K631">
        <v>65000</v>
      </c>
      <c r="L631" t="s">
        <v>873</v>
      </c>
      <c r="M631" t="s">
        <v>903</v>
      </c>
      <c r="N631" t="s">
        <v>875</v>
      </c>
      <c r="O631" s="9">
        <v>45717</v>
      </c>
      <c r="P631" t="s">
        <v>877</v>
      </c>
      <c r="Q631">
        <v>50000</v>
      </c>
      <c r="R631" t="s">
        <v>792</v>
      </c>
      <c r="S631" t="s">
        <v>739</v>
      </c>
      <c r="T631" t="s">
        <v>740</v>
      </c>
      <c r="U631" t="s">
        <v>235</v>
      </c>
      <c r="V631" t="s">
        <v>7</v>
      </c>
      <c r="W631" t="s">
        <v>29</v>
      </c>
      <c r="X631" t="s">
        <v>9</v>
      </c>
    </row>
    <row r="632" spans="1:24">
      <c r="A632" t="s">
        <v>1527</v>
      </c>
      <c r="B632" s="8">
        <v>45745</v>
      </c>
      <c r="C632" t="s">
        <v>426</v>
      </c>
      <c r="D632" t="s">
        <v>767</v>
      </c>
      <c r="E632">
        <v>4</v>
      </c>
      <c r="F632">
        <v>150000</v>
      </c>
      <c r="G632">
        <v>600000</v>
      </c>
      <c r="H632" t="s">
        <v>872</v>
      </c>
      <c r="I632">
        <v>0</v>
      </c>
      <c r="J632">
        <v>30000</v>
      </c>
      <c r="K632">
        <v>630000</v>
      </c>
      <c r="L632" t="s">
        <v>873</v>
      </c>
      <c r="M632" t="s">
        <v>874</v>
      </c>
      <c r="N632" t="s">
        <v>875</v>
      </c>
      <c r="O632" s="9">
        <v>45717</v>
      </c>
      <c r="P632" t="s">
        <v>877</v>
      </c>
      <c r="Q632">
        <v>600000</v>
      </c>
      <c r="R632" t="s">
        <v>768</v>
      </c>
      <c r="S632" t="s">
        <v>739</v>
      </c>
      <c r="T632" t="s">
        <v>740</v>
      </c>
      <c r="U632" t="s">
        <v>427</v>
      </c>
      <c r="V632" t="s">
        <v>7</v>
      </c>
      <c r="W632" t="s">
        <v>20</v>
      </c>
      <c r="X632" t="s">
        <v>9</v>
      </c>
    </row>
    <row r="633" spans="1:24">
      <c r="A633" t="s">
        <v>1528</v>
      </c>
      <c r="B633" s="8">
        <v>45662</v>
      </c>
      <c r="C633" t="s">
        <v>678</v>
      </c>
      <c r="D633" t="s">
        <v>839</v>
      </c>
      <c r="E633">
        <v>2</v>
      </c>
      <c r="F633">
        <v>200000</v>
      </c>
      <c r="G633">
        <v>400000</v>
      </c>
      <c r="H633" t="s">
        <v>872</v>
      </c>
      <c r="I633">
        <v>0</v>
      </c>
      <c r="J633">
        <v>25000</v>
      </c>
      <c r="K633">
        <v>425000</v>
      </c>
      <c r="L633" t="s">
        <v>884</v>
      </c>
      <c r="M633" t="s">
        <v>881</v>
      </c>
      <c r="N633" t="s">
        <v>875</v>
      </c>
      <c r="O633" s="9">
        <v>45658</v>
      </c>
      <c r="P633" t="s">
        <v>877</v>
      </c>
      <c r="Q633">
        <v>400000</v>
      </c>
      <c r="R633" t="s">
        <v>840</v>
      </c>
      <c r="S633" t="s">
        <v>739</v>
      </c>
      <c r="T633" t="s">
        <v>740</v>
      </c>
      <c r="U633" t="s">
        <v>679</v>
      </c>
      <c r="V633" t="s">
        <v>7</v>
      </c>
      <c r="W633" t="s">
        <v>46</v>
      </c>
      <c r="X633" t="s">
        <v>9</v>
      </c>
    </row>
    <row r="634" spans="1:24">
      <c r="A634" t="s">
        <v>1529</v>
      </c>
      <c r="B634" s="8">
        <v>45817</v>
      </c>
      <c r="C634" t="s">
        <v>528</v>
      </c>
      <c r="D634" t="s">
        <v>765</v>
      </c>
      <c r="E634">
        <v>2</v>
      </c>
      <c r="F634">
        <v>500000</v>
      </c>
      <c r="G634">
        <v>1000000</v>
      </c>
      <c r="H634" t="s">
        <v>895</v>
      </c>
      <c r="I634">
        <v>150000</v>
      </c>
      <c r="J634">
        <v>30000</v>
      </c>
      <c r="K634">
        <v>880000</v>
      </c>
      <c r="L634" t="s">
        <v>884</v>
      </c>
      <c r="M634" t="s">
        <v>881</v>
      </c>
      <c r="N634" t="s">
        <v>890</v>
      </c>
      <c r="O634" s="9">
        <v>45809</v>
      </c>
      <c r="P634" t="s">
        <v>892</v>
      </c>
      <c r="Q634">
        <v>850000</v>
      </c>
      <c r="R634" t="s">
        <v>766</v>
      </c>
      <c r="S634" t="s">
        <v>735</v>
      </c>
      <c r="T634" t="s">
        <v>736</v>
      </c>
      <c r="U634" t="s">
        <v>529</v>
      </c>
      <c r="V634" t="s">
        <v>7</v>
      </c>
      <c r="W634" t="s">
        <v>12</v>
      </c>
      <c r="X634" t="s">
        <v>9</v>
      </c>
    </row>
    <row r="635" spans="1:24">
      <c r="A635" t="s">
        <v>1530</v>
      </c>
      <c r="B635" s="8">
        <v>45822</v>
      </c>
      <c r="C635" t="s">
        <v>320</v>
      </c>
      <c r="D635" t="s">
        <v>793</v>
      </c>
      <c r="E635">
        <v>2</v>
      </c>
      <c r="F635">
        <v>500000</v>
      </c>
      <c r="G635">
        <v>1000000</v>
      </c>
      <c r="H635" t="s">
        <v>883</v>
      </c>
      <c r="I635">
        <v>100000</v>
      </c>
      <c r="J635">
        <v>30000</v>
      </c>
      <c r="K635">
        <v>930000</v>
      </c>
      <c r="L635" t="s">
        <v>889</v>
      </c>
      <c r="M635" t="s">
        <v>881</v>
      </c>
      <c r="N635" t="s">
        <v>875</v>
      </c>
      <c r="O635" s="9">
        <v>45809</v>
      </c>
      <c r="P635" t="s">
        <v>877</v>
      </c>
      <c r="Q635">
        <v>900000</v>
      </c>
      <c r="R635" t="s">
        <v>794</v>
      </c>
      <c r="S635" t="s">
        <v>743</v>
      </c>
      <c r="T635" t="s">
        <v>744</v>
      </c>
      <c r="U635" t="s">
        <v>321</v>
      </c>
      <c r="V635" t="s">
        <v>7</v>
      </c>
      <c r="W635" t="s">
        <v>56</v>
      </c>
      <c r="X635" t="s">
        <v>9</v>
      </c>
    </row>
    <row r="636" spans="1:24">
      <c r="A636" t="s">
        <v>1531</v>
      </c>
      <c r="B636" s="8">
        <v>45808</v>
      </c>
      <c r="C636" t="s">
        <v>264</v>
      </c>
      <c r="D636" t="s">
        <v>767</v>
      </c>
      <c r="E636">
        <v>3</v>
      </c>
      <c r="F636">
        <v>150000</v>
      </c>
      <c r="G636">
        <v>450000</v>
      </c>
      <c r="H636" t="s">
        <v>883</v>
      </c>
      <c r="I636">
        <v>45000</v>
      </c>
      <c r="J636">
        <v>15000</v>
      </c>
      <c r="K636">
        <v>420000</v>
      </c>
      <c r="L636" t="s">
        <v>884</v>
      </c>
      <c r="M636" t="s">
        <v>874</v>
      </c>
      <c r="N636" t="s">
        <v>890</v>
      </c>
      <c r="O636" s="9">
        <v>45778</v>
      </c>
      <c r="P636" t="s">
        <v>892</v>
      </c>
      <c r="Q636">
        <v>405000</v>
      </c>
      <c r="R636" t="s">
        <v>768</v>
      </c>
      <c r="S636" t="s">
        <v>739</v>
      </c>
      <c r="T636" t="s">
        <v>740</v>
      </c>
      <c r="U636" t="s">
        <v>265</v>
      </c>
      <c r="V636" t="s">
        <v>23</v>
      </c>
      <c r="W636" t="s">
        <v>20</v>
      </c>
      <c r="X636" t="s">
        <v>9</v>
      </c>
    </row>
    <row r="637" spans="1:24">
      <c r="A637" t="s">
        <v>1532</v>
      </c>
      <c r="B637" s="8">
        <v>45810</v>
      </c>
      <c r="C637" t="s">
        <v>618</v>
      </c>
      <c r="D637" t="s">
        <v>759</v>
      </c>
      <c r="E637">
        <v>1</v>
      </c>
      <c r="F637">
        <v>300000</v>
      </c>
      <c r="G637">
        <v>300000</v>
      </c>
      <c r="H637" t="s">
        <v>886</v>
      </c>
      <c r="I637">
        <v>30000</v>
      </c>
      <c r="J637">
        <v>30000</v>
      </c>
      <c r="K637">
        <v>300000</v>
      </c>
      <c r="L637" t="s">
        <v>880</v>
      </c>
      <c r="M637" t="s">
        <v>874</v>
      </c>
      <c r="N637" t="s">
        <v>905</v>
      </c>
      <c r="O637" s="9">
        <v>45809</v>
      </c>
      <c r="P637" t="s">
        <v>892</v>
      </c>
      <c r="Q637">
        <v>270000</v>
      </c>
      <c r="R637" t="s">
        <v>760</v>
      </c>
      <c r="S637" t="s">
        <v>747</v>
      </c>
      <c r="T637" t="s">
        <v>748</v>
      </c>
      <c r="U637" t="s">
        <v>619</v>
      </c>
      <c r="V637" t="s">
        <v>7</v>
      </c>
      <c r="W637" t="s">
        <v>29</v>
      </c>
      <c r="X637" t="s">
        <v>15</v>
      </c>
    </row>
    <row r="638" spans="1:24">
      <c r="A638" t="s">
        <v>1533</v>
      </c>
      <c r="B638" s="8">
        <v>45685</v>
      </c>
      <c r="C638" t="s">
        <v>642</v>
      </c>
      <c r="D638" t="s">
        <v>805</v>
      </c>
      <c r="E638">
        <v>2</v>
      </c>
      <c r="F638">
        <v>200000</v>
      </c>
      <c r="G638">
        <v>400000</v>
      </c>
      <c r="H638" t="s">
        <v>879</v>
      </c>
      <c r="I638">
        <v>80000</v>
      </c>
      <c r="J638">
        <v>15000</v>
      </c>
      <c r="K638">
        <v>335000</v>
      </c>
      <c r="L638" t="s">
        <v>889</v>
      </c>
      <c r="M638" t="s">
        <v>881</v>
      </c>
      <c r="N638" t="s">
        <v>921</v>
      </c>
      <c r="O638" s="9">
        <v>45658</v>
      </c>
      <c r="P638" t="s">
        <v>892</v>
      </c>
      <c r="Q638">
        <v>320000</v>
      </c>
      <c r="R638" t="s">
        <v>806</v>
      </c>
      <c r="S638" t="s">
        <v>743</v>
      </c>
      <c r="T638" t="s">
        <v>744</v>
      </c>
      <c r="U638" t="s">
        <v>643</v>
      </c>
      <c r="V638" t="s">
        <v>23</v>
      </c>
      <c r="W638" t="s">
        <v>137</v>
      </c>
      <c r="X638" t="s">
        <v>24</v>
      </c>
    </row>
    <row r="639" spans="1:24">
      <c r="A639" t="s">
        <v>1534</v>
      </c>
      <c r="B639" s="8">
        <v>45735</v>
      </c>
      <c r="C639" t="s">
        <v>168</v>
      </c>
      <c r="D639" t="s">
        <v>819</v>
      </c>
      <c r="E639">
        <v>3</v>
      </c>
      <c r="F639">
        <v>300000</v>
      </c>
      <c r="G639">
        <v>900000</v>
      </c>
      <c r="H639" t="s">
        <v>886</v>
      </c>
      <c r="I639">
        <v>90000</v>
      </c>
      <c r="J639">
        <v>30000</v>
      </c>
      <c r="K639">
        <v>840000</v>
      </c>
      <c r="L639" t="s">
        <v>884</v>
      </c>
      <c r="M639" t="s">
        <v>874</v>
      </c>
      <c r="N639" t="s">
        <v>875</v>
      </c>
      <c r="O639" s="9">
        <v>45717</v>
      </c>
      <c r="P639" t="s">
        <v>877</v>
      </c>
      <c r="Q639">
        <v>810000</v>
      </c>
      <c r="R639" t="s">
        <v>820</v>
      </c>
      <c r="S639" t="s">
        <v>747</v>
      </c>
      <c r="T639" t="s">
        <v>748</v>
      </c>
      <c r="U639" t="s">
        <v>169</v>
      </c>
      <c r="V639" t="s">
        <v>7</v>
      </c>
      <c r="W639" t="s">
        <v>12</v>
      </c>
      <c r="X639" t="s">
        <v>24</v>
      </c>
    </row>
    <row r="640" spans="1:24">
      <c r="A640" t="s">
        <v>1535</v>
      </c>
      <c r="B640" s="8">
        <v>45708</v>
      </c>
      <c r="C640" t="s">
        <v>166</v>
      </c>
      <c r="D640" t="s">
        <v>821</v>
      </c>
      <c r="E640">
        <v>1</v>
      </c>
      <c r="F640">
        <v>50000</v>
      </c>
      <c r="G640">
        <v>50000</v>
      </c>
      <c r="H640" t="s">
        <v>872</v>
      </c>
      <c r="I640">
        <v>0</v>
      </c>
      <c r="J640">
        <v>20000</v>
      </c>
      <c r="K640">
        <v>70000</v>
      </c>
      <c r="L640" t="s">
        <v>884</v>
      </c>
      <c r="M640" t="s">
        <v>901</v>
      </c>
      <c r="N640" t="s">
        <v>875</v>
      </c>
      <c r="O640" s="9">
        <v>45689</v>
      </c>
      <c r="P640" t="s">
        <v>877</v>
      </c>
      <c r="Q640">
        <v>50000</v>
      </c>
      <c r="R640" t="s">
        <v>822</v>
      </c>
      <c r="S640" t="s">
        <v>727</v>
      </c>
      <c r="T640" t="s">
        <v>728</v>
      </c>
      <c r="U640" t="s">
        <v>167</v>
      </c>
      <c r="V640" t="s">
        <v>7</v>
      </c>
      <c r="W640" t="s">
        <v>39</v>
      </c>
      <c r="X640" t="s">
        <v>24</v>
      </c>
    </row>
    <row r="641" spans="1:24">
      <c r="A641" t="s">
        <v>1536</v>
      </c>
      <c r="B641" s="8">
        <v>45667</v>
      </c>
      <c r="C641" t="s">
        <v>16</v>
      </c>
      <c r="D641" t="s">
        <v>797</v>
      </c>
      <c r="E641">
        <v>1</v>
      </c>
      <c r="F641">
        <v>150000</v>
      </c>
      <c r="G641">
        <v>150000</v>
      </c>
      <c r="H641" t="s">
        <v>872</v>
      </c>
      <c r="I641">
        <v>0</v>
      </c>
      <c r="J641">
        <v>25000</v>
      </c>
      <c r="K641">
        <v>175000</v>
      </c>
      <c r="L641" t="s">
        <v>884</v>
      </c>
      <c r="M641" t="s">
        <v>881</v>
      </c>
      <c r="N641" t="s">
        <v>875</v>
      </c>
      <c r="O641" s="9">
        <v>45658</v>
      </c>
      <c r="P641" t="s">
        <v>877</v>
      </c>
      <c r="Q641">
        <v>150000</v>
      </c>
      <c r="R641" t="s">
        <v>798</v>
      </c>
      <c r="S641" t="s">
        <v>727</v>
      </c>
      <c r="T641" t="s">
        <v>728</v>
      </c>
      <c r="U641" t="s">
        <v>17</v>
      </c>
      <c r="V641" t="s">
        <v>7</v>
      </c>
      <c r="W641" t="s">
        <v>12</v>
      </c>
      <c r="X641" t="s">
        <v>15</v>
      </c>
    </row>
    <row r="642" spans="1:24">
      <c r="A642" t="s">
        <v>1537</v>
      </c>
      <c r="B642" s="8">
        <v>45758</v>
      </c>
      <c r="C642" t="s">
        <v>30</v>
      </c>
      <c r="D642" t="s">
        <v>841</v>
      </c>
      <c r="E642">
        <v>1</v>
      </c>
      <c r="F642">
        <v>75000</v>
      </c>
      <c r="G642">
        <v>75000</v>
      </c>
      <c r="H642" t="s">
        <v>872</v>
      </c>
      <c r="I642">
        <v>0</v>
      </c>
      <c r="J642">
        <v>10000</v>
      </c>
      <c r="K642">
        <v>85000</v>
      </c>
      <c r="L642" t="s">
        <v>884</v>
      </c>
      <c r="M642" t="s">
        <v>901</v>
      </c>
      <c r="N642" t="s">
        <v>890</v>
      </c>
      <c r="O642" s="9">
        <v>45748</v>
      </c>
      <c r="P642" t="s">
        <v>892</v>
      </c>
      <c r="Q642">
        <v>75000</v>
      </c>
      <c r="R642" t="s">
        <v>842</v>
      </c>
      <c r="S642" t="s">
        <v>743</v>
      </c>
      <c r="T642" t="s">
        <v>744</v>
      </c>
      <c r="U642" t="s">
        <v>31</v>
      </c>
      <c r="V642" t="s">
        <v>23</v>
      </c>
      <c r="W642" t="s">
        <v>8</v>
      </c>
      <c r="X642" t="s">
        <v>9</v>
      </c>
    </row>
    <row r="643" spans="1:24">
      <c r="A643" t="s">
        <v>1538</v>
      </c>
      <c r="B643" s="8">
        <v>45661</v>
      </c>
      <c r="C643" t="s">
        <v>716</v>
      </c>
      <c r="D643" t="s">
        <v>817</v>
      </c>
      <c r="E643">
        <v>4</v>
      </c>
      <c r="F643">
        <v>75000</v>
      </c>
      <c r="G643">
        <v>300000</v>
      </c>
      <c r="H643" t="s">
        <v>879</v>
      </c>
      <c r="I643">
        <v>60000</v>
      </c>
      <c r="J643">
        <v>25000</v>
      </c>
      <c r="K643">
        <v>265000</v>
      </c>
      <c r="L643" t="s">
        <v>873</v>
      </c>
      <c r="M643" t="s">
        <v>903</v>
      </c>
      <c r="N643" t="s">
        <v>875</v>
      </c>
      <c r="O643" s="9">
        <v>45658</v>
      </c>
      <c r="P643" t="s">
        <v>877</v>
      </c>
      <c r="Q643">
        <v>240000</v>
      </c>
      <c r="R643" t="s">
        <v>818</v>
      </c>
      <c r="S643" t="s">
        <v>743</v>
      </c>
      <c r="T643" t="s">
        <v>744</v>
      </c>
      <c r="U643" t="s">
        <v>717</v>
      </c>
      <c r="V643" t="s">
        <v>23</v>
      </c>
      <c r="W643" t="s">
        <v>8</v>
      </c>
      <c r="X643" t="s">
        <v>9</v>
      </c>
    </row>
    <row r="644" spans="1:24">
      <c r="A644" t="s">
        <v>1539</v>
      </c>
      <c r="B644" s="8">
        <v>45726</v>
      </c>
      <c r="C644" t="s">
        <v>486</v>
      </c>
      <c r="D644" t="s">
        <v>725</v>
      </c>
      <c r="E644">
        <v>4</v>
      </c>
      <c r="F644">
        <v>300000</v>
      </c>
      <c r="G644">
        <v>1200000</v>
      </c>
      <c r="H644" t="s">
        <v>872</v>
      </c>
      <c r="I644">
        <v>0</v>
      </c>
      <c r="J644">
        <v>20000</v>
      </c>
      <c r="K644">
        <v>1220000</v>
      </c>
      <c r="L644" t="s">
        <v>889</v>
      </c>
      <c r="M644" t="s">
        <v>881</v>
      </c>
      <c r="N644" t="s">
        <v>875</v>
      </c>
      <c r="O644" s="9">
        <v>45717</v>
      </c>
      <c r="P644" t="s">
        <v>877</v>
      </c>
      <c r="Q644">
        <v>1200000</v>
      </c>
      <c r="R644" t="s">
        <v>726</v>
      </c>
      <c r="S644" t="s">
        <v>727</v>
      </c>
      <c r="T644" t="s">
        <v>728</v>
      </c>
      <c r="U644" t="s">
        <v>487</v>
      </c>
      <c r="V644" t="s">
        <v>23</v>
      </c>
      <c r="W644" t="s">
        <v>36</v>
      </c>
      <c r="X644" t="s">
        <v>24</v>
      </c>
    </row>
    <row r="645" spans="1:24">
      <c r="A645" t="s">
        <v>1540</v>
      </c>
      <c r="B645" s="8">
        <v>45831</v>
      </c>
      <c r="C645" t="s">
        <v>358</v>
      </c>
      <c r="D645" t="s">
        <v>843</v>
      </c>
      <c r="E645">
        <v>4</v>
      </c>
      <c r="F645">
        <v>100000</v>
      </c>
      <c r="G645">
        <v>400000</v>
      </c>
      <c r="H645" t="s">
        <v>872</v>
      </c>
      <c r="I645">
        <v>0</v>
      </c>
      <c r="J645">
        <v>10000</v>
      </c>
      <c r="K645">
        <v>410000</v>
      </c>
      <c r="L645" t="s">
        <v>884</v>
      </c>
      <c r="M645" t="s">
        <v>881</v>
      </c>
      <c r="N645" t="s">
        <v>875</v>
      </c>
      <c r="O645" s="9">
        <v>45809</v>
      </c>
      <c r="P645" t="s">
        <v>877</v>
      </c>
      <c r="Q645">
        <v>400000</v>
      </c>
      <c r="R645" t="s">
        <v>844</v>
      </c>
      <c r="S645" t="s">
        <v>747</v>
      </c>
      <c r="T645" t="s">
        <v>748</v>
      </c>
      <c r="U645" t="s">
        <v>359</v>
      </c>
      <c r="V645" t="s">
        <v>7</v>
      </c>
      <c r="W645" t="s">
        <v>137</v>
      </c>
      <c r="X645" t="s">
        <v>9</v>
      </c>
    </row>
    <row r="646" spans="1:24">
      <c r="A646" t="s">
        <v>1541</v>
      </c>
      <c r="B646" s="8">
        <v>45716</v>
      </c>
      <c r="C646" t="s">
        <v>666</v>
      </c>
      <c r="D646" t="s">
        <v>749</v>
      </c>
      <c r="E646">
        <v>4</v>
      </c>
      <c r="F646">
        <v>150000</v>
      </c>
      <c r="G646">
        <v>600000</v>
      </c>
      <c r="H646" t="s">
        <v>895</v>
      </c>
      <c r="I646">
        <v>90000</v>
      </c>
      <c r="J646">
        <v>20000</v>
      </c>
      <c r="K646">
        <v>530000</v>
      </c>
      <c r="L646" t="s">
        <v>873</v>
      </c>
      <c r="M646" t="s">
        <v>881</v>
      </c>
      <c r="N646" t="s">
        <v>875</v>
      </c>
      <c r="O646" s="9">
        <v>45689</v>
      </c>
      <c r="P646" t="s">
        <v>877</v>
      </c>
      <c r="Q646">
        <v>510000</v>
      </c>
      <c r="R646" t="s">
        <v>750</v>
      </c>
      <c r="S646" t="s">
        <v>727</v>
      </c>
      <c r="T646" t="s">
        <v>728</v>
      </c>
      <c r="U646" t="s">
        <v>667</v>
      </c>
      <c r="V646" t="s">
        <v>7</v>
      </c>
      <c r="W646" t="s">
        <v>12</v>
      </c>
      <c r="X646" t="s">
        <v>9</v>
      </c>
    </row>
    <row r="647" spans="1:24">
      <c r="A647" t="s">
        <v>1542</v>
      </c>
      <c r="B647" s="8">
        <v>45700</v>
      </c>
      <c r="C647" t="s">
        <v>214</v>
      </c>
      <c r="D647" t="s">
        <v>845</v>
      </c>
      <c r="E647">
        <v>1</v>
      </c>
      <c r="F647">
        <v>300000</v>
      </c>
      <c r="G647">
        <v>300000</v>
      </c>
      <c r="H647" t="s">
        <v>895</v>
      </c>
      <c r="I647">
        <v>45000</v>
      </c>
      <c r="J647">
        <v>20000</v>
      </c>
      <c r="K647">
        <v>275000</v>
      </c>
      <c r="L647" t="s">
        <v>884</v>
      </c>
      <c r="M647" t="s">
        <v>881</v>
      </c>
      <c r="N647" t="s">
        <v>890</v>
      </c>
      <c r="O647" s="9">
        <v>45689</v>
      </c>
      <c r="P647" t="s">
        <v>892</v>
      </c>
      <c r="Q647">
        <v>255000</v>
      </c>
      <c r="R647" t="s">
        <v>846</v>
      </c>
      <c r="S647" t="s">
        <v>727</v>
      </c>
      <c r="T647" t="s">
        <v>728</v>
      </c>
      <c r="U647" t="s">
        <v>215</v>
      </c>
      <c r="V647" t="s">
        <v>23</v>
      </c>
      <c r="W647" t="s">
        <v>8</v>
      </c>
      <c r="X647" t="s">
        <v>9</v>
      </c>
    </row>
    <row r="648" spans="1:24">
      <c r="A648" t="s">
        <v>1543</v>
      </c>
      <c r="B648" s="8">
        <v>45815</v>
      </c>
      <c r="C648" t="s">
        <v>408</v>
      </c>
      <c r="D648" t="s">
        <v>779</v>
      </c>
      <c r="E648">
        <v>1</v>
      </c>
      <c r="F648">
        <v>150000</v>
      </c>
      <c r="G648">
        <v>150000</v>
      </c>
      <c r="H648" t="s">
        <v>872</v>
      </c>
      <c r="I648">
        <v>0</v>
      </c>
      <c r="J648">
        <v>25000</v>
      </c>
      <c r="K648">
        <v>175000</v>
      </c>
      <c r="L648" t="s">
        <v>880</v>
      </c>
      <c r="M648" t="s">
        <v>881</v>
      </c>
      <c r="N648" t="s">
        <v>875</v>
      </c>
      <c r="O648" s="9">
        <v>45809</v>
      </c>
      <c r="P648" t="s">
        <v>877</v>
      </c>
      <c r="Q648">
        <v>150000</v>
      </c>
      <c r="R648" t="s">
        <v>780</v>
      </c>
      <c r="S648" t="s">
        <v>739</v>
      </c>
      <c r="T648" t="s">
        <v>740</v>
      </c>
      <c r="U648" t="s">
        <v>409</v>
      </c>
      <c r="V648" t="s">
        <v>7</v>
      </c>
      <c r="W648" t="s">
        <v>8</v>
      </c>
      <c r="X648" t="s">
        <v>24</v>
      </c>
    </row>
    <row r="649" spans="1:24">
      <c r="A649" t="s">
        <v>1544</v>
      </c>
      <c r="B649" s="8">
        <v>45712</v>
      </c>
      <c r="C649" t="s">
        <v>642</v>
      </c>
      <c r="D649" t="s">
        <v>737</v>
      </c>
      <c r="E649">
        <v>4</v>
      </c>
      <c r="F649">
        <v>300000</v>
      </c>
      <c r="G649">
        <v>1200000</v>
      </c>
      <c r="H649" t="s">
        <v>886</v>
      </c>
      <c r="I649">
        <v>120000</v>
      </c>
      <c r="J649">
        <v>25000</v>
      </c>
      <c r="K649">
        <v>1105000</v>
      </c>
      <c r="L649" t="s">
        <v>889</v>
      </c>
      <c r="M649" t="s">
        <v>903</v>
      </c>
      <c r="N649" t="s">
        <v>905</v>
      </c>
      <c r="O649" s="9">
        <v>45689</v>
      </c>
      <c r="P649" t="s">
        <v>892</v>
      </c>
      <c r="Q649">
        <v>1080000</v>
      </c>
      <c r="R649" t="s">
        <v>738</v>
      </c>
      <c r="S649" t="s">
        <v>739</v>
      </c>
      <c r="T649" t="s">
        <v>740</v>
      </c>
      <c r="U649" t="s">
        <v>643</v>
      </c>
      <c r="V649" t="s">
        <v>23</v>
      </c>
      <c r="W649" t="s">
        <v>137</v>
      </c>
      <c r="X649" t="s">
        <v>24</v>
      </c>
    </row>
    <row r="650" spans="1:24">
      <c r="A650" t="s">
        <v>1545</v>
      </c>
      <c r="B650" s="8">
        <v>45673</v>
      </c>
      <c r="C650" t="s">
        <v>348</v>
      </c>
      <c r="D650" t="s">
        <v>777</v>
      </c>
      <c r="E650">
        <v>4</v>
      </c>
      <c r="F650">
        <v>200000</v>
      </c>
      <c r="G650">
        <v>800000</v>
      </c>
      <c r="H650" t="s">
        <v>872</v>
      </c>
      <c r="I650">
        <v>0</v>
      </c>
      <c r="J650">
        <v>15000</v>
      </c>
      <c r="K650">
        <v>815000</v>
      </c>
      <c r="L650" t="s">
        <v>880</v>
      </c>
      <c r="M650" t="s">
        <v>881</v>
      </c>
      <c r="N650" t="s">
        <v>875</v>
      </c>
      <c r="O650" s="9">
        <v>45658</v>
      </c>
      <c r="P650" t="s">
        <v>877</v>
      </c>
      <c r="Q650">
        <v>800000</v>
      </c>
      <c r="R650" t="s">
        <v>778</v>
      </c>
      <c r="S650" t="s">
        <v>735</v>
      </c>
      <c r="T650" t="s">
        <v>736</v>
      </c>
      <c r="U650" t="s">
        <v>349</v>
      </c>
      <c r="V650" t="s">
        <v>23</v>
      </c>
      <c r="W650" t="s">
        <v>56</v>
      </c>
      <c r="X650" t="s">
        <v>9</v>
      </c>
    </row>
    <row r="651" spans="1:24">
      <c r="A651" t="s">
        <v>1546</v>
      </c>
      <c r="B651" s="8">
        <v>45719</v>
      </c>
      <c r="C651" t="s">
        <v>634</v>
      </c>
      <c r="D651" t="s">
        <v>773</v>
      </c>
      <c r="E651">
        <v>2</v>
      </c>
      <c r="F651">
        <v>500000</v>
      </c>
      <c r="G651">
        <v>1000000</v>
      </c>
      <c r="H651" t="s">
        <v>872</v>
      </c>
      <c r="I651">
        <v>0</v>
      </c>
      <c r="J651">
        <v>15000</v>
      </c>
      <c r="K651">
        <v>1015000</v>
      </c>
      <c r="L651" t="s">
        <v>889</v>
      </c>
      <c r="M651" t="s">
        <v>901</v>
      </c>
      <c r="N651" t="s">
        <v>875</v>
      </c>
      <c r="O651" s="9">
        <v>45717</v>
      </c>
      <c r="P651" t="s">
        <v>877</v>
      </c>
      <c r="Q651">
        <v>1000000</v>
      </c>
      <c r="R651" t="s">
        <v>774</v>
      </c>
      <c r="S651" t="s">
        <v>727</v>
      </c>
      <c r="T651" t="s">
        <v>728</v>
      </c>
      <c r="U651" t="s">
        <v>635</v>
      </c>
      <c r="V651" t="s">
        <v>23</v>
      </c>
      <c r="W651" t="s">
        <v>8</v>
      </c>
      <c r="X651" t="s">
        <v>24</v>
      </c>
    </row>
    <row r="652" spans="1:24">
      <c r="A652" t="s">
        <v>1547</v>
      </c>
      <c r="B652" s="8">
        <v>45726</v>
      </c>
      <c r="C652" t="s">
        <v>127</v>
      </c>
      <c r="D652" t="s">
        <v>755</v>
      </c>
      <c r="E652">
        <v>1</v>
      </c>
      <c r="F652">
        <v>50000</v>
      </c>
      <c r="G652">
        <v>50000</v>
      </c>
      <c r="H652" t="s">
        <v>886</v>
      </c>
      <c r="I652">
        <v>5000</v>
      </c>
      <c r="J652">
        <v>20000</v>
      </c>
      <c r="K652">
        <v>65000</v>
      </c>
      <c r="L652" t="s">
        <v>889</v>
      </c>
      <c r="M652" t="s">
        <v>903</v>
      </c>
      <c r="N652" t="s">
        <v>875</v>
      </c>
      <c r="O652" s="9">
        <v>45717</v>
      </c>
      <c r="P652" t="s">
        <v>877</v>
      </c>
      <c r="Q652">
        <v>45000</v>
      </c>
      <c r="R652" t="s">
        <v>756</v>
      </c>
      <c r="S652" t="s">
        <v>739</v>
      </c>
      <c r="T652" t="s">
        <v>740</v>
      </c>
      <c r="U652" t="s">
        <v>128</v>
      </c>
      <c r="V652" t="s">
        <v>7</v>
      </c>
      <c r="W652" t="s">
        <v>39</v>
      </c>
      <c r="X652" t="s">
        <v>15</v>
      </c>
    </row>
    <row r="653" spans="1:24">
      <c r="A653" t="s">
        <v>1548</v>
      </c>
      <c r="B653" s="8">
        <v>45785</v>
      </c>
      <c r="C653" t="s">
        <v>376</v>
      </c>
      <c r="D653" t="s">
        <v>777</v>
      </c>
      <c r="E653">
        <v>1</v>
      </c>
      <c r="F653">
        <v>200000</v>
      </c>
      <c r="G653">
        <v>200000</v>
      </c>
      <c r="H653" t="s">
        <v>895</v>
      </c>
      <c r="I653">
        <v>30000</v>
      </c>
      <c r="J653">
        <v>10000</v>
      </c>
      <c r="K653">
        <v>180000</v>
      </c>
      <c r="L653" t="s">
        <v>884</v>
      </c>
      <c r="M653" t="s">
        <v>901</v>
      </c>
      <c r="N653" t="s">
        <v>890</v>
      </c>
      <c r="O653" s="9">
        <v>45778</v>
      </c>
      <c r="P653" t="s">
        <v>892</v>
      </c>
      <c r="Q653">
        <v>170000</v>
      </c>
      <c r="R653" t="s">
        <v>778</v>
      </c>
      <c r="S653" t="s">
        <v>735</v>
      </c>
      <c r="T653" t="s">
        <v>736</v>
      </c>
      <c r="U653" t="s">
        <v>377</v>
      </c>
      <c r="V653" t="s">
        <v>7</v>
      </c>
      <c r="W653" t="s">
        <v>8</v>
      </c>
      <c r="X653" t="s">
        <v>9</v>
      </c>
    </row>
    <row r="654" spans="1:24">
      <c r="A654" t="s">
        <v>1549</v>
      </c>
      <c r="B654" s="8">
        <v>45666</v>
      </c>
      <c r="C654" t="s">
        <v>308</v>
      </c>
      <c r="D654" t="s">
        <v>741</v>
      </c>
      <c r="E654">
        <v>1</v>
      </c>
      <c r="F654">
        <v>75000</v>
      </c>
      <c r="G654">
        <v>75000</v>
      </c>
      <c r="H654" t="s">
        <v>879</v>
      </c>
      <c r="I654">
        <v>15000</v>
      </c>
      <c r="J654">
        <v>20000</v>
      </c>
      <c r="K654">
        <v>80000</v>
      </c>
      <c r="L654" t="s">
        <v>884</v>
      </c>
      <c r="M654" t="s">
        <v>901</v>
      </c>
      <c r="N654" t="s">
        <v>875</v>
      </c>
      <c r="O654" s="9">
        <v>45658</v>
      </c>
      <c r="P654" t="s">
        <v>877</v>
      </c>
      <c r="Q654">
        <v>60000</v>
      </c>
      <c r="R654" t="s">
        <v>742</v>
      </c>
      <c r="S654" t="s">
        <v>743</v>
      </c>
      <c r="T654" t="s">
        <v>744</v>
      </c>
      <c r="U654" t="s">
        <v>309</v>
      </c>
      <c r="V654" t="s">
        <v>23</v>
      </c>
      <c r="W654" t="s">
        <v>51</v>
      </c>
      <c r="X654" t="s">
        <v>24</v>
      </c>
    </row>
    <row r="655" spans="1:24">
      <c r="A655" t="s">
        <v>1550</v>
      </c>
      <c r="B655" s="8">
        <v>45720</v>
      </c>
      <c r="C655" t="s">
        <v>312</v>
      </c>
      <c r="D655" t="s">
        <v>807</v>
      </c>
      <c r="E655">
        <v>1</v>
      </c>
      <c r="F655">
        <v>150000</v>
      </c>
      <c r="G655">
        <v>150000</v>
      </c>
      <c r="H655" t="s">
        <v>886</v>
      </c>
      <c r="I655">
        <v>15000</v>
      </c>
      <c r="J655">
        <v>20000</v>
      </c>
      <c r="K655">
        <v>155000</v>
      </c>
      <c r="L655" t="s">
        <v>873</v>
      </c>
      <c r="M655" t="s">
        <v>901</v>
      </c>
      <c r="N655" t="s">
        <v>875</v>
      </c>
      <c r="O655" s="9">
        <v>45717</v>
      </c>
      <c r="P655" t="s">
        <v>877</v>
      </c>
      <c r="Q655">
        <v>135000</v>
      </c>
      <c r="R655" t="s">
        <v>808</v>
      </c>
      <c r="S655" t="s">
        <v>747</v>
      </c>
      <c r="T655" t="s">
        <v>748</v>
      </c>
      <c r="U655" t="s">
        <v>313</v>
      </c>
      <c r="V655" t="s">
        <v>23</v>
      </c>
      <c r="W655" t="s">
        <v>39</v>
      </c>
      <c r="X655" t="s">
        <v>9</v>
      </c>
    </row>
    <row r="656" spans="1:24">
      <c r="A656" t="s">
        <v>1551</v>
      </c>
      <c r="B656" s="8">
        <v>45834</v>
      </c>
      <c r="C656" t="s">
        <v>602</v>
      </c>
      <c r="D656" t="s">
        <v>851</v>
      </c>
      <c r="E656">
        <v>2</v>
      </c>
      <c r="F656">
        <v>35000</v>
      </c>
      <c r="G656">
        <v>70000</v>
      </c>
      <c r="H656" t="s">
        <v>895</v>
      </c>
      <c r="I656">
        <v>10500</v>
      </c>
      <c r="J656">
        <v>20000</v>
      </c>
      <c r="K656">
        <v>79500</v>
      </c>
      <c r="L656" t="s">
        <v>880</v>
      </c>
      <c r="M656" t="s">
        <v>901</v>
      </c>
      <c r="N656" t="s">
        <v>875</v>
      </c>
      <c r="O656" s="9">
        <v>45809</v>
      </c>
      <c r="P656" t="s">
        <v>877</v>
      </c>
      <c r="Q656">
        <v>59500</v>
      </c>
      <c r="R656" t="s">
        <v>852</v>
      </c>
      <c r="S656" t="s">
        <v>739</v>
      </c>
      <c r="T656" t="s">
        <v>740</v>
      </c>
      <c r="U656" t="s">
        <v>603</v>
      </c>
      <c r="V656" t="s">
        <v>7</v>
      </c>
      <c r="W656" t="s">
        <v>137</v>
      </c>
      <c r="X656" t="s">
        <v>24</v>
      </c>
    </row>
    <row r="657" spans="1:24">
      <c r="A657" t="s">
        <v>1552</v>
      </c>
      <c r="B657" s="8">
        <v>45678</v>
      </c>
      <c r="C657" t="s">
        <v>202</v>
      </c>
      <c r="D657" t="s">
        <v>767</v>
      </c>
      <c r="E657">
        <v>3</v>
      </c>
      <c r="F657">
        <v>150000</v>
      </c>
      <c r="G657">
        <v>450000</v>
      </c>
      <c r="I657">
        <v>45000</v>
      </c>
      <c r="J657">
        <v>30000</v>
      </c>
      <c r="K657">
        <v>435000</v>
      </c>
      <c r="L657" t="s">
        <v>884</v>
      </c>
      <c r="M657" t="s">
        <v>903</v>
      </c>
      <c r="N657" t="s">
        <v>875</v>
      </c>
      <c r="O657" s="9">
        <v>45658</v>
      </c>
      <c r="P657" t="s">
        <v>877</v>
      </c>
      <c r="Q657">
        <v>405000</v>
      </c>
      <c r="R657" t="s">
        <v>768</v>
      </c>
      <c r="S657" t="s">
        <v>739</v>
      </c>
      <c r="T657" t="s">
        <v>740</v>
      </c>
      <c r="U657" t="s">
        <v>203</v>
      </c>
      <c r="V657" t="s">
        <v>7</v>
      </c>
      <c r="W657" t="s">
        <v>8</v>
      </c>
      <c r="X657" t="s">
        <v>15</v>
      </c>
    </row>
    <row r="658" spans="1:24">
      <c r="A658" t="s">
        <v>1553</v>
      </c>
      <c r="B658" s="8">
        <v>45777</v>
      </c>
      <c r="C658" t="s">
        <v>572</v>
      </c>
      <c r="D658" t="s">
        <v>771</v>
      </c>
      <c r="E658">
        <v>4</v>
      </c>
      <c r="F658">
        <v>500000</v>
      </c>
      <c r="G658">
        <v>2000000</v>
      </c>
      <c r="H658" t="s">
        <v>895</v>
      </c>
      <c r="I658">
        <v>300000</v>
      </c>
      <c r="J658">
        <v>30000</v>
      </c>
      <c r="K658">
        <v>1730000</v>
      </c>
      <c r="L658" t="s">
        <v>884</v>
      </c>
      <c r="M658" t="s">
        <v>874</v>
      </c>
      <c r="N658" t="s">
        <v>875</v>
      </c>
      <c r="O658" s="9">
        <v>45748</v>
      </c>
      <c r="P658" t="s">
        <v>877</v>
      </c>
      <c r="Q658">
        <v>1700000</v>
      </c>
      <c r="R658" t="s">
        <v>772</v>
      </c>
      <c r="S658" t="s">
        <v>747</v>
      </c>
      <c r="T658" t="s">
        <v>748</v>
      </c>
      <c r="U658" t="s">
        <v>573</v>
      </c>
      <c r="V658" t="s">
        <v>7</v>
      </c>
      <c r="W658" t="s">
        <v>137</v>
      </c>
      <c r="X658" t="s">
        <v>9</v>
      </c>
    </row>
    <row r="659" spans="1:24">
      <c r="A659" t="s">
        <v>1554</v>
      </c>
      <c r="B659" s="8">
        <v>45788</v>
      </c>
      <c r="C659" t="s">
        <v>572</v>
      </c>
      <c r="D659" t="s">
        <v>805</v>
      </c>
      <c r="E659">
        <v>1</v>
      </c>
      <c r="F659">
        <v>200000</v>
      </c>
      <c r="G659">
        <v>200000</v>
      </c>
      <c r="H659" t="s">
        <v>886</v>
      </c>
      <c r="I659">
        <v>20000</v>
      </c>
      <c r="J659">
        <v>25000</v>
      </c>
      <c r="K659">
        <v>205000</v>
      </c>
      <c r="L659" t="s">
        <v>873</v>
      </c>
      <c r="M659" t="s">
        <v>901</v>
      </c>
      <c r="N659" t="s">
        <v>875</v>
      </c>
      <c r="O659" s="9">
        <v>45778</v>
      </c>
      <c r="P659" t="s">
        <v>877</v>
      </c>
      <c r="Q659">
        <v>180000</v>
      </c>
      <c r="R659" t="s">
        <v>806</v>
      </c>
      <c r="S659" t="s">
        <v>743</v>
      </c>
      <c r="T659" t="s">
        <v>744</v>
      </c>
      <c r="U659" t="s">
        <v>573</v>
      </c>
      <c r="V659" t="s">
        <v>7</v>
      </c>
      <c r="W659" t="s">
        <v>137</v>
      </c>
      <c r="X659" t="s">
        <v>9</v>
      </c>
    </row>
    <row r="660" spans="1:24">
      <c r="A660" t="s">
        <v>1555</v>
      </c>
      <c r="B660" s="8">
        <v>45837</v>
      </c>
      <c r="C660" t="s">
        <v>362</v>
      </c>
      <c r="D660" t="s">
        <v>825</v>
      </c>
      <c r="E660">
        <v>1</v>
      </c>
      <c r="F660">
        <v>100000</v>
      </c>
      <c r="G660">
        <v>100000</v>
      </c>
      <c r="H660" t="s">
        <v>872</v>
      </c>
      <c r="I660">
        <v>0</v>
      </c>
      <c r="J660">
        <v>30000</v>
      </c>
      <c r="K660">
        <v>130000</v>
      </c>
      <c r="L660" t="s">
        <v>880</v>
      </c>
      <c r="M660" t="s">
        <v>881</v>
      </c>
      <c r="N660" t="s">
        <v>875</v>
      </c>
      <c r="O660" s="9">
        <v>45809</v>
      </c>
      <c r="P660" t="s">
        <v>877</v>
      </c>
      <c r="Q660">
        <v>100000</v>
      </c>
      <c r="R660" t="s">
        <v>826</v>
      </c>
      <c r="S660" t="s">
        <v>735</v>
      </c>
      <c r="T660" t="s">
        <v>736</v>
      </c>
      <c r="U660" t="s">
        <v>363</v>
      </c>
      <c r="V660" t="s">
        <v>23</v>
      </c>
      <c r="W660" t="s">
        <v>29</v>
      </c>
      <c r="X660" t="s">
        <v>9</v>
      </c>
    </row>
    <row r="661" spans="1:24">
      <c r="A661" t="s">
        <v>1556</v>
      </c>
      <c r="B661" s="8">
        <v>45744</v>
      </c>
      <c r="C661" t="s">
        <v>420</v>
      </c>
      <c r="D661" t="s">
        <v>769</v>
      </c>
      <c r="E661">
        <v>2</v>
      </c>
      <c r="F661">
        <v>100000</v>
      </c>
      <c r="G661">
        <v>200000</v>
      </c>
      <c r="H661" t="s">
        <v>886</v>
      </c>
      <c r="I661">
        <v>20000</v>
      </c>
      <c r="J661">
        <v>15000</v>
      </c>
      <c r="K661">
        <v>195000</v>
      </c>
      <c r="L661" t="s">
        <v>880</v>
      </c>
      <c r="M661" t="s">
        <v>881</v>
      </c>
      <c r="N661" t="s">
        <v>905</v>
      </c>
      <c r="O661" s="9">
        <v>45717</v>
      </c>
      <c r="P661" t="s">
        <v>892</v>
      </c>
      <c r="Q661">
        <v>180000</v>
      </c>
      <c r="R661" t="s">
        <v>770</v>
      </c>
      <c r="S661" t="s">
        <v>743</v>
      </c>
      <c r="T661" t="s">
        <v>744</v>
      </c>
      <c r="U661" t="s">
        <v>421</v>
      </c>
      <c r="V661" t="s">
        <v>7</v>
      </c>
      <c r="W661" t="s">
        <v>137</v>
      </c>
      <c r="X661" t="s">
        <v>24</v>
      </c>
    </row>
    <row r="662" spans="1:24">
      <c r="A662" t="s">
        <v>1557</v>
      </c>
      <c r="B662" s="8">
        <v>45699</v>
      </c>
      <c r="C662" t="s">
        <v>648</v>
      </c>
      <c r="D662" t="s">
        <v>775</v>
      </c>
      <c r="E662">
        <v>1</v>
      </c>
      <c r="F662">
        <v>75000</v>
      </c>
      <c r="G662">
        <v>75000</v>
      </c>
      <c r="H662" t="s">
        <v>895</v>
      </c>
      <c r="I662">
        <v>11250</v>
      </c>
      <c r="J662">
        <v>20000</v>
      </c>
      <c r="K662">
        <v>83750</v>
      </c>
      <c r="L662" t="s">
        <v>884</v>
      </c>
      <c r="M662" t="s">
        <v>881</v>
      </c>
      <c r="N662" t="s">
        <v>875</v>
      </c>
      <c r="O662" s="9">
        <v>45689</v>
      </c>
      <c r="P662" t="s">
        <v>877</v>
      </c>
      <c r="Q662">
        <v>63750</v>
      </c>
      <c r="R662" t="s">
        <v>776</v>
      </c>
      <c r="S662" t="s">
        <v>731</v>
      </c>
      <c r="T662" t="s">
        <v>732</v>
      </c>
      <c r="U662" t="s">
        <v>649</v>
      </c>
      <c r="V662" t="s">
        <v>7</v>
      </c>
      <c r="W662" t="s">
        <v>8</v>
      </c>
      <c r="X662" t="s">
        <v>24</v>
      </c>
    </row>
    <row r="663" spans="1:24">
      <c r="A663" t="s">
        <v>1558</v>
      </c>
      <c r="B663" s="8">
        <v>45674</v>
      </c>
      <c r="C663" t="s">
        <v>668</v>
      </c>
      <c r="D663" t="s">
        <v>813</v>
      </c>
      <c r="E663">
        <v>1</v>
      </c>
      <c r="F663">
        <v>35000</v>
      </c>
      <c r="G663">
        <v>35000</v>
      </c>
      <c r="H663" t="s">
        <v>883</v>
      </c>
      <c r="I663">
        <v>3500</v>
      </c>
      <c r="J663">
        <v>30000</v>
      </c>
      <c r="K663">
        <v>61500</v>
      </c>
      <c r="L663" t="s">
        <v>884</v>
      </c>
      <c r="M663" t="s">
        <v>901</v>
      </c>
      <c r="N663" t="s">
        <v>875</v>
      </c>
      <c r="O663" s="9">
        <v>45658</v>
      </c>
      <c r="P663" t="s">
        <v>877</v>
      </c>
      <c r="Q663">
        <v>31500</v>
      </c>
      <c r="R663" t="s">
        <v>814</v>
      </c>
      <c r="S663" t="s">
        <v>735</v>
      </c>
      <c r="T663" t="s">
        <v>736</v>
      </c>
      <c r="U663" t="s">
        <v>669</v>
      </c>
      <c r="V663" t="s">
        <v>7</v>
      </c>
      <c r="W663" t="s">
        <v>39</v>
      </c>
      <c r="X663" t="s">
        <v>15</v>
      </c>
    </row>
    <row r="664" spans="1:24">
      <c r="A664" t="s">
        <v>1559</v>
      </c>
      <c r="B664" s="8">
        <v>45789</v>
      </c>
      <c r="C664" t="s">
        <v>412</v>
      </c>
      <c r="D664" t="s">
        <v>795</v>
      </c>
      <c r="E664">
        <v>2</v>
      </c>
      <c r="F664">
        <v>100000</v>
      </c>
      <c r="G664">
        <v>200000</v>
      </c>
      <c r="H664" t="s">
        <v>886</v>
      </c>
      <c r="I664">
        <v>20000</v>
      </c>
      <c r="J664">
        <v>30000</v>
      </c>
      <c r="K664">
        <v>210000</v>
      </c>
      <c r="L664" t="s">
        <v>889</v>
      </c>
      <c r="M664" t="s">
        <v>874</v>
      </c>
      <c r="N664" t="s">
        <v>905</v>
      </c>
      <c r="O664" s="9">
        <v>45778</v>
      </c>
      <c r="P664" t="s">
        <v>892</v>
      </c>
      <c r="Q664">
        <v>180000</v>
      </c>
      <c r="R664" t="s">
        <v>796</v>
      </c>
      <c r="S664" t="s">
        <v>747</v>
      </c>
      <c r="T664" t="s">
        <v>748</v>
      </c>
      <c r="U664" t="s">
        <v>413</v>
      </c>
      <c r="V664" t="s">
        <v>7</v>
      </c>
      <c r="W664" t="s">
        <v>8</v>
      </c>
      <c r="X664" t="s">
        <v>9</v>
      </c>
    </row>
    <row r="665" spans="1:24">
      <c r="A665" t="s">
        <v>1560</v>
      </c>
      <c r="B665" s="8">
        <v>45803</v>
      </c>
      <c r="C665" t="s">
        <v>131</v>
      </c>
      <c r="D665" t="s">
        <v>773</v>
      </c>
      <c r="E665">
        <v>2</v>
      </c>
      <c r="F665">
        <v>500000</v>
      </c>
      <c r="G665">
        <v>1000000</v>
      </c>
      <c r="H665" t="s">
        <v>872</v>
      </c>
      <c r="I665">
        <v>0</v>
      </c>
      <c r="J665">
        <v>10000</v>
      </c>
      <c r="K665">
        <v>1010000</v>
      </c>
      <c r="L665" t="s">
        <v>880</v>
      </c>
      <c r="N665" t="s">
        <v>875</v>
      </c>
      <c r="O665" s="9">
        <v>45778</v>
      </c>
      <c r="P665" t="s">
        <v>877</v>
      </c>
      <c r="Q665">
        <v>1000000</v>
      </c>
      <c r="R665" t="s">
        <v>774</v>
      </c>
      <c r="S665" t="s">
        <v>727</v>
      </c>
      <c r="T665" t="s">
        <v>728</v>
      </c>
      <c r="U665" t="s">
        <v>132</v>
      </c>
      <c r="V665" t="s">
        <v>7</v>
      </c>
      <c r="W665" t="s">
        <v>20</v>
      </c>
      <c r="X665" t="s">
        <v>9</v>
      </c>
    </row>
    <row r="666" spans="1:24">
      <c r="A666" t="s">
        <v>1561</v>
      </c>
      <c r="B666" s="8">
        <v>45786</v>
      </c>
      <c r="C666" t="s">
        <v>688</v>
      </c>
      <c r="D666" t="s">
        <v>799</v>
      </c>
      <c r="E666">
        <v>2</v>
      </c>
      <c r="F666">
        <v>35000</v>
      </c>
      <c r="G666">
        <v>70000</v>
      </c>
      <c r="H666" t="s">
        <v>895</v>
      </c>
      <c r="I666">
        <v>10500</v>
      </c>
      <c r="J666">
        <v>20000</v>
      </c>
      <c r="K666">
        <v>79500</v>
      </c>
      <c r="L666" t="s">
        <v>889</v>
      </c>
      <c r="M666" t="s">
        <v>874</v>
      </c>
      <c r="N666" t="s">
        <v>875</v>
      </c>
      <c r="O666" s="9">
        <v>45778</v>
      </c>
      <c r="P666" t="s">
        <v>877</v>
      </c>
      <c r="Q666">
        <v>59500</v>
      </c>
      <c r="R666" t="s">
        <v>800</v>
      </c>
      <c r="S666" t="s">
        <v>731</v>
      </c>
      <c r="T666" t="s">
        <v>732</v>
      </c>
      <c r="U666" t="s">
        <v>689</v>
      </c>
      <c r="V666" t="s">
        <v>7</v>
      </c>
      <c r="W666" t="s">
        <v>46</v>
      </c>
      <c r="X666" t="s">
        <v>24</v>
      </c>
    </row>
    <row r="667" spans="1:24">
      <c r="A667" t="s">
        <v>1562</v>
      </c>
      <c r="B667" s="8">
        <v>45766</v>
      </c>
      <c r="C667" t="s">
        <v>170</v>
      </c>
      <c r="D667" t="s">
        <v>775</v>
      </c>
      <c r="E667">
        <v>1</v>
      </c>
      <c r="F667">
        <v>75000</v>
      </c>
      <c r="G667">
        <v>75000</v>
      </c>
      <c r="H667" t="s">
        <v>872</v>
      </c>
      <c r="I667">
        <v>0</v>
      </c>
      <c r="J667">
        <v>20000</v>
      </c>
      <c r="K667">
        <v>95000</v>
      </c>
      <c r="L667" t="s">
        <v>873</v>
      </c>
      <c r="M667" t="s">
        <v>903</v>
      </c>
      <c r="N667" t="s">
        <v>875</v>
      </c>
      <c r="O667" s="9">
        <v>45748</v>
      </c>
      <c r="P667" t="s">
        <v>877</v>
      </c>
      <c r="Q667">
        <v>75000</v>
      </c>
      <c r="R667" t="s">
        <v>776</v>
      </c>
      <c r="S667" t="s">
        <v>731</v>
      </c>
      <c r="T667" t="s">
        <v>732</v>
      </c>
      <c r="U667" t="s">
        <v>171</v>
      </c>
      <c r="V667" t="s">
        <v>7</v>
      </c>
      <c r="W667" t="s">
        <v>29</v>
      </c>
      <c r="X667" t="s">
        <v>9</v>
      </c>
    </row>
    <row r="668" spans="1:24">
      <c r="A668" t="s">
        <v>1563</v>
      </c>
      <c r="B668" s="8">
        <v>45753</v>
      </c>
      <c r="C668" t="s">
        <v>224</v>
      </c>
      <c r="D668" t="s">
        <v>855</v>
      </c>
      <c r="E668">
        <v>3</v>
      </c>
      <c r="F668">
        <v>150000</v>
      </c>
      <c r="G668">
        <v>450000</v>
      </c>
      <c r="H668" t="s">
        <v>895</v>
      </c>
      <c r="I668">
        <v>67500</v>
      </c>
      <c r="J668">
        <v>20000</v>
      </c>
      <c r="K668">
        <v>402500</v>
      </c>
      <c r="L668" t="s">
        <v>880</v>
      </c>
      <c r="M668" t="s">
        <v>881</v>
      </c>
      <c r="N668" t="s">
        <v>875</v>
      </c>
      <c r="O668" s="9">
        <v>45748</v>
      </c>
      <c r="P668" t="s">
        <v>877</v>
      </c>
      <c r="Q668">
        <v>382500</v>
      </c>
      <c r="R668" t="s">
        <v>856</v>
      </c>
      <c r="S668" t="s">
        <v>747</v>
      </c>
      <c r="T668" t="s">
        <v>748</v>
      </c>
      <c r="U668" t="s">
        <v>225</v>
      </c>
      <c r="V668" t="s">
        <v>23</v>
      </c>
      <c r="W668" t="s">
        <v>137</v>
      </c>
      <c r="X668" t="s">
        <v>9</v>
      </c>
    </row>
    <row r="669" spans="1:24">
      <c r="A669" t="s">
        <v>1564</v>
      </c>
      <c r="B669" s="8">
        <v>45824</v>
      </c>
      <c r="C669" t="s">
        <v>182</v>
      </c>
      <c r="D669" t="s">
        <v>823</v>
      </c>
      <c r="E669">
        <v>3</v>
      </c>
      <c r="F669">
        <v>500000</v>
      </c>
      <c r="G669">
        <v>1500000</v>
      </c>
      <c r="H669" t="s">
        <v>872</v>
      </c>
      <c r="I669">
        <v>0</v>
      </c>
      <c r="J669">
        <v>20000</v>
      </c>
      <c r="K669">
        <v>1520000</v>
      </c>
      <c r="L669" t="s">
        <v>873</v>
      </c>
      <c r="M669" t="s">
        <v>874</v>
      </c>
      <c r="N669" t="s">
        <v>911</v>
      </c>
      <c r="O669" s="9">
        <v>45809</v>
      </c>
      <c r="P669" t="s">
        <v>892</v>
      </c>
      <c r="Q669">
        <v>1500000</v>
      </c>
      <c r="R669" t="s">
        <v>824</v>
      </c>
      <c r="S669" t="s">
        <v>731</v>
      </c>
      <c r="T669" t="s">
        <v>732</v>
      </c>
      <c r="U669" t="s">
        <v>183</v>
      </c>
      <c r="V669" t="s">
        <v>7</v>
      </c>
      <c r="W669" t="s">
        <v>20</v>
      </c>
      <c r="X669" t="s">
        <v>9</v>
      </c>
    </row>
    <row r="670" spans="1:24">
      <c r="A670" t="s">
        <v>1565</v>
      </c>
      <c r="B670" s="8">
        <v>45794</v>
      </c>
      <c r="C670" t="s">
        <v>420</v>
      </c>
      <c r="D670" t="s">
        <v>827</v>
      </c>
      <c r="E670">
        <v>4</v>
      </c>
      <c r="F670">
        <v>100000</v>
      </c>
      <c r="G670">
        <v>400000</v>
      </c>
      <c r="H670" t="s">
        <v>872</v>
      </c>
      <c r="I670">
        <v>0</v>
      </c>
      <c r="J670">
        <v>25000</v>
      </c>
      <c r="K670">
        <v>425000</v>
      </c>
      <c r="L670" t="s">
        <v>884</v>
      </c>
      <c r="M670" t="s">
        <v>903</v>
      </c>
      <c r="N670" t="s">
        <v>875</v>
      </c>
      <c r="O670" s="9">
        <v>45778</v>
      </c>
      <c r="P670" t="s">
        <v>877</v>
      </c>
      <c r="Q670">
        <v>400000</v>
      </c>
      <c r="R670" t="s">
        <v>828</v>
      </c>
      <c r="S670" t="s">
        <v>739</v>
      </c>
      <c r="T670" t="s">
        <v>740</v>
      </c>
      <c r="U670" t="s">
        <v>421</v>
      </c>
      <c r="V670" t="s">
        <v>7</v>
      </c>
      <c r="W670" t="s">
        <v>137</v>
      </c>
      <c r="X670" t="s">
        <v>24</v>
      </c>
    </row>
    <row r="671" spans="1:24">
      <c r="A671" t="s">
        <v>1566</v>
      </c>
      <c r="B671" s="8">
        <v>45824</v>
      </c>
      <c r="C671" t="s">
        <v>426</v>
      </c>
      <c r="D671" t="s">
        <v>729</v>
      </c>
      <c r="E671">
        <v>1</v>
      </c>
      <c r="F671">
        <v>100000</v>
      </c>
      <c r="G671">
        <v>100000</v>
      </c>
      <c r="H671" t="s">
        <v>895</v>
      </c>
      <c r="I671">
        <v>15000</v>
      </c>
      <c r="J671">
        <v>25000</v>
      </c>
      <c r="K671">
        <v>110000</v>
      </c>
      <c r="L671" t="s">
        <v>884</v>
      </c>
      <c r="M671" t="s">
        <v>874</v>
      </c>
      <c r="N671" t="s">
        <v>875</v>
      </c>
      <c r="O671" s="9">
        <v>45809</v>
      </c>
      <c r="P671" t="s">
        <v>877</v>
      </c>
      <c r="Q671">
        <v>85000</v>
      </c>
      <c r="R671" t="s">
        <v>730</v>
      </c>
      <c r="S671" t="s">
        <v>731</v>
      </c>
      <c r="T671" t="s">
        <v>732</v>
      </c>
      <c r="U671" t="s">
        <v>427</v>
      </c>
      <c r="V671" t="s">
        <v>7</v>
      </c>
      <c r="W671" t="s">
        <v>20</v>
      </c>
      <c r="X671" t="s">
        <v>9</v>
      </c>
    </row>
    <row r="672" spans="1:24">
      <c r="A672" t="s">
        <v>1567</v>
      </c>
      <c r="B672" s="8">
        <v>45745</v>
      </c>
      <c r="C672" t="s">
        <v>452</v>
      </c>
      <c r="D672" t="s">
        <v>725</v>
      </c>
      <c r="E672">
        <v>4</v>
      </c>
      <c r="F672">
        <v>300000</v>
      </c>
      <c r="G672">
        <v>1200000</v>
      </c>
      <c r="H672" t="s">
        <v>895</v>
      </c>
      <c r="I672">
        <v>180000</v>
      </c>
      <c r="J672">
        <v>15000</v>
      </c>
      <c r="K672">
        <v>1035000</v>
      </c>
      <c r="L672" t="s">
        <v>884</v>
      </c>
      <c r="M672" t="s">
        <v>901</v>
      </c>
      <c r="N672" t="s">
        <v>875</v>
      </c>
      <c r="O672" s="9">
        <v>45717</v>
      </c>
      <c r="P672" t="s">
        <v>877</v>
      </c>
      <c r="Q672">
        <v>1020000</v>
      </c>
      <c r="R672" t="s">
        <v>726</v>
      </c>
      <c r="S672" t="s">
        <v>727</v>
      </c>
      <c r="T672" t="s">
        <v>728</v>
      </c>
      <c r="U672" t="s">
        <v>453</v>
      </c>
      <c r="V672" t="s">
        <v>7</v>
      </c>
      <c r="W672" t="s">
        <v>36</v>
      </c>
      <c r="X672" t="s">
        <v>9</v>
      </c>
    </row>
    <row r="673" spans="1:24">
      <c r="A673" t="s">
        <v>1568</v>
      </c>
      <c r="B673" s="8">
        <v>45759</v>
      </c>
      <c r="C673" t="s">
        <v>310</v>
      </c>
      <c r="D673" t="s">
        <v>729</v>
      </c>
      <c r="E673">
        <v>1</v>
      </c>
      <c r="F673">
        <v>100000</v>
      </c>
      <c r="G673">
        <v>100000</v>
      </c>
      <c r="H673" t="s">
        <v>872</v>
      </c>
      <c r="I673">
        <v>0</v>
      </c>
      <c r="J673">
        <v>10000</v>
      </c>
      <c r="K673">
        <v>110000</v>
      </c>
      <c r="L673" t="s">
        <v>873</v>
      </c>
      <c r="M673" t="s">
        <v>901</v>
      </c>
      <c r="N673" t="s">
        <v>875</v>
      </c>
      <c r="O673" s="9">
        <v>45748</v>
      </c>
      <c r="P673" t="s">
        <v>877</v>
      </c>
      <c r="Q673">
        <v>100000</v>
      </c>
      <c r="R673" t="s">
        <v>730</v>
      </c>
      <c r="S673" t="s">
        <v>731</v>
      </c>
      <c r="T673" t="s">
        <v>732</v>
      </c>
      <c r="U673" t="s">
        <v>311</v>
      </c>
      <c r="V673" t="s">
        <v>7</v>
      </c>
      <c r="W673" t="s">
        <v>46</v>
      </c>
      <c r="X673" t="s">
        <v>15</v>
      </c>
    </row>
    <row r="674" spans="1:24">
      <c r="A674" t="s">
        <v>1569</v>
      </c>
      <c r="B674" s="8">
        <v>45776</v>
      </c>
      <c r="C674" t="s">
        <v>342</v>
      </c>
      <c r="D674" t="s">
        <v>745</v>
      </c>
      <c r="E674">
        <v>1</v>
      </c>
      <c r="F674">
        <v>500000</v>
      </c>
      <c r="G674">
        <v>500000</v>
      </c>
      <c r="H674" t="s">
        <v>872</v>
      </c>
      <c r="I674">
        <v>0</v>
      </c>
      <c r="J674">
        <v>15000</v>
      </c>
      <c r="K674">
        <v>515000</v>
      </c>
      <c r="L674" t="s">
        <v>873</v>
      </c>
      <c r="M674" t="s">
        <v>903</v>
      </c>
      <c r="N674" t="s">
        <v>875</v>
      </c>
      <c r="O674" s="9">
        <v>45748</v>
      </c>
      <c r="P674" t="s">
        <v>877</v>
      </c>
      <c r="Q674">
        <v>500000</v>
      </c>
      <c r="R674" t="s">
        <v>746</v>
      </c>
      <c r="S674" t="s">
        <v>747</v>
      </c>
      <c r="T674" t="s">
        <v>748</v>
      </c>
      <c r="U674" t="s">
        <v>343</v>
      </c>
      <c r="V674" t="s">
        <v>7</v>
      </c>
      <c r="W674" t="s">
        <v>137</v>
      </c>
      <c r="X674" t="s">
        <v>24</v>
      </c>
    </row>
    <row r="675" spans="1:24">
      <c r="A675" t="s">
        <v>1570</v>
      </c>
      <c r="B675" s="8">
        <v>45758</v>
      </c>
      <c r="C675" t="s">
        <v>13</v>
      </c>
      <c r="D675" t="s">
        <v>779</v>
      </c>
      <c r="E675">
        <v>3</v>
      </c>
      <c r="F675">
        <v>150000</v>
      </c>
      <c r="G675">
        <v>450000</v>
      </c>
      <c r="H675" t="s">
        <v>886</v>
      </c>
      <c r="I675">
        <v>45000</v>
      </c>
      <c r="J675">
        <v>10000</v>
      </c>
      <c r="K675">
        <v>415000</v>
      </c>
      <c r="L675" t="s">
        <v>889</v>
      </c>
      <c r="M675" t="s">
        <v>874</v>
      </c>
      <c r="N675" t="s">
        <v>921</v>
      </c>
      <c r="O675" s="9">
        <v>45748</v>
      </c>
      <c r="P675" t="s">
        <v>892</v>
      </c>
      <c r="Q675">
        <v>405000</v>
      </c>
      <c r="R675" t="s">
        <v>780</v>
      </c>
      <c r="S675" t="s">
        <v>739</v>
      </c>
      <c r="T675" t="s">
        <v>740</v>
      </c>
      <c r="U675" t="s">
        <v>14</v>
      </c>
      <c r="V675" t="s">
        <v>7</v>
      </c>
      <c r="W675" t="s">
        <v>8</v>
      </c>
      <c r="X675" t="s">
        <v>15</v>
      </c>
    </row>
    <row r="676" spans="1:24">
      <c r="A676" t="s">
        <v>1571</v>
      </c>
      <c r="B676" s="8">
        <v>45664</v>
      </c>
      <c r="C676" t="s">
        <v>556</v>
      </c>
      <c r="D676" t="s">
        <v>847</v>
      </c>
      <c r="E676">
        <v>1</v>
      </c>
      <c r="F676">
        <v>100000</v>
      </c>
      <c r="G676">
        <v>100000</v>
      </c>
      <c r="H676" t="s">
        <v>872</v>
      </c>
      <c r="I676">
        <v>0</v>
      </c>
      <c r="J676">
        <v>20000</v>
      </c>
      <c r="K676">
        <v>120000</v>
      </c>
      <c r="L676" t="s">
        <v>884</v>
      </c>
      <c r="M676" t="s">
        <v>901</v>
      </c>
      <c r="N676" t="s">
        <v>875</v>
      </c>
      <c r="O676" s="9">
        <v>45658</v>
      </c>
      <c r="P676" t="s">
        <v>877</v>
      </c>
      <c r="Q676">
        <v>100000</v>
      </c>
      <c r="R676" t="s">
        <v>848</v>
      </c>
      <c r="S676" t="s">
        <v>731</v>
      </c>
      <c r="T676" t="s">
        <v>732</v>
      </c>
      <c r="U676" t="s">
        <v>557</v>
      </c>
      <c r="V676" t="s">
        <v>23</v>
      </c>
      <c r="W676" t="s">
        <v>46</v>
      </c>
      <c r="X676" t="s">
        <v>9</v>
      </c>
    </row>
    <row r="677" spans="1:24">
      <c r="A677" t="s">
        <v>1572</v>
      </c>
      <c r="B677" s="8">
        <v>45726</v>
      </c>
      <c r="C677" t="s">
        <v>456</v>
      </c>
      <c r="D677" t="s">
        <v>761</v>
      </c>
      <c r="E677">
        <v>1</v>
      </c>
      <c r="F677">
        <v>75000</v>
      </c>
      <c r="G677">
        <v>75000</v>
      </c>
      <c r="H677" t="s">
        <v>879</v>
      </c>
      <c r="I677">
        <v>15000</v>
      </c>
      <c r="J677">
        <v>20000</v>
      </c>
      <c r="K677">
        <v>80000</v>
      </c>
      <c r="L677" t="s">
        <v>880</v>
      </c>
      <c r="M677" t="s">
        <v>874</v>
      </c>
      <c r="N677" t="s">
        <v>875</v>
      </c>
      <c r="O677" s="9">
        <v>45717</v>
      </c>
      <c r="P677" t="s">
        <v>877</v>
      </c>
      <c r="Q677">
        <v>60000</v>
      </c>
      <c r="R677" t="s">
        <v>762</v>
      </c>
      <c r="S677" t="s">
        <v>727</v>
      </c>
      <c r="T677" t="s">
        <v>728</v>
      </c>
      <c r="U677" t="s">
        <v>457</v>
      </c>
      <c r="V677" t="s">
        <v>7</v>
      </c>
      <c r="W677" t="s">
        <v>46</v>
      </c>
      <c r="X677" t="s">
        <v>9</v>
      </c>
    </row>
    <row r="678" spans="1:24">
      <c r="A678" t="s">
        <v>1573</v>
      </c>
      <c r="B678" s="8">
        <v>45725</v>
      </c>
      <c r="C678" t="s">
        <v>354</v>
      </c>
      <c r="D678" t="s">
        <v>831</v>
      </c>
      <c r="E678">
        <v>3</v>
      </c>
      <c r="F678">
        <v>300000</v>
      </c>
      <c r="G678">
        <v>900000</v>
      </c>
      <c r="H678" t="s">
        <v>895</v>
      </c>
      <c r="I678">
        <v>135000</v>
      </c>
      <c r="J678">
        <v>25000</v>
      </c>
      <c r="K678">
        <v>790000</v>
      </c>
      <c r="L678" t="s">
        <v>884</v>
      </c>
      <c r="M678" t="s">
        <v>901</v>
      </c>
      <c r="N678" t="s">
        <v>875</v>
      </c>
      <c r="O678" s="9">
        <v>45717</v>
      </c>
      <c r="P678" t="s">
        <v>877</v>
      </c>
      <c r="Q678">
        <v>765000</v>
      </c>
      <c r="R678" t="s">
        <v>832</v>
      </c>
      <c r="S678" t="s">
        <v>747</v>
      </c>
      <c r="T678" t="s">
        <v>748</v>
      </c>
      <c r="U678" t="s">
        <v>355</v>
      </c>
      <c r="V678" t="s">
        <v>23</v>
      </c>
      <c r="W678" t="s">
        <v>46</v>
      </c>
      <c r="X678" t="s">
        <v>24</v>
      </c>
    </row>
    <row r="679" spans="1:24">
      <c r="A679" t="s">
        <v>1574</v>
      </c>
      <c r="B679" s="8">
        <v>45703</v>
      </c>
      <c r="C679" t="s">
        <v>686</v>
      </c>
      <c r="D679" t="s">
        <v>761</v>
      </c>
      <c r="E679">
        <v>1</v>
      </c>
      <c r="F679">
        <v>75000</v>
      </c>
      <c r="G679">
        <v>75000</v>
      </c>
      <c r="H679" t="s">
        <v>872</v>
      </c>
      <c r="I679">
        <v>0</v>
      </c>
      <c r="J679">
        <v>10000</v>
      </c>
      <c r="K679">
        <v>85000</v>
      </c>
      <c r="L679" t="s">
        <v>889</v>
      </c>
      <c r="M679" t="s">
        <v>901</v>
      </c>
      <c r="N679" t="s">
        <v>875</v>
      </c>
      <c r="O679" s="9">
        <v>45689</v>
      </c>
      <c r="P679" t="s">
        <v>877</v>
      </c>
      <c r="Q679">
        <v>75000</v>
      </c>
      <c r="R679" t="s">
        <v>762</v>
      </c>
      <c r="S679" t="s">
        <v>727</v>
      </c>
      <c r="T679" t="s">
        <v>728</v>
      </c>
      <c r="U679" t="s">
        <v>687</v>
      </c>
      <c r="V679" t="s">
        <v>23</v>
      </c>
      <c r="W679" t="s">
        <v>29</v>
      </c>
      <c r="X679" t="s">
        <v>9</v>
      </c>
    </row>
    <row r="680" spans="1:24">
      <c r="A680" t="s">
        <v>1575</v>
      </c>
      <c r="B680" s="8">
        <v>45659</v>
      </c>
      <c r="C680" t="s">
        <v>516</v>
      </c>
      <c r="D680" t="s">
        <v>761</v>
      </c>
      <c r="E680">
        <v>2</v>
      </c>
      <c r="F680">
        <v>75000</v>
      </c>
      <c r="G680">
        <v>150000</v>
      </c>
      <c r="H680" t="s">
        <v>895</v>
      </c>
      <c r="I680">
        <v>22500</v>
      </c>
      <c r="J680">
        <v>20000</v>
      </c>
      <c r="K680">
        <v>147500</v>
      </c>
      <c r="L680" t="s">
        <v>889</v>
      </c>
      <c r="M680" t="s">
        <v>881</v>
      </c>
      <c r="N680" t="s">
        <v>875</v>
      </c>
      <c r="O680" s="9">
        <v>45658</v>
      </c>
      <c r="P680" t="s">
        <v>877</v>
      </c>
      <c r="Q680">
        <v>127500</v>
      </c>
      <c r="R680" t="s">
        <v>762</v>
      </c>
      <c r="S680" t="s">
        <v>727</v>
      </c>
      <c r="T680" t="s">
        <v>728</v>
      </c>
      <c r="U680" t="s">
        <v>517</v>
      </c>
      <c r="V680" t="s">
        <v>23</v>
      </c>
      <c r="W680" t="s">
        <v>36</v>
      </c>
      <c r="X680" t="s">
        <v>9</v>
      </c>
    </row>
    <row r="681" spans="1:24">
      <c r="A681" t="s">
        <v>1576</v>
      </c>
      <c r="B681" s="8">
        <v>45724</v>
      </c>
      <c r="C681" t="s">
        <v>472</v>
      </c>
      <c r="D681" t="s">
        <v>855</v>
      </c>
      <c r="E681">
        <v>1</v>
      </c>
      <c r="F681">
        <v>150000</v>
      </c>
      <c r="G681">
        <v>150000</v>
      </c>
      <c r="H681" t="s">
        <v>879</v>
      </c>
      <c r="I681">
        <v>30000</v>
      </c>
      <c r="J681">
        <v>10000</v>
      </c>
      <c r="K681">
        <v>130000</v>
      </c>
      <c r="L681" t="s">
        <v>880</v>
      </c>
      <c r="M681" t="s">
        <v>881</v>
      </c>
      <c r="N681" t="s">
        <v>921</v>
      </c>
      <c r="O681" s="9">
        <v>45717</v>
      </c>
      <c r="P681" t="s">
        <v>892</v>
      </c>
      <c r="Q681">
        <v>120000</v>
      </c>
      <c r="R681" t="s">
        <v>856</v>
      </c>
      <c r="S681" t="s">
        <v>747</v>
      </c>
      <c r="T681" t="s">
        <v>748</v>
      </c>
      <c r="U681" t="s">
        <v>473</v>
      </c>
      <c r="V681" t="s">
        <v>7</v>
      </c>
      <c r="W681" t="s">
        <v>137</v>
      </c>
      <c r="X681" t="s">
        <v>9</v>
      </c>
    </row>
    <row r="682" spans="1:24">
      <c r="A682" t="s">
        <v>1577</v>
      </c>
      <c r="B682" s="8">
        <v>45714</v>
      </c>
      <c r="C682" t="s">
        <v>380</v>
      </c>
      <c r="D682" t="s">
        <v>825</v>
      </c>
      <c r="E682">
        <v>2</v>
      </c>
      <c r="F682">
        <v>100000</v>
      </c>
      <c r="G682">
        <v>200000</v>
      </c>
      <c r="H682" t="s">
        <v>895</v>
      </c>
      <c r="I682">
        <v>30000</v>
      </c>
      <c r="J682">
        <v>30000</v>
      </c>
      <c r="K682">
        <v>200000</v>
      </c>
      <c r="L682" t="s">
        <v>884</v>
      </c>
      <c r="M682" t="s">
        <v>901</v>
      </c>
      <c r="N682" t="s">
        <v>875</v>
      </c>
      <c r="O682" s="9">
        <v>45689</v>
      </c>
      <c r="P682" t="s">
        <v>877</v>
      </c>
      <c r="Q682">
        <v>170000</v>
      </c>
      <c r="R682" t="s">
        <v>826</v>
      </c>
      <c r="S682" t="s">
        <v>735</v>
      </c>
      <c r="T682" t="s">
        <v>736</v>
      </c>
      <c r="U682" t="s">
        <v>381</v>
      </c>
      <c r="V682" t="s">
        <v>23</v>
      </c>
      <c r="W682" t="s">
        <v>39</v>
      </c>
      <c r="X682" t="s">
        <v>9</v>
      </c>
    </row>
    <row r="683" spans="1:24">
      <c r="A683" t="s">
        <v>1578</v>
      </c>
      <c r="B683" s="8">
        <v>45692</v>
      </c>
      <c r="C683" t="s">
        <v>536</v>
      </c>
      <c r="D683" t="s">
        <v>847</v>
      </c>
      <c r="E683">
        <v>2</v>
      </c>
      <c r="F683">
        <v>100000</v>
      </c>
      <c r="G683">
        <v>200000</v>
      </c>
      <c r="H683" t="s">
        <v>886</v>
      </c>
      <c r="I683">
        <v>20000</v>
      </c>
      <c r="J683">
        <v>15000</v>
      </c>
      <c r="K683">
        <v>195000</v>
      </c>
      <c r="L683" t="s">
        <v>873</v>
      </c>
      <c r="M683" t="s">
        <v>901</v>
      </c>
      <c r="N683" t="s">
        <v>875</v>
      </c>
      <c r="O683" s="9">
        <v>45689</v>
      </c>
      <c r="P683" t="s">
        <v>877</v>
      </c>
      <c r="Q683">
        <v>180000</v>
      </c>
      <c r="R683" t="s">
        <v>848</v>
      </c>
      <c r="S683" t="s">
        <v>731</v>
      </c>
      <c r="T683" t="s">
        <v>732</v>
      </c>
      <c r="U683" t="s">
        <v>537</v>
      </c>
      <c r="V683" t="s">
        <v>7</v>
      </c>
      <c r="W683" t="s">
        <v>36</v>
      </c>
      <c r="X683" t="s">
        <v>9</v>
      </c>
    </row>
    <row r="684" spans="1:24">
      <c r="A684" t="s">
        <v>1579</v>
      </c>
      <c r="B684" s="8">
        <v>45773</v>
      </c>
      <c r="C684" t="s">
        <v>342</v>
      </c>
      <c r="D684" t="s">
        <v>733</v>
      </c>
      <c r="E684">
        <v>4</v>
      </c>
      <c r="F684">
        <v>150000</v>
      </c>
      <c r="G684">
        <v>600000</v>
      </c>
      <c r="H684" t="s">
        <v>879</v>
      </c>
      <c r="I684">
        <v>120000</v>
      </c>
      <c r="J684">
        <v>25000</v>
      </c>
      <c r="K684">
        <v>505000</v>
      </c>
      <c r="L684" t="s">
        <v>884</v>
      </c>
      <c r="M684" t="s">
        <v>903</v>
      </c>
      <c r="N684" t="s">
        <v>875</v>
      </c>
      <c r="O684" s="9">
        <v>45748</v>
      </c>
      <c r="P684" t="s">
        <v>877</v>
      </c>
      <c r="Q684">
        <v>480000</v>
      </c>
      <c r="R684" t="s">
        <v>734</v>
      </c>
      <c r="S684" t="s">
        <v>735</v>
      </c>
      <c r="T684" t="s">
        <v>736</v>
      </c>
      <c r="U684" t="s">
        <v>343</v>
      </c>
      <c r="V684" t="s">
        <v>7</v>
      </c>
      <c r="W684" t="s">
        <v>137</v>
      </c>
      <c r="X684" t="s">
        <v>24</v>
      </c>
    </row>
    <row r="685" spans="1:24">
      <c r="A685" t="s">
        <v>1580</v>
      </c>
      <c r="B685" s="8">
        <v>45835</v>
      </c>
      <c r="C685" t="s">
        <v>416</v>
      </c>
      <c r="D685" t="s">
        <v>813</v>
      </c>
      <c r="E685">
        <v>1</v>
      </c>
      <c r="F685">
        <v>35000</v>
      </c>
      <c r="G685">
        <v>35000</v>
      </c>
      <c r="H685" t="s">
        <v>872</v>
      </c>
      <c r="I685">
        <v>0</v>
      </c>
      <c r="J685">
        <v>15000</v>
      </c>
      <c r="K685">
        <v>50000</v>
      </c>
      <c r="L685" t="s">
        <v>889</v>
      </c>
      <c r="M685" t="s">
        <v>881</v>
      </c>
      <c r="N685" t="s">
        <v>875</v>
      </c>
      <c r="O685" s="9">
        <v>45809</v>
      </c>
      <c r="P685" t="s">
        <v>877</v>
      </c>
      <c r="Q685">
        <v>35000</v>
      </c>
      <c r="R685" t="s">
        <v>814</v>
      </c>
      <c r="S685" t="s">
        <v>735</v>
      </c>
      <c r="T685" t="s">
        <v>736</v>
      </c>
      <c r="U685" t="s">
        <v>417</v>
      </c>
      <c r="V685" t="s">
        <v>23</v>
      </c>
      <c r="W685" t="s">
        <v>39</v>
      </c>
      <c r="X685" t="s">
        <v>15</v>
      </c>
    </row>
    <row r="686" spans="1:24">
      <c r="A686" t="s">
        <v>1581</v>
      </c>
      <c r="B686" s="8">
        <v>45741</v>
      </c>
      <c r="C686" t="s">
        <v>196</v>
      </c>
      <c r="D686" t="s">
        <v>765</v>
      </c>
      <c r="E686">
        <v>2</v>
      </c>
      <c r="F686">
        <v>500000</v>
      </c>
      <c r="G686">
        <v>1000000</v>
      </c>
      <c r="H686" t="s">
        <v>886</v>
      </c>
      <c r="I686">
        <v>100000</v>
      </c>
      <c r="J686">
        <v>15000</v>
      </c>
      <c r="K686">
        <v>915000</v>
      </c>
      <c r="L686" t="s">
        <v>884</v>
      </c>
      <c r="M686" t="s">
        <v>901</v>
      </c>
      <c r="N686" t="s">
        <v>875</v>
      </c>
      <c r="O686" s="9">
        <v>45717</v>
      </c>
      <c r="P686" t="s">
        <v>877</v>
      </c>
      <c r="Q686">
        <v>900000</v>
      </c>
      <c r="R686" t="s">
        <v>766</v>
      </c>
      <c r="S686" t="s">
        <v>735</v>
      </c>
      <c r="T686" t="s">
        <v>736</v>
      </c>
      <c r="U686" t="s">
        <v>197</v>
      </c>
      <c r="V686" t="s">
        <v>7</v>
      </c>
      <c r="W686" t="s">
        <v>36</v>
      </c>
      <c r="X686" t="s">
        <v>15</v>
      </c>
    </row>
    <row r="687" spans="1:24">
      <c r="A687" t="s">
        <v>1582</v>
      </c>
      <c r="B687" s="8">
        <v>45790</v>
      </c>
      <c r="C687" t="s">
        <v>566</v>
      </c>
      <c r="D687" t="s">
        <v>811</v>
      </c>
      <c r="E687">
        <v>3</v>
      </c>
      <c r="F687">
        <v>35000</v>
      </c>
      <c r="G687">
        <v>105000</v>
      </c>
      <c r="H687" t="s">
        <v>872</v>
      </c>
      <c r="I687">
        <v>0</v>
      </c>
      <c r="J687">
        <v>15000</v>
      </c>
      <c r="K687">
        <v>120000</v>
      </c>
      <c r="L687" t="s">
        <v>884</v>
      </c>
      <c r="M687" t="s">
        <v>881</v>
      </c>
      <c r="N687" t="s">
        <v>875</v>
      </c>
      <c r="O687" s="9">
        <v>45778</v>
      </c>
      <c r="P687" t="s">
        <v>877</v>
      </c>
      <c r="Q687">
        <v>105000</v>
      </c>
      <c r="R687" t="s">
        <v>812</v>
      </c>
      <c r="S687" t="s">
        <v>731</v>
      </c>
      <c r="T687" t="s">
        <v>732</v>
      </c>
      <c r="U687" t="s">
        <v>567</v>
      </c>
      <c r="V687" t="s">
        <v>7</v>
      </c>
      <c r="W687" t="s">
        <v>137</v>
      </c>
      <c r="X687" t="s">
        <v>24</v>
      </c>
    </row>
    <row r="688" spans="1:24">
      <c r="A688" t="s">
        <v>1583</v>
      </c>
      <c r="B688" s="8">
        <v>45780</v>
      </c>
      <c r="C688" t="s">
        <v>370</v>
      </c>
      <c r="D688" t="s">
        <v>823</v>
      </c>
      <c r="E688">
        <v>1</v>
      </c>
      <c r="F688">
        <v>500000</v>
      </c>
      <c r="G688">
        <v>500000</v>
      </c>
      <c r="H688" t="s">
        <v>872</v>
      </c>
      <c r="I688">
        <v>0</v>
      </c>
      <c r="J688">
        <v>25000</v>
      </c>
      <c r="K688">
        <v>525000</v>
      </c>
      <c r="L688" t="s">
        <v>889</v>
      </c>
      <c r="M688" t="s">
        <v>903</v>
      </c>
      <c r="N688" t="s">
        <v>875</v>
      </c>
      <c r="O688" s="9">
        <v>45778</v>
      </c>
      <c r="P688" t="s">
        <v>877</v>
      </c>
      <c r="Q688">
        <v>500000</v>
      </c>
      <c r="R688" t="s">
        <v>824</v>
      </c>
      <c r="S688" t="s">
        <v>731</v>
      </c>
      <c r="T688" t="s">
        <v>732</v>
      </c>
      <c r="U688" t="s">
        <v>371</v>
      </c>
      <c r="V688" t="s">
        <v>23</v>
      </c>
      <c r="W688" t="s">
        <v>36</v>
      </c>
      <c r="X688" t="s">
        <v>15</v>
      </c>
    </row>
    <row r="689" spans="1:24">
      <c r="A689" t="s">
        <v>1584</v>
      </c>
      <c r="B689" s="8">
        <v>45659</v>
      </c>
      <c r="C689" t="s">
        <v>718</v>
      </c>
      <c r="D689" t="s">
        <v>761</v>
      </c>
      <c r="E689">
        <v>1</v>
      </c>
      <c r="F689">
        <v>75000</v>
      </c>
      <c r="G689">
        <v>75000</v>
      </c>
      <c r="H689" t="s">
        <v>883</v>
      </c>
      <c r="I689">
        <v>7500</v>
      </c>
      <c r="J689">
        <v>30000</v>
      </c>
      <c r="K689">
        <v>97500</v>
      </c>
      <c r="L689" t="s">
        <v>880</v>
      </c>
      <c r="M689" t="s">
        <v>874</v>
      </c>
      <c r="N689" t="s">
        <v>875</v>
      </c>
      <c r="O689" s="9">
        <v>45658</v>
      </c>
      <c r="P689" t="s">
        <v>877</v>
      </c>
      <c r="Q689">
        <v>67500</v>
      </c>
      <c r="R689" t="s">
        <v>762</v>
      </c>
      <c r="S689" t="s">
        <v>727</v>
      </c>
      <c r="T689" t="s">
        <v>728</v>
      </c>
      <c r="U689" t="s">
        <v>719</v>
      </c>
      <c r="V689" t="s">
        <v>23</v>
      </c>
      <c r="W689" t="s">
        <v>56</v>
      </c>
      <c r="X689" t="s">
        <v>9</v>
      </c>
    </row>
    <row r="690" spans="1:24">
      <c r="A690" t="s">
        <v>1585</v>
      </c>
      <c r="B690" s="8">
        <v>45805</v>
      </c>
      <c r="C690" t="s">
        <v>578</v>
      </c>
      <c r="D690" t="s">
        <v>789</v>
      </c>
      <c r="E690">
        <v>3</v>
      </c>
      <c r="F690">
        <v>200000</v>
      </c>
      <c r="G690">
        <v>600000</v>
      </c>
      <c r="H690" t="s">
        <v>872</v>
      </c>
      <c r="I690">
        <v>0</v>
      </c>
      <c r="J690">
        <v>30000</v>
      </c>
      <c r="K690">
        <v>630000</v>
      </c>
      <c r="L690" t="s">
        <v>889</v>
      </c>
      <c r="M690" t="s">
        <v>874</v>
      </c>
      <c r="N690" t="s">
        <v>875</v>
      </c>
      <c r="O690" s="9">
        <v>45778</v>
      </c>
      <c r="P690" t="s">
        <v>877</v>
      </c>
      <c r="Q690">
        <v>600000</v>
      </c>
      <c r="R690" t="s">
        <v>790</v>
      </c>
      <c r="S690" t="s">
        <v>735</v>
      </c>
      <c r="T690" t="s">
        <v>736</v>
      </c>
      <c r="U690" t="s">
        <v>579</v>
      </c>
      <c r="V690" t="s">
        <v>23</v>
      </c>
      <c r="W690" t="s">
        <v>56</v>
      </c>
      <c r="X690" t="s">
        <v>24</v>
      </c>
    </row>
    <row r="691" spans="1:24">
      <c r="A691" t="s">
        <v>1586</v>
      </c>
      <c r="B691" s="8">
        <v>45695</v>
      </c>
      <c r="C691" t="s">
        <v>470</v>
      </c>
      <c r="D691" t="s">
        <v>841</v>
      </c>
      <c r="E691">
        <v>4</v>
      </c>
      <c r="F691">
        <v>75000</v>
      </c>
      <c r="G691">
        <v>300000</v>
      </c>
      <c r="H691" t="s">
        <v>895</v>
      </c>
      <c r="I691">
        <v>45000</v>
      </c>
      <c r="J691">
        <v>30000</v>
      </c>
      <c r="K691">
        <v>285000</v>
      </c>
      <c r="L691" t="s">
        <v>884</v>
      </c>
      <c r="M691" t="s">
        <v>881</v>
      </c>
      <c r="N691" t="s">
        <v>875</v>
      </c>
      <c r="O691" s="9">
        <v>45689</v>
      </c>
      <c r="P691" t="s">
        <v>877</v>
      </c>
      <c r="Q691">
        <v>255000</v>
      </c>
      <c r="R691" t="s">
        <v>842</v>
      </c>
      <c r="S691" t="s">
        <v>743</v>
      </c>
      <c r="T691" t="s">
        <v>744</v>
      </c>
      <c r="U691" t="s">
        <v>471</v>
      </c>
      <c r="V691" t="s">
        <v>7</v>
      </c>
      <c r="W691" t="s">
        <v>36</v>
      </c>
      <c r="X691" t="s">
        <v>24</v>
      </c>
    </row>
    <row r="692" spans="1:24">
      <c r="A692" t="s">
        <v>1587</v>
      </c>
      <c r="B692" s="8">
        <v>45782</v>
      </c>
      <c r="C692" t="s">
        <v>376</v>
      </c>
      <c r="D692" t="s">
        <v>813</v>
      </c>
      <c r="E692">
        <v>2</v>
      </c>
      <c r="F692">
        <v>35000</v>
      </c>
      <c r="G692">
        <v>70000</v>
      </c>
      <c r="H692" t="s">
        <v>879</v>
      </c>
      <c r="I692">
        <v>14000</v>
      </c>
      <c r="J692">
        <v>10000</v>
      </c>
      <c r="K692">
        <v>66000</v>
      </c>
      <c r="L692" t="s">
        <v>873</v>
      </c>
      <c r="M692" t="s">
        <v>901</v>
      </c>
      <c r="N692" t="s">
        <v>875</v>
      </c>
      <c r="O692" s="9">
        <v>45778</v>
      </c>
      <c r="P692" t="s">
        <v>877</v>
      </c>
      <c r="Q692">
        <v>56000</v>
      </c>
      <c r="R692" t="s">
        <v>814</v>
      </c>
      <c r="S692" t="s">
        <v>735</v>
      </c>
      <c r="T692" t="s">
        <v>736</v>
      </c>
      <c r="U692" t="s">
        <v>377</v>
      </c>
      <c r="V692" t="s">
        <v>7</v>
      </c>
      <c r="W692" t="s">
        <v>8</v>
      </c>
      <c r="X692" t="s">
        <v>9</v>
      </c>
    </row>
    <row r="693" spans="1:24">
      <c r="A693" t="s">
        <v>1588</v>
      </c>
      <c r="B693" s="8">
        <v>45759</v>
      </c>
      <c r="C693" t="s">
        <v>424</v>
      </c>
      <c r="D693" t="s">
        <v>789</v>
      </c>
      <c r="E693">
        <v>1</v>
      </c>
      <c r="F693">
        <v>200000</v>
      </c>
      <c r="G693">
        <v>200000</v>
      </c>
      <c r="H693" t="s">
        <v>872</v>
      </c>
      <c r="I693">
        <v>0</v>
      </c>
      <c r="J693">
        <v>25000</v>
      </c>
      <c r="K693">
        <v>225000</v>
      </c>
      <c r="L693" t="s">
        <v>880</v>
      </c>
      <c r="M693" t="s">
        <v>903</v>
      </c>
      <c r="N693" t="s">
        <v>905</v>
      </c>
      <c r="O693" s="9">
        <v>45748</v>
      </c>
      <c r="P693" t="s">
        <v>892</v>
      </c>
      <c r="Q693">
        <v>200000</v>
      </c>
      <c r="R693" t="s">
        <v>790</v>
      </c>
      <c r="S693" t="s">
        <v>735</v>
      </c>
      <c r="T693" t="s">
        <v>736</v>
      </c>
      <c r="U693" t="s">
        <v>425</v>
      </c>
      <c r="V693" t="s">
        <v>7</v>
      </c>
      <c r="W693" t="s">
        <v>8</v>
      </c>
      <c r="X693" t="s">
        <v>24</v>
      </c>
    </row>
    <row r="694" spans="1:24">
      <c r="A694" t="s">
        <v>1589</v>
      </c>
      <c r="B694" s="8">
        <v>45768</v>
      </c>
      <c r="C694" t="s">
        <v>694</v>
      </c>
      <c r="D694" t="s">
        <v>853</v>
      </c>
      <c r="E694">
        <v>1</v>
      </c>
      <c r="F694">
        <v>75000</v>
      </c>
      <c r="G694">
        <v>75000</v>
      </c>
      <c r="H694" t="s">
        <v>879</v>
      </c>
      <c r="I694">
        <v>15000</v>
      </c>
      <c r="J694">
        <v>10000</v>
      </c>
      <c r="K694">
        <v>70000</v>
      </c>
      <c r="L694" t="s">
        <v>884</v>
      </c>
      <c r="M694" t="s">
        <v>874</v>
      </c>
      <c r="N694" t="s">
        <v>875</v>
      </c>
      <c r="O694" s="9">
        <v>45748</v>
      </c>
      <c r="P694" t="s">
        <v>877</v>
      </c>
      <c r="Q694">
        <v>60000</v>
      </c>
      <c r="R694" t="s">
        <v>854</v>
      </c>
      <c r="S694" t="s">
        <v>743</v>
      </c>
      <c r="T694" t="s">
        <v>744</v>
      </c>
      <c r="U694" t="s">
        <v>695</v>
      </c>
      <c r="V694" t="s">
        <v>23</v>
      </c>
      <c r="W694" t="s">
        <v>8</v>
      </c>
      <c r="X694" t="s">
        <v>9</v>
      </c>
    </row>
    <row r="695" spans="1:24">
      <c r="A695" t="s">
        <v>1590</v>
      </c>
      <c r="B695" s="8">
        <v>45700</v>
      </c>
      <c r="C695" t="s">
        <v>186</v>
      </c>
      <c r="D695" t="s">
        <v>733</v>
      </c>
      <c r="E695">
        <v>4</v>
      </c>
      <c r="F695">
        <v>150000</v>
      </c>
      <c r="G695">
        <v>600000</v>
      </c>
      <c r="H695" t="s">
        <v>886</v>
      </c>
      <c r="I695">
        <v>60000</v>
      </c>
      <c r="J695">
        <v>15000</v>
      </c>
      <c r="K695">
        <v>555000</v>
      </c>
      <c r="L695" t="s">
        <v>880</v>
      </c>
      <c r="M695" t="s">
        <v>874</v>
      </c>
      <c r="N695" t="s">
        <v>875</v>
      </c>
      <c r="O695" s="9">
        <v>45689</v>
      </c>
      <c r="P695" t="s">
        <v>877</v>
      </c>
      <c r="Q695">
        <v>540000</v>
      </c>
      <c r="R695" t="s">
        <v>734</v>
      </c>
      <c r="S695" t="s">
        <v>735</v>
      </c>
      <c r="T695" t="s">
        <v>736</v>
      </c>
      <c r="U695" t="s">
        <v>187</v>
      </c>
      <c r="V695" t="s">
        <v>23</v>
      </c>
      <c r="W695" t="s">
        <v>51</v>
      </c>
      <c r="X695" t="s">
        <v>9</v>
      </c>
    </row>
    <row r="696" spans="1:24">
      <c r="A696" t="s">
        <v>1591</v>
      </c>
      <c r="B696" s="8">
        <v>45726</v>
      </c>
      <c r="C696" t="s">
        <v>548</v>
      </c>
      <c r="D696" t="s">
        <v>729</v>
      </c>
      <c r="E696">
        <v>1</v>
      </c>
      <c r="F696">
        <v>100000</v>
      </c>
      <c r="G696">
        <v>100000</v>
      </c>
      <c r="H696" t="s">
        <v>872</v>
      </c>
      <c r="I696">
        <v>0</v>
      </c>
      <c r="J696">
        <v>25000</v>
      </c>
      <c r="K696">
        <v>125000</v>
      </c>
      <c r="L696" t="s">
        <v>880</v>
      </c>
      <c r="M696" t="s">
        <v>903</v>
      </c>
      <c r="N696" t="s">
        <v>875</v>
      </c>
      <c r="O696" s="9">
        <v>45717</v>
      </c>
      <c r="P696" t="s">
        <v>877</v>
      </c>
      <c r="Q696">
        <v>100000</v>
      </c>
      <c r="R696" t="s">
        <v>730</v>
      </c>
      <c r="S696" t="s">
        <v>731</v>
      </c>
      <c r="T696" t="s">
        <v>732</v>
      </c>
      <c r="U696" t="s">
        <v>549</v>
      </c>
      <c r="V696" t="s">
        <v>23</v>
      </c>
      <c r="W696" t="s">
        <v>12</v>
      </c>
      <c r="X696" t="s">
        <v>9</v>
      </c>
    </row>
    <row r="697" spans="1:24">
      <c r="A697" t="s">
        <v>1592</v>
      </c>
      <c r="B697" s="8">
        <v>45742</v>
      </c>
      <c r="C697" t="s">
        <v>115</v>
      </c>
      <c r="D697" t="s">
        <v>829</v>
      </c>
      <c r="E697">
        <v>3</v>
      </c>
      <c r="F697">
        <v>500000</v>
      </c>
      <c r="G697">
        <v>1500000</v>
      </c>
      <c r="H697" t="s">
        <v>872</v>
      </c>
      <c r="I697">
        <v>0</v>
      </c>
      <c r="J697">
        <v>30000</v>
      </c>
      <c r="K697">
        <v>1530000</v>
      </c>
      <c r="L697" t="s">
        <v>880</v>
      </c>
      <c r="M697" t="s">
        <v>901</v>
      </c>
      <c r="N697" t="s">
        <v>911</v>
      </c>
      <c r="O697" s="9">
        <v>45717</v>
      </c>
      <c r="P697" t="s">
        <v>892</v>
      </c>
      <c r="Q697">
        <v>1500000</v>
      </c>
      <c r="R697" t="s">
        <v>830</v>
      </c>
      <c r="S697" t="s">
        <v>743</v>
      </c>
      <c r="T697" t="s">
        <v>744</v>
      </c>
      <c r="U697" t="s">
        <v>116</v>
      </c>
      <c r="V697" t="s">
        <v>23</v>
      </c>
      <c r="W697" t="s">
        <v>46</v>
      </c>
      <c r="X697" t="s">
        <v>24</v>
      </c>
    </row>
    <row r="698" spans="1:24">
      <c r="A698" t="s">
        <v>1593</v>
      </c>
      <c r="B698" s="8">
        <v>45747</v>
      </c>
      <c r="C698" t="s">
        <v>478</v>
      </c>
      <c r="D698" t="s">
        <v>823</v>
      </c>
      <c r="E698">
        <v>1</v>
      </c>
      <c r="F698">
        <v>500000</v>
      </c>
      <c r="G698">
        <v>500000</v>
      </c>
      <c r="H698" t="s">
        <v>872</v>
      </c>
      <c r="I698">
        <v>0</v>
      </c>
      <c r="J698">
        <v>30000</v>
      </c>
      <c r="K698">
        <v>530000</v>
      </c>
      <c r="L698" t="s">
        <v>889</v>
      </c>
      <c r="M698" t="s">
        <v>881</v>
      </c>
      <c r="N698" t="s">
        <v>875</v>
      </c>
      <c r="O698" s="9">
        <v>45717</v>
      </c>
      <c r="P698" t="s">
        <v>877</v>
      </c>
      <c r="Q698">
        <v>500000</v>
      </c>
      <c r="R698" t="s">
        <v>824</v>
      </c>
      <c r="S698" t="s">
        <v>731</v>
      </c>
      <c r="T698" t="s">
        <v>732</v>
      </c>
      <c r="U698" t="s">
        <v>479</v>
      </c>
      <c r="V698" t="s">
        <v>23</v>
      </c>
      <c r="W698" t="s">
        <v>51</v>
      </c>
      <c r="X698" t="s">
        <v>15</v>
      </c>
    </row>
    <row r="699" spans="1:24">
      <c r="A699" t="s">
        <v>1594</v>
      </c>
      <c r="B699" s="8">
        <v>45660</v>
      </c>
      <c r="C699" t="s">
        <v>111</v>
      </c>
      <c r="D699" t="s">
        <v>797</v>
      </c>
      <c r="E699">
        <v>2</v>
      </c>
      <c r="F699">
        <v>150000</v>
      </c>
      <c r="G699">
        <v>300000</v>
      </c>
      <c r="H699" t="s">
        <v>883</v>
      </c>
      <c r="I699">
        <v>30000</v>
      </c>
      <c r="J699">
        <v>20000</v>
      </c>
      <c r="K699">
        <v>290000</v>
      </c>
      <c r="L699" t="s">
        <v>884</v>
      </c>
      <c r="M699" t="s">
        <v>901</v>
      </c>
      <c r="N699" t="s">
        <v>875</v>
      </c>
      <c r="O699" s="9">
        <v>45658</v>
      </c>
      <c r="P699" t="s">
        <v>877</v>
      </c>
      <c r="Q699">
        <v>270000</v>
      </c>
      <c r="R699" t="s">
        <v>798</v>
      </c>
      <c r="S699" t="s">
        <v>727</v>
      </c>
      <c r="T699" t="s">
        <v>728</v>
      </c>
      <c r="U699" t="s">
        <v>112</v>
      </c>
      <c r="V699" t="s">
        <v>23</v>
      </c>
      <c r="W699" t="s">
        <v>51</v>
      </c>
      <c r="X699" t="s">
        <v>15</v>
      </c>
    </row>
    <row r="700" spans="1:24">
      <c r="A700" t="s">
        <v>1595</v>
      </c>
      <c r="B700" s="8">
        <v>45823</v>
      </c>
      <c r="C700" t="s">
        <v>198</v>
      </c>
      <c r="D700" t="s">
        <v>851</v>
      </c>
      <c r="E700">
        <v>3</v>
      </c>
      <c r="F700">
        <v>35000</v>
      </c>
      <c r="G700">
        <v>105000</v>
      </c>
      <c r="H700" t="s">
        <v>872</v>
      </c>
      <c r="I700">
        <v>0</v>
      </c>
      <c r="J700">
        <v>10000</v>
      </c>
      <c r="K700">
        <v>115000</v>
      </c>
      <c r="L700" t="s">
        <v>880</v>
      </c>
      <c r="M700" t="s">
        <v>881</v>
      </c>
      <c r="N700" t="s">
        <v>875</v>
      </c>
      <c r="O700" s="9">
        <v>45809</v>
      </c>
      <c r="P700" t="s">
        <v>877</v>
      </c>
      <c r="Q700">
        <v>105000</v>
      </c>
      <c r="R700" t="s">
        <v>852</v>
      </c>
      <c r="S700" t="s">
        <v>739</v>
      </c>
      <c r="T700" t="s">
        <v>740</v>
      </c>
      <c r="U700" t="s">
        <v>199</v>
      </c>
      <c r="V700" t="s">
        <v>23</v>
      </c>
      <c r="W700" t="s">
        <v>39</v>
      </c>
      <c r="X700" t="s">
        <v>15</v>
      </c>
    </row>
    <row r="701" spans="1:24">
      <c r="A701" t="s">
        <v>1596</v>
      </c>
      <c r="B701" s="8">
        <v>45774</v>
      </c>
      <c r="C701" t="s">
        <v>416</v>
      </c>
      <c r="D701" t="s">
        <v>811</v>
      </c>
      <c r="E701">
        <v>2</v>
      </c>
      <c r="F701">
        <v>35000</v>
      </c>
      <c r="G701">
        <v>70000</v>
      </c>
      <c r="H701" t="s">
        <v>895</v>
      </c>
      <c r="I701">
        <v>10500</v>
      </c>
      <c r="J701">
        <v>25000</v>
      </c>
      <c r="K701">
        <v>84500</v>
      </c>
      <c r="L701" t="s">
        <v>873</v>
      </c>
      <c r="M701" t="s">
        <v>901</v>
      </c>
      <c r="N701" t="s">
        <v>875</v>
      </c>
      <c r="O701" s="9">
        <v>45748</v>
      </c>
      <c r="P701" t="s">
        <v>877</v>
      </c>
      <c r="Q701">
        <v>59500</v>
      </c>
      <c r="R701" t="s">
        <v>812</v>
      </c>
      <c r="S701" t="s">
        <v>731</v>
      </c>
      <c r="T701" t="s">
        <v>732</v>
      </c>
      <c r="U701" t="s">
        <v>417</v>
      </c>
      <c r="V701" t="s">
        <v>23</v>
      </c>
      <c r="W701" t="s">
        <v>39</v>
      </c>
      <c r="X701" t="s">
        <v>15</v>
      </c>
    </row>
    <row r="702" spans="1:24">
      <c r="A702" t="s">
        <v>1597</v>
      </c>
      <c r="B702" s="8">
        <v>45665</v>
      </c>
      <c r="C702" t="s">
        <v>133</v>
      </c>
      <c r="D702" t="s">
        <v>827</v>
      </c>
      <c r="E702">
        <v>4</v>
      </c>
      <c r="F702">
        <v>100000</v>
      </c>
      <c r="G702">
        <v>400000</v>
      </c>
      <c r="H702" t="s">
        <v>872</v>
      </c>
      <c r="I702">
        <v>0</v>
      </c>
      <c r="J702">
        <v>15000</v>
      </c>
      <c r="K702">
        <v>415000</v>
      </c>
      <c r="L702" t="s">
        <v>884</v>
      </c>
      <c r="M702" t="s">
        <v>901</v>
      </c>
      <c r="N702" t="s">
        <v>875</v>
      </c>
      <c r="O702" s="9">
        <v>45658</v>
      </c>
      <c r="P702" t="s">
        <v>877</v>
      </c>
      <c r="Q702">
        <v>400000</v>
      </c>
      <c r="R702" t="s">
        <v>828</v>
      </c>
      <c r="S702" t="s">
        <v>739</v>
      </c>
      <c r="T702" t="s">
        <v>740</v>
      </c>
      <c r="U702" t="s">
        <v>134</v>
      </c>
      <c r="V702" t="s">
        <v>23</v>
      </c>
      <c r="W702" t="s">
        <v>12</v>
      </c>
      <c r="X702" t="s">
        <v>24</v>
      </c>
    </row>
    <row r="703" spans="1:24">
      <c r="A703" t="s">
        <v>1598</v>
      </c>
      <c r="B703" s="8">
        <v>45795</v>
      </c>
      <c r="C703" t="s">
        <v>588</v>
      </c>
      <c r="D703" t="s">
        <v>843</v>
      </c>
      <c r="E703">
        <v>2</v>
      </c>
      <c r="F703">
        <v>100000</v>
      </c>
      <c r="G703">
        <v>200000</v>
      </c>
      <c r="H703" t="s">
        <v>879</v>
      </c>
      <c r="I703">
        <v>40000</v>
      </c>
      <c r="J703">
        <v>10000</v>
      </c>
      <c r="K703">
        <v>170000</v>
      </c>
      <c r="L703" t="s">
        <v>889</v>
      </c>
      <c r="M703" t="s">
        <v>903</v>
      </c>
      <c r="N703" t="s">
        <v>875</v>
      </c>
      <c r="O703" s="9">
        <v>45778</v>
      </c>
      <c r="P703" t="s">
        <v>877</v>
      </c>
      <c r="Q703">
        <v>160000</v>
      </c>
      <c r="R703" t="s">
        <v>844</v>
      </c>
      <c r="S703" t="s">
        <v>747</v>
      </c>
      <c r="T703" t="s">
        <v>748</v>
      </c>
      <c r="U703" t="s">
        <v>589</v>
      </c>
      <c r="V703" t="s">
        <v>7</v>
      </c>
      <c r="W703" t="s">
        <v>39</v>
      </c>
      <c r="X703" t="s">
        <v>9</v>
      </c>
    </row>
    <row r="704" spans="1:24">
      <c r="A704" t="s">
        <v>1599</v>
      </c>
      <c r="B704" s="8">
        <v>45750</v>
      </c>
      <c r="C704" t="s">
        <v>690</v>
      </c>
      <c r="D704" t="s">
        <v>811</v>
      </c>
      <c r="E704">
        <v>2</v>
      </c>
      <c r="F704">
        <v>35000</v>
      </c>
      <c r="G704">
        <v>70000</v>
      </c>
      <c r="H704" t="s">
        <v>872</v>
      </c>
      <c r="I704">
        <v>0</v>
      </c>
      <c r="J704">
        <v>10000</v>
      </c>
      <c r="K704">
        <v>80000</v>
      </c>
      <c r="L704" t="s">
        <v>889</v>
      </c>
      <c r="M704" t="s">
        <v>901</v>
      </c>
      <c r="N704" t="s">
        <v>875</v>
      </c>
      <c r="O704" s="9">
        <v>45748</v>
      </c>
      <c r="P704" t="s">
        <v>877</v>
      </c>
      <c r="Q704">
        <v>70000</v>
      </c>
      <c r="R704" t="s">
        <v>812</v>
      </c>
      <c r="S704" t="s">
        <v>731</v>
      </c>
      <c r="T704" t="s">
        <v>732</v>
      </c>
      <c r="U704" t="s">
        <v>691</v>
      </c>
      <c r="V704" t="s">
        <v>23</v>
      </c>
      <c r="W704" t="s">
        <v>46</v>
      </c>
      <c r="X704" t="s">
        <v>9</v>
      </c>
    </row>
    <row r="705" spans="1:24">
      <c r="A705" t="s">
        <v>1600</v>
      </c>
      <c r="B705" s="8">
        <v>45748</v>
      </c>
      <c r="C705" t="s">
        <v>450</v>
      </c>
      <c r="D705" t="s">
        <v>761</v>
      </c>
      <c r="E705">
        <v>1</v>
      </c>
      <c r="F705">
        <v>75000</v>
      </c>
      <c r="G705">
        <v>75000</v>
      </c>
      <c r="H705" t="s">
        <v>886</v>
      </c>
      <c r="I705">
        <v>7500</v>
      </c>
      <c r="J705">
        <v>30000</v>
      </c>
      <c r="K705">
        <v>97500</v>
      </c>
      <c r="L705" t="s">
        <v>884</v>
      </c>
      <c r="M705" t="s">
        <v>874</v>
      </c>
      <c r="N705" t="s">
        <v>875</v>
      </c>
      <c r="O705" s="9">
        <v>45748</v>
      </c>
      <c r="P705" t="s">
        <v>877</v>
      </c>
      <c r="Q705">
        <v>67500</v>
      </c>
      <c r="R705" t="s">
        <v>762</v>
      </c>
      <c r="S705" t="s">
        <v>727</v>
      </c>
      <c r="T705" t="s">
        <v>728</v>
      </c>
      <c r="U705" t="s">
        <v>451</v>
      </c>
      <c r="V705" t="s">
        <v>23</v>
      </c>
      <c r="W705" t="s">
        <v>56</v>
      </c>
      <c r="X705" t="s">
        <v>9</v>
      </c>
    </row>
    <row r="706" spans="1:24">
      <c r="A706" t="s">
        <v>1601</v>
      </c>
      <c r="B706" s="8">
        <v>45790</v>
      </c>
      <c r="C706" t="s">
        <v>101</v>
      </c>
      <c r="D706" t="s">
        <v>749</v>
      </c>
      <c r="E706">
        <v>1</v>
      </c>
      <c r="F706">
        <v>150000</v>
      </c>
      <c r="G706">
        <v>150000</v>
      </c>
      <c r="H706" t="s">
        <v>872</v>
      </c>
      <c r="I706">
        <v>0</v>
      </c>
      <c r="J706">
        <v>10000</v>
      </c>
      <c r="K706">
        <v>160000</v>
      </c>
      <c r="L706" t="s">
        <v>889</v>
      </c>
      <c r="M706" t="s">
        <v>903</v>
      </c>
      <c r="N706" t="s">
        <v>875</v>
      </c>
      <c r="O706" s="9">
        <v>45778</v>
      </c>
      <c r="P706" t="s">
        <v>877</v>
      </c>
      <c r="Q706">
        <v>150000</v>
      </c>
      <c r="R706" t="s">
        <v>750</v>
      </c>
      <c r="S706" t="s">
        <v>727</v>
      </c>
      <c r="T706" t="s">
        <v>728</v>
      </c>
      <c r="U706" t="s">
        <v>102</v>
      </c>
      <c r="V706" t="s">
        <v>23</v>
      </c>
      <c r="W706" t="s">
        <v>46</v>
      </c>
      <c r="X706" t="s">
        <v>9</v>
      </c>
    </row>
    <row r="707" spans="1:24">
      <c r="A707" t="s">
        <v>1602</v>
      </c>
      <c r="B707" s="8">
        <v>45774</v>
      </c>
      <c r="C707" t="s">
        <v>276</v>
      </c>
      <c r="D707" t="s">
        <v>781</v>
      </c>
      <c r="E707">
        <v>1</v>
      </c>
      <c r="F707">
        <v>50000</v>
      </c>
      <c r="G707">
        <v>50000</v>
      </c>
      <c r="H707" t="s">
        <v>883</v>
      </c>
      <c r="I707">
        <v>5000</v>
      </c>
      <c r="J707">
        <v>30000</v>
      </c>
      <c r="K707">
        <v>75000</v>
      </c>
      <c r="L707" t="s">
        <v>884</v>
      </c>
      <c r="M707" t="s">
        <v>901</v>
      </c>
      <c r="N707" t="s">
        <v>875</v>
      </c>
      <c r="O707" s="9">
        <v>45748</v>
      </c>
      <c r="P707" t="s">
        <v>877</v>
      </c>
      <c r="Q707">
        <v>45000</v>
      </c>
      <c r="R707" t="s">
        <v>782</v>
      </c>
      <c r="S707" t="s">
        <v>743</v>
      </c>
      <c r="T707" t="s">
        <v>744</v>
      </c>
      <c r="U707" t="s">
        <v>277</v>
      </c>
      <c r="V707" t="s">
        <v>7</v>
      </c>
      <c r="W707" t="s">
        <v>137</v>
      </c>
      <c r="X707" t="s">
        <v>15</v>
      </c>
    </row>
    <row r="708" spans="1:24">
      <c r="A708" t="s">
        <v>1603</v>
      </c>
      <c r="B708" s="8">
        <v>45715</v>
      </c>
      <c r="C708" t="s">
        <v>670</v>
      </c>
      <c r="D708" t="s">
        <v>841</v>
      </c>
      <c r="E708">
        <v>1</v>
      </c>
      <c r="F708">
        <v>75000</v>
      </c>
      <c r="G708">
        <v>75000</v>
      </c>
      <c r="H708" t="s">
        <v>872</v>
      </c>
      <c r="I708">
        <v>0</v>
      </c>
      <c r="J708">
        <v>30000</v>
      </c>
      <c r="K708">
        <v>105000</v>
      </c>
      <c r="L708" t="s">
        <v>873</v>
      </c>
      <c r="M708" t="s">
        <v>903</v>
      </c>
      <c r="N708" t="s">
        <v>875</v>
      </c>
      <c r="O708" s="9">
        <v>45689</v>
      </c>
      <c r="P708" t="s">
        <v>877</v>
      </c>
      <c r="Q708">
        <v>75000</v>
      </c>
      <c r="R708" t="s">
        <v>842</v>
      </c>
      <c r="S708" t="s">
        <v>743</v>
      </c>
      <c r="T708" t="s">
        <v>744</v>
      </c>
      <c r="U708" t="s">
        <v>671</v>
      </c>
      <c r="V708" t="s">
        <v>23</v>
      </c>
      <c r="W708" t="s">
        <v>12</v>
      </c>
      <c r="X708" t="s">
        <v>24</v>
      </c>
    </row>
    <row r="709" spans="1:24">
      <c r="A709" t="s">
        <v>1604</v>
      </c>
      <c r="B709" s="8">
        <v>45805</v>
      </c>
      <c r="C709" t="s">
        <v>224</v>
      </c>
      <c r="D709" t="s">
        <v>783</v>
      </c>
      <c r="E709">
        <v>2</v>
      </c>
      <c r="F709">
        <v>500000</v>
      </c>
      <c r="G709">
        <v>1000000</v>
      </c>
      <c r="H709" t="s">
        <v>872</v>
      </c>
      <c r="I709">
        <v>0</v>
      </c>
      <c r="J709">
        <v>30000</v>
      </c>
      <c r="K709">
        <v>1030000</v>
      </c>
      <c r="L709" t="s">
        <v>884</v>
      </c>
      <c r="M709" t="s">
        <v>901</v>
      </c>
      <c r="N709" t="s">
        <v>875</v>
      </c>
      <c r="O709" s="9">
        <v>45778</v>
      </c>
      <c r="P709" t="s">
        <v>877</v>
      </c>
      <c r="Q709">
        <v>1000000</v>
      </c>
      <c r="R709" t="s">
        <v>784</v>
      </c>
      <c r="S709" t="s">
        <v>747</v>
      </c>
      <c r="T709" t="s">
        <v>748</v>
      </c>
      <c r="U709" t="s">
        <v>225</v>
      </c>
      <c r="V709" t="s">
        <v>23</v>
      </c>
      <c r="W709" t="s">
        <v>137</v>
      </c>
      <c r="X709" t="s">
        <v>9</v>
      </c>
    </row>
    <row r="710" spans="1:24">
      <c r="A710" t="s">
        <v>1605</v>
      </c>
      <c r="B710" s="8">
        <v>45762</v>
      </c>
      <c r="C710" t="s">
        <v>536</v>
      </c>
      <c r="D710" t="s">
        <v>827</v>
      </c>
      <c r="E710">
        <v>4</v>
      </c>
      <c r="F710">
        <v>100000</v>
      </c>
      <c r="G710">
        <v>400000</v>
      </c>
      <c r="H710" t="s">
        <v>872</v>
      </c>
      <c r="I710">
        <v>0</v>
      </c>
      <c r="J710">
        <v>30000</v>
      </c>
      <c r="K710">
        <v>430000</v>
      </c>
      <c r="L710" t="s">
        <v>889</v>
      </c>
      <c r="M710" t="s">
        <v>874</v>
      </c>
      <c r="N710" t="s">
        <v>875</v>
      </c>
      <c r="O710" s="9">
        <v>45748</v>
      </c>
      <c r="P710" t="s">
        <v>877</v>
      </c>
      <c r="Q710">
        <v>400000</v>
      </c>
      <c r="R710" t="s">
        <v>828</v>
      </c>
      <c r="S710" t="s">
        <v>739</v>
      </c>
      <c r="T710" t="s">
        <v>740</v>
      </c>
      <c r="U710" t="s">
        <v>537</v>
      </c>
      <c r="V710" t="s">
        <v>7</v>
      </c>
      <c r="W710" t="s">
        <v>36</v>
      </c>
      <c r="X710" t="s">
        <v>9</v>
      </c>
    </row>
    <row r="711" spans="1:24">
      <c r="A711" t="s">
        <v>1606</v>
      </c>
      <c r="B711" s="8">
        <v>45681</v>
      </c>
      <c r="C711" t="s">
        <v>87</v>
      </c>
      <c r="D711" t="s">
        <v>783</v>
      </c>
      <c r="E711">
        <v>2</v>
      </c>
      <c r="F711">
        <v>500000</v>
      </c>
      <c r="G711">
        <v>1000000</v>
      </c>
      <c r="H711" t="s">
        <v>886</v>
      </c>
      <c r="I711">
        <v>100000</v>
      </c>
      <c r="J711">
        <v>10000</v>
      </c>
      <c r="K711">
        <v>910000</v>
      </c>
      <c r="L711" t="s">
        <v>889</v>
      </c>
      <c r="M711" t="s">
        <v>881</v>
      </c>
      <c r="N711" t="s">
        <v>875</v>
      </c>
      <c r="O711" s="9">
        <v>45658</v>
      </c>
      <c r="P711" t="s">
        <v>877</v>
      </c>
      <c r="Q711">
        <v>900000</v>
      </c>
      <c r="R711" t="s">
        <v>784</v>
      </c>
      <c r="S711" t="s">
        <v>747</v>
      </c>
      <c r="T711" t="s">
        <v>748</v>
      </c>
      <c r="U711" t="s">
        <v>88</v>
      </c>
      <c r="V711" t="s">
        <v>23</v>
      </c>
      <c r="W711" t="s">
        <v>39</v>
      </c>
      <c r="X711" t="s">
        <v>24</v>
      </c>
    </row>
    <row r="712" spans="1:24">
      <c r="A712" t="s">
        <v>1607</v>
      </c>
      <c r="B712" s="8">
        <v>45668</v>
      </c>
      <c r="C712" t="s">
        <v>404</v>
      </c>
      <c r="D712" t="s">
        <v>765</v>
      </c>
      <c r="E712">
        <v>1</v>
      </c>
      <c r="F712">
        <v>500000</v>
      </c>
      <c r="G712">
        <v>500000</v>
      </c>
      <c r="H712" t="s">
        <v>872</v>
      </c>
      <c r="I712">
        <v>0</v>
      </c>
      <c r="J712">
        <v>20000</v>
      </c>
      <c r="K712">
        <v>520000</v>
      </c>
      <c r="L712" t="s">
        <v>884</v>
      </c>
      <c r="M712" t="s">
        <v>881</v>
      </c>
      <c r="N712" t="s">
        <v>875</v>
      </c>
      <c r="O712" s="9">
        <v>45658</v>
      </c>
      <c r="P712" t="s">
        <v>877</v>
      </c>
      <c r="Q712">
        <v>500000</v>
      </c>
      <c r="R712" t="s">
        <v>766</v>
      </c>
      <c r="S712" t="s">
        <v>735</v>
      </c>
      <c r="T712" t="s">
        <v>736</v>
      </c>
      <c r="U712" t="s">
        <v>405</v>
      </c>
      <c r="V712" t="s">
        <v>23</v>
      </c>
      <c r="W712" t="s">
        <v>39</v>
      </c>
      <c r="X712" t="s">
        <v>15</v>
      </c>
    </row>
    <row r="713" spans="1:24">
      <c r="A713" t="s">
        <v>1608</v>
      </c>
      <c r="B713" s="8">
        <v>45760</v>
      </c>
      <c r="C713" t="s">
        <v>612</v>
      </c>
      <c r="D713" t="s">
        <v>819</v>
      </c>
      <c r="E713">
        <v>1</v>
      </c>
      <c r="F713">
        <v>300000</v>
      </c>
      <c r="G713">
        <v>300000</v>
      </c>
      <c r="H713" t="s">
        <v>872</v>
      </c>
      <c r="I713">
        <v>0</v>
      </c>
      <c r="J713">
        <v>10000</v>
      </c>
      <c r="K713">
        <v>310000</v>
      </c>
      <c r="L713" t="s">
        <v>884</v>
      </c>
      <c r="M713" t="s">
        <v>881</v>
      </c>
      <c r="N713" t="s">
        <v>875</v>
      </c>
      <c r="O713" s="9">
        <v>45748</v>
      </c>
      <c r="P713" t="s">
        <v>877</v>
      </c>
      <c r="Q713">
        <v>300000</v>
      </c>
      <c r="R713" t="s">
        <v>820</v>
      </c>
      <c r="S713" t="s">
        <v>747</v>
      </c>
      <c r="T713" t="s">
        <v>748</v>
      </c>
      <c r="U713" t="s">
        <v>613</v>
      </c>
      <c r="V713" t="s">
        <v>23</v>
      </c>
      <c r="W713" t="s">
        <v>8</v>
      </c>
      <c r="X713" t="s">
        <v>9</v>
      </c>
    </row>
    <row r="714" spans="1:24">
      <c r="A714" t="s">
        <v>1609</v>
      </c>
      <c r="B714" s="8">
        <v>45683</v>
      </c>
      <c r="C714" t="s">
        <v>340</v>
      </c>
      <c r="D714" t="s">
        <v>809</v>
      </c>
      <c r="E714">
        <v>4</v>
      </c>
      <c r="F714">
        <v>100000</v>
      </c>
      <c r="G714">
        <v>400000</v>
      </c>
      <c r="H714" t="s">
        <v>879</v>
      </c>
      <c r="I714">
        <v>80000</v>
      </c>
      <c r="J714">
        <v>15000</v>
      </c>
      <c r="K714">
        <v>335000</v>
      </c>
      <c r="L714" t="s">
        <v>873</v>
      </c>
      <c r="M714" t="s">
        <v>874</v>
      </c>
      <c r="N714" t="s">
        <v>875</v>
      </c>
      <c r="O714" s="9">
        <v>45658</v>
      </c>
      <c r="P714" t="s">
        <v>877</v>
      </c>
      <c r="Q714">
        <v>320000</v>
      </c>
      <c r="R714" t="s">
        <v>810</v>
      </c>
      <c r="S714" t="s">
        <v>727</v>
      </c>
      <c r="T714" t="s">
        <v>728</v>
      </c>
      <c r="U714" t="s">
        <v>341</v>
      </c>
      <c r="V714" t="s">
        <v>7</v>
      </c>
      <c r="W714" t="s">
        <v>46</v>
      </c>
      <c r="X714" t="s">
        <v>24</v>
      </c>
    </row>
    <row r="715" spans="1:24">
      <c r="A715" t="s">
        <v>1610</v>
      </c>
      <c r="B715" s="8">
        <v>45774</v>
      </c>
      <c r="C715" t="s">
        <v>346</v>
      </c>
      <c r="D715" t="s">
        <v>799</v>
      </c>
      <c r="E715">
        <v>2</v>
      </c>
      <c r="F715">
        <v>35000</v>
      </c>
      <c r="G715">
        <v>70000</v>
      </c>
      <c r="H715" t="s">
        <v>872</v>
      </c>
      <c r="I715">
        <v>0</v>
      </c>
      <c r="J715">
        <v>25000</v>
      </c>
      <c r="K715">
        <v>95000</v>
      </c>
      <c r="L715" t="s">
        <v>884</v>
      </c>
      <c r="M715" t="s">
        <v>881</v>
      </c>
      <c r="N715" t="s">
        <v>875</v>
      </c>
      <c r="O715" s="9">
        <v>45748</v>
      </c>
      <c r="P715" t="s">
        <v>877</v>
      </c>
      <c r="Q715">
        <v>70000</v>
      </c>
      <c r="R715" t="s">
        <v>800</v>
      </c>
      <c r="S715" t="s">
        <v>731</v>
      </c>
      <c r="T715" t="s">
        <v>732</v>
      </c>
      <c r="U715" t="s">
        <v>347</v>
      </c>
      <c r="V715" t="s">
        <v>23</v>
      </c>
      <c r="W715" t="s">
        <v>46</v>
      </c>
      <c r="X715" t="s">
        <v>9</v>
      </c>
    </row>
    <row r="716" spans="1:24">
      <c r="A716" t="s">
        <v>1611</v>
      </c>
      <c r="B716" s="8">
        <v>45737</v>
      </c>
      <c r="C716" t="s">
        <v>646</v>
      </c>
      <c r="D716" t="s">
        <v>773</v>
      </c>
      <c r="E716">
        <v>1</v>
      </c>
      <c r="F716">
        <v>500000</v>
      </c>
      <c r="G716">
        <v>500000</v>
      </c>
      <c r="H716" t="s">
        <v>886</v>
      </c>
      <c r="I716">
        <v>50000</v>
      </c>
      <c r="J716">
        <v>25000</v>
      </c>
      <c r="K716">
        <v>475000</v>
      </c>
      <c r="L716" t="s">
        <v>884</v>
      </c>
      <c r="M716" t="s">
        <v>874</v>
      </c>
      <c r="N716" t="s">
        <v>875</v>
      </c>
      <c r="O716" s="9">
        <v>45717</v>
      </c>
      <c r="P716" t="s">
        <v>877</v>
      </c>
      <c r="Q716">
        <v>450000</v>
      </c>
      <c r="R716" t="s">
        <v>774</v>
      </c>
      <c r="S716" t="s">
        <v>727</v>
      </c>
      <c r="T716" t="s">
        <v>728</v>
      </c>
      <c r="U716" t="s">
        <v>647</v>
      </c>
      <c r="V716" t="s">
        <v>23</v>
      </c>
      <c r="W716" t="s">
        <v>56</v>
      </c>
      <c r="X716" t="s">
        <v>15</v>
      </c>
    </row>
    <row r="717" spans="1:24">
      <c r="A717" t="s">
        <v>1612</v>
      </c>
      <c r="B717" s="8">
        <v>45758</v>
      </c>
      <c r="C717" t="s">
        <v>380</v>
      </c>
      <c r="D717" t="s">
        <v>807</v>
      </c>
      <c r="E717">
        <v>2</v>
      </c>
      <c r="F717">
        <v>150000</v>
      </c>
      <c r="G717">
        <v>300000</v>
      </c>
      <c r="H717" t="s">
        <v>872</v>
      </c>
      <c r="I717">
        <v>0</v>
      </c>
      <c r="J717">
        <v>10000</v>
      </c>
      <c r="K717">
        <v>310000</v>
      </c>
      <c r="L717" t="s">
        <v>889</v>
      </c>
      <c r="M717" t="s">
        <v>903</v>
      </c>
      <c r="N717" t="s">
        <v>875</v>
      </c>
      <c r="O717" s="9">
        <v>45748</v>
      </c>
      <c r="P717" t="s">
        <v>877</v>
      </c>
      <c r="Q717">
        <v>300000</v>
      </c>
      <c r="R717" t="s">
        <v>808</v>
      </c>
      <c r="S717" t="s">
        <v>747</v>
      </c>
      <c r="T717" t="s">
        <v>748</v>
      </c>
      <c r="U717" t="s">
        <v>381</v>
      </c>
      <c r="V717" t="s">
        <v>23</v>
      </c>
      <c r="W717" t="s">
        <v>39</v>
      </c>
      <c r="X717" t="s">
        <v>9</v>
      </c>
    </row>
    <row r="718" spans="1:24">
      <c r="A718" t="s">
        <v>1613</v>
      </c>
      <c r="B718" s="8">
        <v>45803</v>
      </c>
      <c r="C718" t="s">
        <v>61</v>
      </c>
      <c r="D718" t="s">
        <v>729</v>
      </c>
      <c r="E718">
        <v>2</v>
      </c>
      <c r="F718">
        <v>100000</v>
      </c>
      <c r="G718">
        <v>200000</v>
      </c>
      <c r="H718" t="s">
        <v>872</v>
      </c>
      <c r="I718">
        <v>0</v>
      </c>
      <c r="J718">
        <v>15000</v>
      </c>
      <c r="K718">
        <v>215000</v>
      </c>
      <c r="L718" t="s">
        <v>889</v>
      </c>
      <c r="M718" t="s">
        <v>881</v>
      </c>
      <c r="N718" t="s">
        <v>875</v>
      </c>
      <c r="O718" s="9">
        <v>45778</v>
      </c>
      <c r="P718" t="s">
        <v>877</v>
      </c>
      <c r="Q718">
        <v>200000</v>
      </c>
      <c r="R718" t="s">
        <v>730</v>
      </c>
      <c r="S718" t="s">
        <v>731</v>
      </c>
      <c r="T718" t="s">
        <v>732</v>
      </c>
      <c r="U718" t="s">
        <v>62</v>
      </c>
      <c r="V718" t="s">
        <v>23</v>
      </c>
      <c r="W718" t="s">
        <v>39</v>
      </c>
      <c r="X718" t="s">
        <v>24</v>
      </c>
    </row>
    <row r="719" spans="1:24">
      <c r="A719" t="s">
        <v>1614</v>
      </c>
      <c r="B719" s="8">
        <v>45742</v>
      </c>
      <c r="C719" t="s">
        <v>564</v>
      </c>
      <c r="D719" t="s">
        <v>767</v>
      </c>
      <c r="E719">
        <v>2</v>
      </c>
      <c r="F719">
        <v>150000</v>
      </c>
      <c r="G719">
        <v>300000</v>
      </c>
      <c r="H719" t="s">
        <v>872</v>
      </c>
      <c r="I719">
        <v>0</v>
      </c>
      <c r="J719">
        <v>15000</v>
      </c>
      <c r="K719">
        <v>315000</v>
      </c>
      <c r="L719" t="s">
        <v>880</v>
      </c>
      <c r="M719" t="s">
        <v>903</v>
      </c>
      <c r="N719" t="s">
        <v>875</v>
      </c>
      <c r="O719" s="9">
        <v>45717</v>
      </c>
      <c r="P719" t="s">
        <v>877</v>
      </c>
      <c r="Q719">
        <v>300000</v>
      </c>
      <c r="R719" t="s">
        <v>768</v>
      </c>
      <c r="S719" t="s">
        <v>739</v>
      </c>
      <c r="T719" t="s">
        <v>740</v>
      </c>
      <c r="U719" t="s">
        <v>565</v>
      </c>
      <c r="V719" t="s">
        <v>23</v>
      </c>
      <c r="W719" t="s">
        <v>46</v>
      </c>
      <c r="X719" t="s">
        <v>15</v>
      </c>
    </row>
    <row r="720" spans="1:24">
      <c r="A720" t="s">
        <v>1615</v>
      </c>
      <c r="B720" s="8">
        <v>45833</v>
      </c>
      <c r="C720" t="s">
        <v>494</v>
      </c>
      <c r="D720" t="s">
        <v>763</v>
      </c>
      <c r="E720">
        <v>1</v>
      </c>
      <c r="F720">
        <v>75000</v>
      </c>
      <c r="G720">
        <v>75000</v>
      </c>
      <c r="H720" t="s">
        <v>872</v>
      </c>
      <c r="I720">
        <v>0</v>
      </c>
      <c r="J720">
        <v>25000</v>
      </c>
      <c r="K720">
        <v>100000</v>
      </c>
      <c r="L720" t="s">
        <v>889</v>
      </c>
      <c r="M720" t="s">
        <v>903</v>
      </c>
      <c r="N720" t="s">
        <v>890</v>
      </c>
      <c r="O720" s="9">
        <v>45809</v>
      </c>
      <c r="P720" t="s">
        <v>892</v>
      </c>
      <c r="Q720">
        <v>75000</v>
      </c>
      <c r="R720" t="s">
        <v>764</v>
      </c>
      <c r="S720" t="s">
        <v>731</v>
      </c>
      <c r="T720" t="s">
        <v>732</v>
      </c>
      <c r="U720" t="s">
        <v>495</v>
      </c>
      <c r="V720" t="s">
        <v>7</v>
      </c>
      <c r="W720" t="s">
        <v>51</v>
      </c>
      <c r="X720" t="s">
        <v>24</v>
      </c>
    </row>
    <row r="721" spans="1:24">
      <c r="A721" t="s">
        <v>1616</v>
      </c>
      <c r="B721" s="8">
        <v>45659</v>
      </c>
      <c r="C721" t="s">
        <v>504</v>
      </c>
      <c r="D721" t="s">
        <v>817</v>
      </c>
      <c r="E721">
        <v>1</v>
      </c>
      <c r="F721">
        <v>75000</v>
      </c>
      <c r="G721">
        <v>75000</v>
      </c>
      <c r="H721" t="s">
        <v>886</v>
      </c>
      <c r="I721">
        <v>7500</v>
      </c>
      <c r="J721">
        <v>25000</v>
      </c>
      <c r="K721">
        <v>92500</v>
      </c>
      <c r="L721" t="s">
        <v>880</v>
      </c>
      <c r="M721" t="s">
        <v>874</v>
      </c>
      <c r="N721" t="s">
        <v>905</v>
      </c>
      <c r="O721" s="9">
        <v>45658</v>
      </c>
      <c r="P721" t="s">
        <v>892</v>
      </c>
      <c r="Q721">
        <v>67500</v>
      </c>
      <c r="R721" t="s">
        <v>818</v>
      </c>
      <c r="S721" t="s">
        <v>743</v>
      </c>
      <c r="T721" t="s">
        <v>744</v>
      </c>
      <c r="U721" t="s">
        <v>505</v>
      </c>
      <c r="V721" t="s">
        <v>7</v>
      </c>
      <c r="W721" t="s">
        <v>56</v>
      </c>
      <c r="X721" t="s">
        <v>9</v>
      </c>
    </row>
    <row r="722" spans="1:24">
      <c r="A722" t="s">
        <v>1617</v>
      </c>
      <c r="B722" s="8">
        <v>45756</v>
      </c>
      <c r="C722" t="s">
        <v>692</v>
      </c>
      <c r="D722" t="s">
        <v>851</v>
      </c>
      <c r="E722">
        <v>1</v>
      </c>
      <c r="F722">
        <v>35000</v>
      </c>
      <c r="G722">
        <v>35000</v>
      </c>
      <c r="H722" t="s">
        <v>883</v>
      </c>
      <c r="I722">
        <v>3500</v>
      </c>
      <c r="J722">
        <v>10000</v>
      </c>
      <c r="K722">
        <v>41500</v>
      </c>
      <c r="L722" t="s">
        <v>880</v>
      </c>
      <c r="M722" t="s">
        <v>901</v>
      </c>
      <c r="N722" t="s">
        <v>875</v>
      </c>
      <c r="O722" s="9">
        <v>45748</v>
      </c>
      <c r="P722" t="s">
        <v>877</v>
      </c>
      <c r="Q722">
        <v>31500</v>
      </c>
      <c r="R722" t="s">
        <v>852</v>
      </c>
      <c r="S722" t="s">
        <v>739</v>
      </c>
      <c r="T722" t="s">
        <v>740</v>
      </c>
      <c r="U722" t="s">
        <v>693</v>
      </c>
      <c r="V722" t="s">
        <v>23</v>
      </c>
      <c r="W722" t="s">
        <v>36</v>
      </c>
      <c r="X722" t="s">
        <v>9</v>
      </c>
    </row>
    <row r="723" spans="1:24">
      <c r="A723" t="s">
        <v>1618</v>
      </c>
      <c r="B723" s="8">
        <v>45834</v>
      </c>
      <c r="C723" t="s">
        <v>218</v>
      </c>
      <c r="D723" t="s">
        <v>771</v>
      </c>
      <c r="E723">
        <v>1</v>
      </c>
      <c r="F723">
        <v>500000</v>
      </c>
      <c r="G723">
        <v>500000</v>
      </c>
      <c r="H723" t="s">
        <v>895</v>
      </c>
      <c r="I723">
        <v>75000</v>
      </c>
      <c r="J723">
        <v>15000</v>
      </c>
      <c r="K723">
        <v>440000</v>
      </c>
      <c r="L723" t="s">
        <v>889</v>
      </c>
      <c r="M723" t="s">
        <v>903</v>
      </c>
      <c r="N723" t="s">
        <v>875</v>
      </c>
      <c r="O723" s="9">
        <v>45809</v>
      </c>
      <c r="P723" t="s">
        <v>877</v>
      </c>
      <c r="Q723">
        <v>425000</v>
      </c>
      <c r="R723" t="s">
        <v>772</v>
      </c>
      <c r="S723" t="s">
        <v>747</v>
      </c>
      <c r="T723" t="s">
        <v>748</v>
      </c>
      <c r="U723" t="s">
        <v>219</v>
      </c>
      <c r="V723" t="s">
        <v>23</v>
      </c>
      <c r="W723" t="s">
        <v>137</v>
      </c>
      <c r="X723" t="s">
        <v>9</v>
      </c>
    </row>
    <row r="724" spans="1:24">
      <c r="A724" t="s">
        <v>1619</v>
      </c>
      <c r="B724" s="8">
        <v>45814</v>
      </c>
      <c r="C724" t="s">
        <v>688</v>
      </c>
      <c r="D724" t="s">
        <v>793</v>
      </c>
      <c r="E724">
        <v>2</v>
      </c>
      <c r="F724">
        <v>500000</v>
      </c>
      <c r="G724">
        <v>1000000</v>
      </c>
      <c r="H724" t="s">
        <v>883</v>
      </c>
      <c r="I724">
        <v>100000</v>
      </c>
      <c r="J724">
        <v>20000</v>
      </c>
      <c r="K724">
        <v>920000</v>
      </c>
      <c r="L724" t="s">
        <v>889</v>
      </c>
      <c r="M724" t="s">
        <v>874</v>
      </c>
      <c r="N724" t="s">
        <v>875</v>
      </c>
      <c r="O724" s="9">
        <v>45809</v>
      </c>
      <c r="P724" t="s">
        <v>877</v>
      </c>
      <c r="Q724">
        <v>900000</v>
      </c>
      <c r="R724" t="s">
        <v>794</v>
      </c>
      <c r="S724" t="s">
        <v>743</v>
      </c>
      <c r="T724" t="s">
        <v>744</v>
      </c>
      <c r="U724" t="s">
        <v>689</v>
      </c>
      <c r="V724" t="s">
        <v>7</v>
      </c>
      <c r="W724" t="s">
        <v>46</v>
      </c>
      <c r="X724" t="s">
        <v>24</v>
      </c>
    </row>
    <row r="725" spans="1:24">
      <c r="A725" t="s">
        <v>1620</v>
      </c>
      <c r="B725" s="8">
        <v>45671</v>
      </c>
      <c r="C725" t="s">
        <v>246</v>
      </c>
      <c r="D725" t="s">
        <v>819</v>
      </c>
      <c r="E725">
        <v>3</v>
      </c>
      <c r="F725">
        <v>300000</v>
      </c>
      <c r="G725">
        <v>900000</v>
      </c>
      <c r="H725" t="s">
        <v>872</v>
      </c>
      <c r="I725">
        <v>0</v>
      </c>
      <c r="J725">
        <v>10000</v>
      </c>
      <c r="K725">
        <v>910000</v>
      </c>
      <c r="L725" t="s">
        <v>880</v>
      </c>
      <c r="M725" t="s">
        <v>881</v>
      </c>
      <c r="N725" t="s">
        <v>875</v>
      </c>
      <c r="O725" s="9">
        <v>45658</v>
      </c>
      <c r="P725" t="s">
        <v>877</v>
      </c>
      <c r="Q725">
        <v>900000</v>
      </c>
      <c r="R725" t="s">
        <v>820</v>
      </c>
      <c r="S725" t="s">
        <v>747</v>
      </c>
      <c r="T725" t="s">
        <v>748</v>
      </c>
      <c r="U725" t="s">
        <v>247</v>
      </c>
      <c r="V725" t="s">
        <v>23</v>
      </c>
      <c r="W725" t="s">
        <v>46</v>
      </c>
      <c r="X725" t="s">
        <v>9</v>
      </c>
    </row>
    <row r="726" spans="1:24">
      <c r="A726" t="s">
        <v>1621</v>
      </c>
      <c r="B726" s="8">
        <v>45714</v>
      </c>
      <c r="C726" t="s">
        <v>410</v>
      </c>
      <c r="D726" t="s">
        <v>845</v>
      </c>
      <c r="E726">
        <v>3</v>
      </c>
      <c r="F726">
        <v>300000</v>
      </c>
      <c r="G726">
        <v>900000</v>
      </c>
      <c r="H726" t="s">
        <v>886</v>
      </c>
      <c r="I726">
        <v>90000</v>
      </c>
      <c r="J726">
        <v>25000</v>
      </c>
      <c r="K726">
        <v>835000</v>
      </c>
      <c r="L726" t="s">
        <v>889</v>
      </c>
      <c r="M726" t="s">
        <v>874</v>
      </c>
      <c r="N726" t="s">
        <v>875</v>
      </c>
      <c r="O726" s="9">
        <v>45689</v>
      </c>
      <c r="P726" t="s">
        <v>877</v>
      </c>
      <c r="Q726">
        <v>810000</v>
      </c>
      <c r="R726" t="s">
        <v>846</v>
      </c>
      <c r="S726" t="s">
        <v>727</v>
      </c>
      <c r="T726" t="s">
        <v>728</v>
      </c>
      <c r="U726" t="s">
        <v>411</v>
      </c>
      <c r="V726" t="s">
        <v>7</v>
      </c>
      <c r="W726" t="s">
        <v>46</v>
      </c>
      <c r="X726" t="s">
        <v>9</v>
      </c>
    </row>
    <row r="727" spans="1:24">
      <c r="A727" t="s">
        <v>1622</v>
      </c>
      <c r="B727" s="8">
        <v>45790</v>
      </c>
      <c r="C727" t="s">
        <v>156</v>
      </c>
      <c r="D727" t="s">
        <v>797</v>
      </c>
      <c r="E727">
        <v>2</v>
      </c>
      <c r="F727">
        <v>150000</v>
      </c>
      <c r="G727">
        <v>300000</v>
      </c>
      <c r="H727" t="s">
        <v>886</v>
      </c>
      <c r="I727">
        <v>30000</v>
      </c>
      <c r="J727">
        <v>15000</v>
      </c>
      <c r="K727">
        <v>285000</v>
      </c>
      <c r="L727" t="s">
        <v>889</v>
      </c>
      <c r="M727" t="s">
        <v>903</v>
      </c>
      <c r="N727" t="s">
        <v>921</v>
      </c>
      <c r="O727" s="9">
        <v>45778</v>
      </c>
      <c r="P727" t="s">
        <v>892</v>
      </c>
      <c r="Q727">
        <v>270000</v>
      </c>
      <c r="R727" t="s">
        <v>798</v>
      </c>
      <c r="S727" t="s">
        <v>727</v>
      </c>
      <c r="T727" t="s">
        <v>728</v>
      </c>
      <c r="U727" t="s">
        <v>157</v>
      </c>
      <c r="V727" t="s">
        <v>23</v>
      </c>
      <c r="W727" t="s">
        <v>137</v>
      </c>
      <c r="X727" t="s">
        <v>15</v>
      </c>
    </row>
    <row r="728" spans="1:24">
      <c r="A728" t="s">
        <v>1623</v>
      </c>
      <c r="B728" s="8">
        <v>45686</v>
      </c>
      <c r="C728" t="s">
        <v>280</v>
      </c>
      <c r="D728" t="s">
        <v>787</v>
      </c>
      <c r="E728">
        <v>1</v>
      </c>
      <c r="F728">
        <v>200000</v>
      </c>
      <c r="G728">
        <v>200000</v>
      </c>
      <c r="H728" t="s">
        <v>879</v>
      </c>
      <c r="I728">
        <v>40000</v>
      </c>
      <c r="J728">
        <v>25000</v>
      </c>
      <c r="K728">
        <v>185000</v>
      </c>
      <c r="L728" t="s">
        <v>889</v>
      </c>
      <c r="M728" t="s">
        <v>903</v>
      </c>
      <c r="N728" t="s">
        <v>875</v>
      </c>
      <c r="O728" s="9">
        <v>45658</v>
      </c>
      <c r="P728" t="s">
        <v>877</v>
      </c>
      <c r="Q728">
        <v>160000</v>
      </c>
      <c r="R728" t="s">
        <v>788</v>
      </c>
      <c r="S728" t="s">
        <v>731</v>
      </c>
      <c r="T728" t="s">
        <v>732</v>
      </c>
      <c r="U728" t="s">
        <v>281</v>
      </c>
      <c r="V728" t="s">
        <v>7</v>
      </c>
      <c r="W728" t="s">
        <v>137</v>
      </c>
      <c r="X728" t="s">
        <v>9</v>
      </c>
    </row>
    <row r="729" spans="1:24">
      <c r="A729" t="s">
        <v>1624</v>
      </c>
      <c r="B729" s="8">
        <v>45682</v>
      </c>
      <c r="C729" t="s">
        <v>376</v>
      </c>
      <c r="D729" t="s">
        <v>761</v>
      </c>
      <c r="E729">
        <v>4</v>
      </c>
      <c r="F729">
        <v>75000</v>
      </c>
      <c r="G729">
        <v>300000</v>
      </c>
      <c r="H729" t="s">
        <v>872</v>
      </c>
      <c r="I729">
        <v>0</v>
      </c>
      <c r="J729">
        <v>10000</v>
      </c>
      <c r="K729">
        <v>310000</v>
      </c>
      <c r="L729" t="s">
        <v>880</v>
      </c>
      <c r="M729" t="s">
        <v>901</v>
      </c>
      <c r="N729" t="s">
        <v>921</v>
      </c>
      <c r="O729" s="9">
        <v>45658</v>
      </c>
      <c r="P729" t="s">
        <v>892</v>
      </c>
      <c r="Q729">
        <v>300000</v>
      </c>
      <c r="R729" t="s">
        <v>762</v>
      </c>
      <c r="S729" t="s">
        <v>727</v>
      </c>
      <c r="T729" t="s">
        <v>728</v>
      </c>
      <c r="U729" t="s">
        <v>377</v>
      </c>
      <c r="V729" t="s">
        <v>7</v>
      </c>
      <c r="W729" t="s">
        <v>8</v>
      </c>
      <c r="X729" t="s">
        <v>9</v>
      </c>
    </row>
    <row r="730" spans="1:24">
      <c r="A730" t="s">
        <v>1625</v>
      </c>
      <c r="B730" s="8">
        <v>45829</v>
      </c>
      <c r="C730" t="s">
        <v>146</v>
      </c>
      <c r="D730" t="s">
        <v>797</v>
      </c>
      <c r="E730">
        <v>2</v>
      </c>
      <c r="F730">
        <v>150000</v>
      </c>
      <c r="G730">
        <v>300000</v>
      </c>
      <c r="H730" t="s">
        <v>883</v>
      </c>
      <c r="I730">
        <v>30000</v>
      </c>
      <c r="J730">
        <v>15000</v>
      </c>
      <c r="K730">
        <v>285000</v>
      </c>
      <c r="L730" t="s">
        <v>889</v>
      </c>
      <c r="M730" t="s">
        <v>901</v>
      </c>
      <c r="N730" t="s">
        <v>890</v>
      </c>
      <c r="O730" s="9">
        <v>45809</v>
      </c>
      <c r="P730" t="s">
        <v>892</v>
      </c>
      <c r="Q730">
        <v>270000</v>
      </c>
      <c r="R730" t="s">
        <v>798</v>
      </c>
      <c r="S730" t="s">
        <v>727</v>
      </c>
      <c r="T730" t="s">
        <v>728</v>
      </c>
      <c r="U730" t="s">
        <v>147</v>
      </c>
      <c r="V730" t="s">
        <v>7</v>
      </c>
      <c r="W730" t="s">
        <v>51</v>
      </c>
      <c r="X730" t="s">
        <v>24</v>
      </c>
    </row>
    <row r="731" spans="1:24">
      <c r="A731" t="s">
        <v>1626</v>
      </c>
      <c r="B731" s="8">
        <v>45763</v>
      </c>
      <c r="C731" t="s">
        <v>618</v>
      </c>
      <c r="D731" t="s">
        <v>755</v>
      </c>
      <c r="E731">
        <v>1</v>
      </c>
      <c r="F731">
        <v>50000</v>
      </c>
      <c r="G731">
        <v>50000</v>
      </c>
      <c r="H731" t="s">
        <v>872</v>
      </c>
      <c r="I731">
        <v>0</v>
      </c>
      <c r="J731">
        <v>20000</v>
      </c>
      <c r="K731">
        <v>70000</v>
      </c>
      <c r="L731" t="s">
        <v>873</v>
      </c>
      <c r="M731" t="s">
        <v>903</v>
      </c>
      <c r="N731" t="s">
        <v>875</v>
      </c>
      <c r="O731" s="9">
        <v>45748</v>
      </c>
      <c r="P731" t="s">
        <v>877</v>
      </c>
      <c r="Q731">
        <v>50000</v>
      </c>
      <c r="R731" t="s">
        <v>756</v>
      </c>
      <c r="S731" t="s">
        <v>739</v>
      </c>
      <c r="T731" t="s">
        <v>740</v>
      </c>
      <c r="U731" t="s">
        <v>619</v>
      </c>
      <c r="V731" t="s">
        <v>7</v>
      </c>
      <c r="W731" t="s">
        <v>29</v>
      </c>
      <c r="X731" t="s">
        <v>15</v>
      </c>
    </row>
    <row r="732" spans="1:24">
      <c r="A732" t="s">
        <v>1627</v>
      </c>
      <c r="B732" s="8">
        <v>45798</v>
      </c>
      <c r="C732" t="s">
        <v>13</v>
      </c>
      <c r="D732" t="s">
        <v>787</v>
      </c>
      <c r="E732">
        <v>1</v>
      </c>
      <c r="F732">
        <v>200000</v>
      </c>
      <c r="G732">
        <v>200000</v>
      </c>
      <c r="H732" t="s">
        <v>872</v>
      </c>
      <c r="I732">
        <v>0</v>
      </c>
      <c r="J732">
        <v>10000</v>
      </c>
      <c r="K732">
        <v>210000</v>
      </c>
      <c r="L732" t="s">
        <v>884</v>
      </c>
      <c r="M732" t="s">
        <v>881</v>
      </c>
      <c r="N732" t="s">
        <v>905</v>
      </c>
      <c r="O732" s="9">
        <v>45778</v>
      </c>
      <c r="P732" t="s">
        <v>892</v>
      </c>
      <c r="Q732">
        <v>200000</v>
      </c>
      <c r="R732" t="s">
        <v>788</v>
      </c>
      <c r="S732" t="s">
        <v>731</v>
      </c>
      <c r="T732" t="s">
        <v>732</v>
      </c>
      <c r="U732" t="s">
        <v>14</v>
      </c>
      <c r="V732" t="s">
        <v>7</v>
      </c>
      <c r="W732" t="s">
        <v>8</v>
      </c>
      <c r="X732" t="s">
        <v>15</v>
      </c>
    </row>
    <row r="733" spans="1:24">
      <c r="A733" t="s">
        <v>1628</v>
      </c>
      <c r="B733" s="8">
        <v>45699</v>
      </c>
      <c r="C733" t="s">
        <v>426</v>
      </c>
      <c r="D733" t="s">
        <v>833</v>
      </c>
      <c r="E733">
        <v>2</v>
      </c>
      <c r="F733">
        <v>200000</v>
      </c>
      <c r="G733">
        <v>400000</v>
      </c>
      <c r="H733" t="s">
        <v>872</v>
      </c>
      <c r="I733">
        <v>0</v>
      </c>
      <c r="J733">
        <v>25000</v>
      </c>
      <c r="K733">
        <v>425000</v>
      </c>
      <c r="L733" t="s">
        <v>873</v>
      </c>
      <c r="M733" t="s">
        <v>903</v>
      </c>
      <c r="N733" t="s">
        <v>875</v>
      </c>
      <c r="O733" s="9">
        <v>45689</v>
      </c>
      <c r="P733" t="s">
        <v>877</v>
      </c>
      <c r="Q733">
        <v>400000</v>
      </c>
      <c r="R733" t="s">
        <v>834</v>
      </c>
      <c r="S733" t="s">
        <v>727</v>
      </c>
      <c r="T733" t="s">
        <v>728</v>
      </c>
      <c r="U733" t="s">
        <v>427</v>
      </c>
      <c r="V733" t="s">
        <v>7</v>
      </c>
      <c r="W733" t="s">
        <v>20</v>
      </c>
      <c r="X733" t="s">
        <v>9</v>
      </c>
    </row>
    <row r="734" spans="1:24">
      <c r="A734" t="s">
        <v>1629</v>
      </c>
      <c r="B734" s="8">
        <v>45761</v>
      </c>
      <c r="C734" t="s">
        <v>109</v>
      </c>
      <c r="D734" t="s">
        <v>823</v>
      </c>
      <c r="E734">
        <v>3</v>
      </c>
      <c r="F734">
        <v>500000</v>
      </c>
      <c r="G734">
        <v>1500000</v>
      </c>
      <c r="H734" t="s">
        <v>895</v>
      </c>
      <c r="I734">
        <v>225000</v>
      </c>
      <c r="J734">
        <v>25000</v>
      </c>
      <c r="K734">
        <v>1300000</v>
      </c>
      <c r="L734" t="s">
        <v>884</v>
      </c>
      <c r="M734" t="s">
        <v>881</v>
      </c>
      <c r="N734" t="s">
        <v>875</v>
      </c>
      <c r="O734" s="9">
        <v>45748</v>
      </c>
      <c r="P734" t="s">
        <v>877</v>
      </c>
      <c r="Q734">
        <v>1275000</v>
      </c>
      <c r="R734" t="s">
        <v>824</v>
      </c>
      <c r="S734" t="s">
        <v>731</v>
      </c>
      <c r="T734" t="s">
        <v>732</v>
      </c>
      <c r="U734" t="s">
        <v>110</v>
      </c>
      <c r="V734" t="s">
        <v>23</v>
      </c>
      <c r="W734" t="s">
        <v>46</v>
      </c>
      <c r="X734" t="s">
        <v>15</v>
      </c>
    </row>
    <row r="735" spans="1:24">
      <c r="A735" t="s">
        <v>1630</v>
      </c>
      <c r="B735" s="8">
        <v>45687</v>
      </c>
      <c r="C735" t="s">
        <v>546</v>
      </c>
      <c r="D735" t="s">
        <v>803</v>
      </c>
      <c r="E735">
        <v>1</v>
      </c>
      <c r="F735">
        <v>50000</v>
      </c>
      <c r="G735">
        <v>50000</v>
      </c>
      <c r="H735" t="s">
        <v>883</v>
      </c>
      <c r="I735">
        <v>5000</v>
      </c>
      <c r="J735">
        <v>30000</v>
      </c>
      <c r="K735">
        <v>75000</v>
      </c>
      <c r="L735" t="s">
        <v>889</v>
      </c>
      <c r="M735" t="s">
        <v>874</v>
      </c>
      <c r="N735" t="s">
        <v>921</v>
      </c>
      <c r="O735" s="9">
        <v>45658</v>
      </c>
      <c r="P735" t="s">
        <v>892</v>
      </c>
      <c r="Q735">
        <v>45000</v>
      </c>
      <c r="R735" t="s">
        <v>804</v>
      </c>
      <c r="S735" t="s">
        <v>739</v>
      </c>
      <c r="T735" t="s">
        <v>740</v>
      </c>
      <c r="U735" t="s">
        <v>547</v>
      </c>
      <c r="V735" t="s">
        <v>23</v>
      </c>
      <c r="W735" t="s">
        <v>8</v>
      </c>
      <c r="X735" t="s">
        <v>24</v>
      </c>
    </row>
    <row r="736" spans="1:24">
      <c r="A736" t="s">
        <v>1631</v>
      </c>
      <c r="B736" s="8">
        <v>45732</v>
      </c>
      <c r="C736" t="s">
        <v>432</v>
      </c>
      <c r="D736" t="s">
        <v>751</v>
      </c>
      <c r="E736">
        <v>1</v>
      </c>
      <c r="F736">
        <v>150000</v>
      </c>
      <c r="G736">
        <v>150000</v>
      </c>
      <c r="H736" t="s">
        <v>872</v>
      </c>
      <c r="I736">
        <v>0</v>
      </c>
      <c r="J736">
        <v>20000</v>
      </c>
      <c r="K736">
        <v>170000</v>
      </c>
      <c r="L736" t="s">
        <v>889</v>
      </c>
      <c r="M736" t="s">
        <v>903</v>
      </c>
      <c r="N736" t="s">
        <v>875</v>
      </c>
      <c r="O736" s="9">
        <v>45717</v>
      </c>
      <c r="P736" t="s">
        <v>877</v>
      </c>
      <c r="Q736">
        <v>150000</v>
      </c>
      <c r="R736" t="s">
        <v>752</v>
      </c>
      <c r="S736" t="s">
        <v>731</v>
      </c>
      <c r="T736" t="s">
        <v>732</v>
      </c>
      <c r="U736" t="s">
        <v>433</v>
      </c>
      <c r="V736" t="s">
        <v>23</v>
      </c>
      <c r="W736" t="s">
        <v>39</v>
      </c>
      <c r="X736" t="s">
        <v>9</v>
      </c>
    </row>
    <row r="737" spans="1:24">
      <c r="A737" t="s">
        <v>1632</v>
      </c>
      <c r="B737" s="8">
        <v>45785</v>
      </c>
      <c r="C737" t="s">
        <v>358</v>
      </c>
      <c r="D737" t="s">
        <v>793</v>
      </c>
      <c r="E737">
        <v>4</v>
      </c>
      <c r="F737">
        <v>500000</v>
      </c>
      <c r="G737">
        <v>2000000</v>
      </c>
      <c r="H737" t="s">
        <v>895</v>
      </c>
      <c r="I737">
        <v>300000</v>
      </c>
      <c r="J737">
        <v>15000</v>
      </c>
      <c r="K737">
        <v>1715000</v>
      </c>
      <c r="L737" t="s">
        <v>889</v>
      </c>
      <c r="M737" t="s">
        <v>901</v>
      </c>
      <c r="N737" t="s">
        <v>890</v>
      </c>
      <c r="O737" s="9">
        <v>45778</v>
      </c>
      <c r="P737" t="s">
        <v>892</v>
      </c>
      <c r="Q737">
        <v>1700000</v>
      </c>
      <c r="R737" t="s">
        <v>794</v>
      </c>
      <c r="S737" t="s">
        <v>743</v>
      </c>
      <c r="T737" t="s">
        <v>744</v>
      </c>
      <c r="U737" t="s">
        <v>359</v>
      </c>
      <c r="V737" t="s">
        <v>7</v>
      </c>
      <c r="W737" t="s">
        <v>137</v>
      </c>
      <c r="X737" t="s">
        <v>9</v>
      </c>
    </row>
    <row r="738" spans="1:24">
      <c r="A738" t="s">
        <v>1633</v>
      </c>
      <c r="B738" s="8">
        <v>45753</v>
      </c>
      <c r="C738" t="s">
        <v>37</v>
      </c>
      <c r="D738" t="s">
        <v>751</v>
      </c>
      <c r="E738">
        <v>2</v>
      </c>
      <c r="F738">
        <v>150000</v>
      </c>
      <c r="G738">
        <v>300000</v>
      </c>
      <c r="H738" t="s">
        <v>872</v>
      </c>
      <c r="I738">
        <v>0</v>
      </c>
      <c r="J738">
        <v>30000</v>
      </c>
      <c r="K738">
        <v>330000</v>
      </c>
      <c r="L738" t="s">
        <v>889</v>
      </c>
      <c r="M738" t="s">
        <v>901</v>
      </c>
      <c r="N738" t="s">
        <v>875</v>
      </c>
      <c r="O738" s="9">
        <v>45748</v>
      </c>
      <c r="P738" t="s">
        <v>877</v>
      </c>
      <c r="Q738">
        <v>300000</v>
      </c>
      <c r="R738" t="s">
        <v>752</v>
      </c>
      <c r="S738" t="s">
        <v>731</v>
      </c>
      <c r="T738" t="s">
        <v>732</v>
      </c>
      <c r="U738" t="s">
        <v>38</v>
      </c>
      <c r="V738" t="s">
        <v>23</v>
      </c>
      <c r="W738" t="s">
        <v>39</v>
      </c>
      <c r="X738" t="s">
        <v>9</v>
      </c>
    </row>
    <row r="739" spans="1:24">
      <c r="A739" t="s">
        <v>1634</v>
      </c>
      <c r="B739" s="8">
        <v>45813</v>
      </c>
      <c r="C739" t="s">
        <v>340</v>
      </c>
      <c r="D739" t="s">
        <v>821</v>
      </c>
      <c r="E739">
        <v>4</v>
      </c>
      <c r="F739">
        <v>50000</v>
      </c>
      <c r="G739">
        <v>200000</v>
      </c>
      <c r="H739" t="s">
        <v>886</v>
      </c>
      <c r="I739">
        <v>20000</v>
      </c>
      <c r="J739">
        <v>30000</v>
      </c>
      <c r="K739">
        <v>210000</v>
      </c>
      <c r="L739" t="s">
        <v>873</v>
      </c>
      <c r="M739" t="s">
        <v>901</v>
      </c>
      <c r="N739" t="s">
        <v>875</v>
      </c>
      <c r="O739" s="9">
        <v>45809</v>
      </c>
      <c r="P739" t="s">
        <v>877</v>
      </c>
      <c r="Q739">
        <v>180000</v>
      </c>
      <c r="R739" t="s">
        <v>822</v>
      </c>
      <c r="S739" t="s">
        <v>727</v>
      </c>
      <c r="T739" t="s">
        <v>728</v>
      </c>
      <c r="U739" t="s">
        <v>341</v>
      </c>
      <c r="V739" t="s">
        <v>7</v>
      </c>
      <c r="W739" t="s">
        <v>46</v>
      </c>
      <c r="X739" t="s">
        <v>24</v>
      </c>
    </row>
    <row r="740" spans="1:24">
      <c r="A740" t="s">
        <v>1635</v>
      </c>
      <c r="B740" s="8">
        <v>45696</v>
      </c>
      <c r="C740" t="s">
        <v>326</v>
      </c>
      <c r="D740" t="s">
        <v>831</v>
      </c>
      <c r="E740">
        <v>1</v>
      </c>
      <c r="F740">
        <v>300000</v>
      </c>
      <c r="G740">
        <v>300000</v>
      </c>
      <c r="H740" t="s">
        <v>883</v>
      </c>
      <c r="I740">
        <v>30000</v>
      </c>
      <c r="J740">
        <v>15000</v>
      </c>
      <c r="K740">
        <v>285000</v>
      </c>
      <c r="L740" t="s">
        <v>884</v>
      </c>
      <c r="M740" t="s">
        <v>903</v>
      </c>
      <c r="N740" t="s">
        <v>875</v>
      </c>
      <c r="O740" s="9">
        <v>45689</v>
      </c>
      <c r="P740" t="s">
        <v>877</v>
      </c>
      <c r="Q740">
        <v>270000</v>
      </c>
      <c r="R740" t="s">
        <v>832</v>
      </c>
      <c r="S740" t="s">
        <v>747</v>
      </c>
      <c r="T740" t="s">
        <v>748</v>
      </c>
      <c r="U740" t="s">
        <v>327</v>
      </c>
      <c r="V740" t="s">
        <v>7</v>
      </c>
      <c r="W740" t="s">
        <v>8</v>
      </c>
      <c r="X740" t="s">
        <v>9</v>
      </c>
    </row>
    <row r="741" spans="1:24">
      <c r="A741" t="s">
        <v>1636</v>
      </c>
      <c r="B741" s="8">
        <v>45803</v>
      </c>
      <c r="C741" t="s">
        <v>162</v>
      </c>
      <c r="D741" t="s">
        <v>791</v>
      </c>
      <c r="E741">
        <v>1</v>
      </c>
      <c r="F741">
        <v>50000</v>
      </c>
      <c r="G741">
        <v>50000</v>
      </c>
      <c r="H741" t="s">
        <v>879</v>
      </c>
      <c r="I741">
        <v>10000</v>
      </c>
      <c r="J741">
        <v>15000</v>
      </c>
      <c r="K741">
        <v>55000</v>
      </c>
      <c r="L741" t="s">
        <v>889</v>
      </c>
      <c r="M741" t="s">
        <v>903</v>
      </c>
      <c r="N741" t="s">
        <v>875</v>
      </c>
      <c r="O741" s="9">
        <v>45778</v>
      </c>
      <c r="P741" t="s">
        <v>877</v>
      </c>
      <c r="Q741">
        <v>40000</v>
      </c>
      <c r="R741" t="s">
        <v>792</v>
      </c>
      <c r="S741" t="s">
        <v>739</v>
      </c>
      <c r="T741" t="s">
        <v>740</v>
      </c>
      <c r="U741" t="s">
        <v>163</v>
      </c>
      <c r="V741" t="s">
        <v>7</v>
      </c>
      <c r="W741" t="s">
        <v>39</v>
      </c>
      <c r="X741" t="s">
        <v>9</v>
      </c>
    </row>
    <row r="742" spans="1:24">
      <c r="A742" t="s">
        <v>1637</v>
      </c>
      <c r="B742" s="8">
        <v>45824</v>
      </c>
      <c r="C742" t="s">
        <v>298</v>
      </c>
      <c r="D742" t="s">
        <v>805</v>
      </c>
      <c r="E742">
        <v>3</v>
      </c>
      <c r="F742">
        <v>200000</v>
      </c>
      <c r="G742">
        <v>600000</v>
      </c>
      <c r="H742" t="s">
        <v>872</v>
      </c>
      <c r="I742">
        <v>0</v>
      </c>
      <c r="J742">
        <v>10000</v>
      </c>
      <c r="K742">
        <v>610000</v>
      </c>
      <c r="L742" t="s">
        <v>889</v>
      </c>
      <c r="M742" t="s">
        <v>881</v>
      </c>
      <c r="N742" t="s">
        <v>875</v>
      </c>
      <c r="O742" s="9">
        <v>45809</v>
      </c>
      <c r="P742" t="s">
        <v>877</v>
      </c>
      <c r="Q742">
        <v>600000</v>
      </c>
      <c r="R742" t="s">
        <v>806</v>
      </c>
      <c r="S742" t="s">
        <v>743</v>
      </c>
      <c r="T742" t="s">
        <v>744</v>
      </c>
      <c r="U742" t="s">
        <v>299</v>
      </c>
      <c r="V742" t="s">
        <v>7</v>
      </c>
      <c r="W742" t="s">
        <v>137</v>
      </c>
      <c r="X742" t="s">
        <v>9</v>
      </c>
    </row>
    <row r="743" spans="1:24">
      <c r="A743" t="s">
        <v>1638</v>
      </c>
      <c r="B743" s="8">
        <v>45798</v>
      </c>
      <c r="C743" t="s">
        <v>444</v>
      </c>
      <c r="D743" t="s">
        <v>817</v>
      </c>
      <c r="E743">
        <v>1</v>
      </c>
      <c r="F743">
        <v>75000</v>
      </c>
      <c r="G743">
        <v>75000</v>
      </c>
      <c r="H743" t="s">
        <v>886</v>
      </c>
      <c r="I743">
        <v>7500</v>
      </c>
      <c r="J743">
        <v>10000</v>
      </c>
      <c r="K743">
        <v>77500</v>
      </c>
      <c r="L743" t="s">
        <v>889</v>
      </c>
      <c r="M743" t="s">
        <v>881</v>
      </c>
      <c r="N743" t="s">
        <v>890</v>
      </c>
      <c r="O743" s="9">
        <v>45778</v>
      </c>
      <c r="P743" t="s">
        <v>892</v>
      </c>
      <c r="Q743">
        <v>67500</v>
      </c>
      <c r="R743" t="s">
        <v>818</v>
      </c>
      <c r="S743" t="s">
        <v>743</v>
      </c>
      <c r="T743" t="s">
        <v>744</v>
      </c>
      <c r="U743" t="s">
        <v>445</v>
      </c>
      <c r="V743" t="s">
        <v>23</v>
      </c>
      <c r="W743" t="s">
        <v>20</v>
      </c>
      <c r="X743" t="s">
        <v>9</v>
      </c>
    </row>
    <row r="744" spans="1:24">
      <c r="A744" t="s">
        <v>1639</v>
      </c>
      <c r="B744" s="8">
        <v>45670</v>
      </c>
      <c r="C744" t="s">
        <v>470</v>
      </c>
      <c r="D744" t="s">
        <v>837</v>
      </c>
      <c r="E744">
        <v>1</v>
      </c>
      <c r="F744">
        <v>300000</v>
      </c>
      <c r="G744">
        <v>300000</v>
      </c>
      <c r="H744" t="s">
        <v>872</v>
      </c>
      <c r="I744">
        <v>0</v>
      </c>
      <c r="J744">
        <v>20000</v>
      </c>
      <c r="K744">
        <v>320000</v>
      </c>
      <c r="L744" t="s">
        <v>884</v>
      </c>
      <c r="M744" t="s">
        <v>881</v>
      </c>
      <c r="N744" t="s">
        <v>875</v>
      </c>
      <c r="O744" s="9">
        <v>45658</v>
      </c>
      <c r="P744" t="s">
        <v>877</v>
      </c>
      <c r="Q744">
        <v>300000</v>
      </c>
      <c r="R744" t="s">
        <v>838</v>
      </c>
      <c r="S744" t="s">
        <v>735</v>
      </c>
      <c r="T744" t="s">
        <v>736</v>
      </c>
      <c r="U744" t="s">
        <v>471</v>
      </c>
      <c r="V744" t="s">
        <v>7</v>
      </c>
      <c r="W744" t="s">
        <v>36</v>
      </c>
      <c r="X744" t="s">
        <v>24</v>
      </c>
    </row>
    <row r="745" spans="1:24">
      <c r="A745" t="s">
        <v>1640</v>
      </c>
      <c r="B745" s="8">
        <v>45727</v>
      </c>
      <c r="C745" t="s">
        <v>512</v>
      </c>
      <c r="D745" t="s">
        <v>831</v>
      </c>
      <c r="E745">
        <v>1</v>
      </c>
      <c r="F745">
        <v>300000</v>
      </c>
      <c r="G745">
        <v>300000</v>
      </c>
      <c r="H745" t="s">
        <v>872</v>
      </c>
      <c r="I745">
        <v>0</v>
      </c>
      <c r="J745">
        <v>30000</v>
      </c>
      <c r="K745">
        <v>330000</v>
      </c>
      <c r="L745" t="s">
        <v>884</v>
      </c>
      <c r="M745" t="s">
        <v>901</v>
      </c>
      <c r="N745" t="s">
        <v>890</v>
      </c>
      <c r="O745" s="9">
        <v>45717</v>
      </c>
      <c r="P745" t="s">
        <v>892</v>
      </c>
      <c r="Q745">
        <v>300000</v>
      </c>
      <c r="R745" t="s">
        <v>832</v>
      </c>
      <c r="S745" t="s">
        <v>747</v>
      </c>
      <c r="T745" t="s">
        <v>748</v>
      </c>
      <c r="U745" t="s">
        <v>513</v>
      </c>
      <c r="V745" t="s">
        <v>23</v>
      </c>
      <c r="W745" t="s">
        <v>39</v>
      </c>
      <c r="X745" t="s">
        <v>24</v>
      </c>
    </row>
    <row r="746" spans="1:24">
      <c r="A746" t="s">
        <v>1641</v>
      </c>
      <c r="B746" s="8">
        <v>45724</v>
      </c>
      <c r="C746" t="s">
        <v>296</v>
      </c>
      <c r="D746" t="s">
        <v>849</v>
      </c>
      <c r="E746">
        <v>3</v>
      </c>
      <c r="F746">
        <v>500000</v>
      </c>
      <c r="G746">
        <v>1500000</v>
      </c>
      <c r="H746" t="s">
        <v>886</v>
      </c>
      <c r="I746">
        <v>150000</v>
      </c>
      <c r="J746">
        <v>15000</v>
      </c>
      <c r="K746">
        <v>1365000</v>
      </c>
      <c r="L746" t="s">
        <v>880</v>
      </c>
      <c r="M746" t="s">
        <v>874</v>
      </c>
      <c r="N746" t="s">
        <v>875</v>
      </c>
      <c r="O746" s="9">
        <v>45717</v>
      </c>
      <c r="P746" t="s">
        <v>877</v>
      </c>
      <c r="Q746">
        <v>1350000</v>
      </c>
      <c r="R746" t="s">
        <v>850</v>
      </c>
      <c r="S746" t="s">
        <v>735</v>
      </c>
      <c r="T746" t="s">
        <v>736</v>
      </c>
      <c r="U746" t="s">
        <v>297</v>
      </c>
      <c r="V746" t="s">
        <v>7</v>
      </c>
      <c r="W746" t="s">
        <v>137</v>
      </c>
      <c r="X746" t="s">
        <v>24</v>
      </c>
    </row>
    <row r="747" spans="1:24">
      <c r="A747" t="s">
        <v>1642</v>
      </c>
      <c r="B747" s="8">
        <v>45669</v>
      </c>
      <c r="C747" t="s">
        <v>684</v>
      </c>
      <c r="D747" t="s">
        <v>817</v>
      </c>
      <c r="E747">
        <v>1</v>
      </c>
      <c r="F747">
        <v>75000</v>
      </c>
      <c r="G747">
        <v>75000</v>
      </c>
      <c r="H747" t="s">
        <v>872</v>
      </c>
      <c r="I747">
        <v>0</v>
      </c>
      <c r="J747">
        <v>25000</v>
      </c>
      <c r="K747">
        <v>100000</v>
      </c>
      <c r="L747" t="s">
        <v>884</v>
      </c>
      <c r="M747" t="s">
        <v>874</v>
      </c>
      <c r="N747" t="s">
        <v>875</v>
      </c>
      <c r="O747" s="9">
        <v>45658</v>
      </c>
      <c r="P747" t="s">
        <v>877</v>
      </c>
      <c r="Q747">
        <v>75000</v>
      </c>
      <c r="R747" t="s">
        <v>818</v>
      </c>
      <c r="S747" t="s">
        <v>743</v>
      </c>
      <c r="T747" t="s">
        <v>744</v>
      </c>
      <c r="U747" t="s">
        <v>685</v>
      </c>
      <c r="V747" t="s">
        <v>23</v>
      </c>
      <c r="W747" t="s">
        <v>46</v>
      </c>
      <c r="X747" t="s">
        <v>9</v>
      </c>
    </row>
    <row r="748" spans="1:24">
      <c r="A748" t="s">
        <v>1643</v>
      </c>
      <c r="B748" s="8">
        <v>45796</v>
      </c>
      <c r="C748" t="s">
        <v>646</v>
      </c>
      <c r="D748" t="s">
        <v>827</v>
      </c>
      <c r="E748">
        <v>2</v>
      </c>
      <c r="F748">
        <v>100000</v>
      </c>
      <c r="G748">
        <v>200000</v>
      </c>
      <c r="H748" t="s">
        <v>872</v>
      </c>
      <c r="I748">
        <v>0</v>
      </c>
      <c r="J748">
        <v>10000</v>
      </c>
      <c r="K748">
        <v>210000</v>
      </c>
      <c r="L748" t="s">
        <v>884</v>
      </c>
      <c r="M748" t="s">
        <v>874</v>
      </c>
      <c r="N748" t="s">
        <v>875</v>
      </c>
      <c r="O748" s="9">
        <v>45778</v>
      </c>
      <c r="P748" t="s">
        <v>877</v>
      </c>
      <c r="Q748">
        <v>200000</v>
      </c>
      <c r="R748" t="s">
        <v>828</v>
      </c>
      <c r="S748" t="s">
        <v>739</v>
      </c>
      <c r="T748" t="s">
        <v>740</v>
      </c>
      <c r="U748" t="s">
        <v>647</v>
      </c>
      <c r="V748" t="s">
        <v>23</v>
      </c>
      <c r="W748" t="s">
        <v>56</v>
      </c>
      <c r="X748" t="s">
        <v>15</v>
      </c>
    </row>
    <row r="749" spans="1:24">
      <c r="A749" t="s">
        <v>1644</v>
      </c>
      <c r="B749" s="8">
        <v>45700</v>
      </c>
      <c r="C749" t="s">
        <v>434</v>
      </c>
      <c r="D749" t="s">
        <v>755</v>
      </c>
      <c r="E749">
        <v>1</v>
      </c>
      <c r="F749">
        <v>50000</v>
      </c>
      <c r="G749">
        <v>50000</v>
      </c>
      <c r="H749" t="s">
        <v>872</v>
      </c>
      <c r="I749">
        <v>0</v>
      </c>
      <c r="J749">
        <v>15000</v>
      </c>
      <c r="K749">
        <v>65000</v>
      </c>
      <c r="L749" t="s">
        <v>884</v>
      </c>
      <c r="M749" t="s">
        <v>903</v>
      </c>
      <c r="N749" t="s">
        <v>921</v>
      </c>
      <c r="O749" s="9">
        <v>45689</v>
      </c>
      <c r="P749" t="s">
        <v>892</v>
      </c>
      <c r="Q749">
        <v>50000</v>
      </c>
      <c r="R749" t="s">
        <v>756</v>
      </c>
      <c r="S749" t="s">
        <v>739</v>
      </c>
      <c r="T749" t="s">
        <v>740</v>
      </c>
      <c r="U749" t="s">
        <v>435</v>
      </c>
      <c r="V749" t="s">
        <v>23</v>
      </c>
      <c r="W749" t="s">
        <v>137</v>
      </c>
      <c r="X749" t="s">
        <v>9</v>
      </c>
    </row>
    <row r="750" spans="1:24">
      <c r="A750" t="s">
        <v>1645</v>
      </c>
      <c r="B750" s="8">
        <v>45823</v>
      </c>
      <c r="C750" t="s">
        <v>79</v>
      </c>
      <c r="D750" t="s">
        <v>837</v>
      </c>
      <c r="E750">
        <v>1</v>
      </c>
      <c r="F750">
        <v>300000</v>
      </c>
      <c r="G750">
        <v>300000</v>
      </c>
      <c r="H750" t="s">
        <v>886</v>
      </c>
      <c r="I750">
        <v>30000</v>
      </c>
      <c r="J750">
        <v>10000</v>
      </c>
      <c r="K750">
        <v>280000</v>
      </c>
      <c r="L750" t="s">
        <v>873</v>
      </c>
      <c r="M750" t="s">
        <v>874</v>
      </c>
      <c r="N750" t="s">
        <v>921</v>
      </c>
      <c r="O750" s="9">
        <v>45809</v>
      </c>
      <c r="P750" t="s">
        <v>892</v>
      </c>
      <c r="Q750">
        <v>270000</v>
      </c>
      <c r="R750" t="s">
        <v>838</v>
      </c>
      <c r="S750" t="s">
        <v>735</v>
      </c>
      <c r="T750" t="s">
        <v>736</v>
      </c>
      <c r="U750" t="s">
        <v>80</v>
      </c>
      <c r="V750" t="s">
        <v>23</v>
      </c>
      <c r="W750" t="s">
        <v>51</v>
      </c>
      <c r="X750" t="s">
        <v>9</v>
      </c>
    </row>
    <row r="751" spans="1:24">
      <c r="A751" t="s">
        <v>1646</v>
      </c>
      <c r="B751" s="8">
        <v>45838</v>
      </c>
      <c r="C751" t="s">
        <v>664</v>
      </c>
      <c r="D751" t="s">
        <v>843</v>
      </c>
      <c r="E751">
        <v>1</v>
      </c>
      <c r="F751">
        <v>100000</v>
      </c>
      <c r="G751">
        <v>100000</v>
      </c>
      <c r="H751" t="s">
        <v>883</v>
      </c>
      <c r="I751">
        <v>10000</v>
      </c>
      <c r="J751">
        <v>30000</v>
      </c>
      <c r="K751">
        <v>120000</v>
      </c>
      <c r="L751" t="s">
        <v>873</v>
      </c>
      <c r="M751" t="s">
        <v>901</v>
      </c>
      <c r="N751" t="s">
        <v>911</v>
      </c>
      <c r="O751" s="9">
        <v>45809</v>
      </c>
      <c r="P751" t="s">
        <v>892</v>
      </c>
      <c r="Q751">
        <v>90000</v>
      </c>
      <c r="R751" t="s">
        <v>844</v>
      </c>
      <c r="S751" t="s">
        <v>747</v>
      </c>
      <c r="T751" t="s">
        <v>748</v>
      </c>
      <c r="U751" t="s">
        <v>665</v>
      </c>
      <c r="V751" t="s">
        <v>23</v>
      </c>
      <c r="W751" t="s">
        <v>8</v>
      </c>
      <c r="X751" t="s">
        <v>9</v>
      </c>
    </row>
    <row r="752" spans="1:24">
      <c r="A752" t="s">
        <v>1647</v>
      </c>
      <c r="B752" s="8">
        <v>45684</v>
      </c>
      <c r="C752" t="s">
        <v>414</v>
      </c>
      <c r="D752" t="s">
        <v>845</v>
      </c>
      <c r="E752">
        <v>2</v>
      </c>
      <c r="F752">
        <v>300000</v>
      </c>
      <c r="G752">
        <v>600000</v>
      </c>
      <c r="H752" t="s">
        <v>895</v>
      </c>
      <c r="I752">
        <v>90000</v>
      </c>
      <c r="J752">
        <v>15000</v>
      </c>
      <c r="K752">
        <v>525000</v>
      </c>
      <c r="L752" t="s">
        <v>880</v>
      </c>
      <c r="M752" t="s">
        <v>881</v>
      </c>
      <c r="N752" t="s">
        <v>875</v>
      </c>
      <c r="O752" s="9">
        <v>45658</v>
      </c>
      <c r="P752" t="s">
        <v>877</v>
      </c>
      <c r="Q752">
        <v>510000</v>
      </c>
      <c r="R752" t="s">
        <v>846</v>
      </c>
      <c r="S752" t="s">
        <v>727</v>
      </c>
      <c r="T752" t="s">
        <v>728</v>
      </c>
      <c r="U752" t="s">
        <v>415</v>
      </c>
      <c r="V752" t="s">
        <v>23</v>
      </c>
      <c r="W752" t="s">
        <v>39</v>
      </c>
      <c r="X752" t="s">
        <v>24</v>
      </c>
    </row>
    <row r="753" spans="1:24">
      <c r="A753" t="s">
        <v>1648</v>
      </c>
      <c r="B753" s="8">
        <v>45788</v>
      </c>
      <c r="C753" t="s">
        <v>170</v>
      </c>
      <c r="D753" t="s">
        <v>813</v>
      </c>
      <c r="E753">
        <v>2</v>
      </c>
      <c r="F753">
        <v>35000</v>
      </c>
      <c r="G753">
        <v>70000</v>
      </c>
      <c r="H753" t="s">
        <v>883</v>
      </c>
      <c r="I753">
        <v>7000</v>
      </c>
      <c r="J753">
        <v>10000</v>
      </c>
      <c r="K753">
        <v>73000</v>
      </c>
      <c r="L753" t="s">
        <v>884</v>
      </c>
      <c r="M753" t="s">
        <v>881</v>
      </c>
      <c r="N753" t="s">
        <v>875</v>
      </c>
      <c r="O753" s="9">
        <v>45778</v>
      </c>
      <c r="P753" t="s">
        <v>877</v>
      </c>
      <c r="Q753">
        <v>63000</v>
      </c>
      <c r="R753" t="s">
        <v>814</v>
      </c>
      <c r="S753" t="s">
        <v>735</v>
      </c>
      <c r="T753" t="s">
        <v>736</v>
      </c>
      <c r="U753" t="s">
        <v>171</v>
      </c>
      <c r="V753" t="s">
        <v>7</v>
      </c>
      <c r="W753" t="s">
        <v>29</v>
      </c>
      <c r="X753" t="s">
        <v>9</v>
      </c>
    </row>
    <row r="754" spans="1:24">
      <c r="A754" t="s">
        <v>1649</v>
      </c>
      <c r="B754" s="8">
        <v>45742</v>
      </c>
      <c r="C754" t="s">
        <v>552</v>
      </c>
      <c r="D754" t="s">
        <v>741</v>
      </c>
      <c r="E754">
        <v>1</v>
      </c>
      <c r="F754">
        <v>75000</v>
      </c>
      <c r="G754">
        <v>75000</v>
      </c>
      <c r="H754" t="s">
        <v>886</v>
      </c>
      <c r="I754">
        <v>7500</v>
      </c>
      <c r="J754">
        <v>30000</v>
      </c>
      <c r="K754">
        <v>97500</v>
      </c>
      <c r="L754" t="s">
        <v>884</v>
      </c>
      <c r="M754" t="s">
        <v>881</v>
      </c>
      <c r="N754" t="s">
        <v>875</v>
      </c>
      <c r="O754" s="9">
        <v>45717</v>
      </c>
      <c r="P754" t="s">
        <v>877</v>
      </c>
      <c r="Q754">
        <v>67500</v>
      </c>
      <c r="R754" t="s">
        <v>742</v>
      </c>
      <c r="S754" t="s">
        <v>743</v>
      </c>
      <c r="T754" t="s">
        <v>744</v>
      </c>
      <c r="U754" t="s">
        <v>553</v>
      </c>
      <c r="V754" t="s">
        <v>7</v>
      </c>
      <c r="W754" t="s">
        <v>46</v>
      </c>
      <c r="X754" t="s">
        <v>24</v>
      </c>
    </row>
    <row r="755" spans="1:24">
      <c r="A755" t="s">
        <v>1650</v>
      </c>
      <c r="B755" s="8">
        <v>45772</v>
      </c>
      <c r="C755" t="s">
        <v>458</v>
      </c>
      <c r="D755" t="s">
        <v>855</v>
      </c>
      <c r="E755">
        <v>4</v>
      </c>
      <c r="F755">
        <v>150000</v>
      </c>
      <c r="G755">
        <v>600000</v>
      </c>
      <c r="H755" t="s">
        <v>886</v>
      </c>
      <c r="I755">
        <v>60000</v>
      </c>
      <c r="J755">
        <v>20000</v>
      </c>
      <c r="K755">
        <v>560000</v>
      </c>
      <c r="L755" t="s">
        <v>884</v>
      </c>
      <c r="M755" t="s">
        <v>874</v>
      </c>
      <c r="N755" t="s">
        <v>875</v>
      </c>
      <c r="O755" s="9">
        <v>45748</v>
      </c>
      <c r="P755" t="s">
        <v>877</v>
      </c>
      <c r="Q755">
        <v>540000</v>
      </c>
      <c r="R755" t="s">
        <v>856</v>
      </c>
      <c r="S755" t="s">
        <v>747</v>
      </c>
      <c r="T755" t="s">
        <v>748</v>
      </c>
      <c r="U755" t="s">
        <v>459</v>
      </c>
      <c r="V755" t="s">
        <v>23</v>
      </c>
      <c r="W755" t="s">
        <v>20</v>
      </c>
      <c r="X755" t="s">
        <v>15</v>
      </c>
    </row>
    <row r="756" spans="1:24">
      <c r="A756" t="s">
        <v>1651</v>
      </c>
      <c r="B756" s="8">
        <v>45659</v>
      </c>
      <c r="C756" t="s">
        <v>220</v>
      </c>
      <c r="D756" t="s">
        <v>777</v>
      </c>
      <c r="E756">
        <v>1</v>
      </c>
      <c r="F756">
        <v>200000</v>
      </c>
      <c r="G756">
        <v>200000</v>
      </c>
      <c r="H756" t="s">
        <v>895</v>
      </c>
      <c r="I756">
        <v>30000</v>
      </c>
      <c r="J756">
        <v>30000</v>
      </c>
      <c r="K756">
        <v>200000</v>
      </c>
      <c r="L756" t="s">
        <v>884</v>
      </c>
      <c r="M756" t="s">
        <v>901</v>
      </c>
      <c r="N756" t="s">
        <v>875</v>
      </c>
      <c r="O756" s="9">
        <v>45658</v>
      </c>
      <c r="P756" t="s">
        <v>877</v>
      </c>
      <c r="Q756">
        <v>170000</v>
      </c>
      <c r="R756" t="s">
        <v>778</v>
      </c>
      <c r="S756" t="s">
        <v>735</v>
      </c>
      <c r="T756" t="s">
        <v>736</v>
      </c>
      <c r="U756" t="s">
        <v>221</v>
      </c>
      <c r="V756" t="s">
        <v>7</v>
      </c>
      <c r="W756" t="s">
        <v>29</v>
      </c>
      <c r="X756" t="s">
        <v>9</v>
      </c>
    </row>
    <row r="757" spans="1:24">
      <c r="A757" t="s">
        <v>1652</v>
      </c>
      <c r="B757" s="8">
        <v>45695</v>
      </c>
      <c r="C757" t="s">
        <v>314</v>
      </c>
      <c r="D757" t="s">
        <v>835</v>
      </c>
      <c r="E757">
        <v>1</v>
      </c>
      <c r="F757">
        <v>200000</v>
      </c>
      <c r="G757">
        <v>200000</v>
      </c>
      <c r="H757" t="s">
        <v>872</v>
      </c>
      <c r="I757">
        <v>0</v>
      </c>
      <c r="J757">
        <v>20000</v>
      </c>
      <c r="K757">
        <v>220000</v>
      </c>
      <c r="L757" t="s">
        <v>873</v>
      </c>
      <c r="M757" t="s">
        <v>903</v>
      </c>
      <c r="N757" t="s">
        <v>875</v>
      </c>
      <c r="O757" s="9">
        <v>45689</v>
      </c>
      <c r="P757" t="s">
        <v>877</v>
      </c>
      <c r="Q757">
        <v>200000</v>
      </c>
      <c r="R757" t="s">
        <v>836</v>
      </c>
      <c r="S757" t="s">
        <v>731</v>
      </c>
      <c r="T757" t="s">
        <v>732</v>
      </c>
      <c r="U757" t="s">
        <v>315</v>
      </c>
      <c r="V757" t="s">
        <v>23</v>
      </c>
      <c r="W757" t="s">
        <v>56</v>
      </c>
      <c r="X757" t="s">
        <v>9</v>
      </c>
    </row>
    <row r="758" spans="1:24">
      <c r="A758" t="s">
        <v>1653</v>
      </c>
      <c r="B758" s="8">
        <v>45658</v>
      </c>
      <c r="C758" t="s">
        <v>632</v>
      </c>
      <c r="D758" t="s">
        <v>741</v>
      </c>
      <c r="E758">
        <v>2</v>
      </c>
      <c r="F758">
        <v>75000</v>
      </c>
      <c r="G758">
        <v>150000</v>
      </c>
      <c r="H758" t="s">
        <v>879</v>
      </c>
      <c r="I758">
        <v>30000</v>
      </c>
      <c r="J758">
        <v>25000</v>
      </c>
      <c r="K758">
        <v>145000</v>
      </c>
      <c r="L758" t="s">
        <v>873</v>
      </c>
      <c r="M758" t="s">
        <v>901</v>
      </c>
      <c r="N758" t="s">
        <v>875</v>
      </c>
      <c r="O758" s="9">
        <v>45658</v>
      </c>
      <c r="P758" t="s">
        <v>877</v>
      </c>
      <c r="Q758">
        <v>120000</v>
      </c>
      <c r="R758" t="s">
        <v>742</v>
      </c>
      <c r="S758" t="s">
        <v>743</v>
      </c>
      <c r="T758" t="s">
        <v>744</v>
      </c>
      <c r="U758" t="s">
        <v>633</v>
      </c>
      <c r="V758" t="s">
        <v>23</v>
      </c>
      <c r="W758" t="s">
        <v>29</v>
      </c>
      <c r="X758" t="s">
        <v>9</v>
      </c>
    </row>
    <row r="759" spans="1:24">
      <c r="A759" t="s">
        <v>1654</v>
      </c>
      <c r="B759" s="8">
        <v>45751</v>
      </c>
      <c r="C759" t="s">
        <v>540</v>
      </c>
      <c r="D759" t="s">
        <v>803</v>
      </c>
      <c r="E759">
        <v>3</v>
      </c>
      <c r="F759">
        <v>50000</v>
      </c>
      <c r="G759">
        <v>150000</v>
      </c>
      <c r="H759" t="s">
        <v>883</v>
      </c>
      <c r="I759">
        <v>15000</v>
      </c>
      <c r="J759">
        <v>30000</v>
      </c>
      <c r="K759">
        <v>165000</v>
      </c>
      <c r="L759" t="s">
        <v>889</v>
      </c>
      <c r="M759" t="s">
        <v>903</v>
      </c>
      <c r="N759" t="s">
        <v>875</v>
      </c>
      <c r="O759" s="9">
        <v>45748</v>
      </c>
      <c r="P759" t="s">
        <v>877</v>
      </c>
      <c r="Q759">
        <v>135000</v>
      </c>
      <c r="R759" t="s">
        <v>804</v>
      </c>
      <c r="S759" t="s">
        <v>739</v>
      </c>
      <c r="T759" t="s">
        <v>740</v>
      </c>
      <c r="U759" t="s">
        <v>541</v>
      </c>
      <c r="V759" t="s">
        <v>23</v>
      </c>
      <c r="W759" t="s">
        <v>137</v>
      </c>
      <c r="X759" t="s">
        <v>9</v>
      </c>
    </row>
    <row r="760" spans="1:24">
      <c r="A760" t="s">
        <v>1655</v>
      </c>
      <c r="B760" s="8">
        <v>45816</v>
      </c>
      <c r="C760" t="s">
        <v>156</v>
      </c>
      <c r="D760" t="s">
        <v>783</v>
      </c>
      <c r="E760">
        <v>3</v>
      </c>
      <c r="F760">
        <v>500000</v>
      </c>
      <c r="G760">
        <v>1500000</v>
      </c>
      <c r="H760" t="s">
        <v>886</v>
      </c>
      <c r="I760">
        <v>150000</v>
      </c>
      <c r="J760">
        <v>15000</v>
      </c>
      <c r="K760">
        <v>1365000</v>
      </c>
      <c r="L760" t="s">
        <v>884</v>
      </c>
      <c r="M760" t="s">
        <v>874</v>
      </c>
      <c r="N760" t="s">
        <v>905</v>
      </c>
      <c r="O760" s="9">
        <v>45809</v>
      </c>
      <c r="P760" t="s">
        <v>892</v>
      </c>
      <c r="Q760">
        <v>1350000</v>
      </c>
      <c r="R760" t="s">
        <v>784</v>
      </c>
      <c r="S760" t="s">
        <v>747</v>
      </c>
      <c r="T760" t="s">
        <v>748</v>
      </c>
      <c r="U760" t="s">
        <v>157</v>
      </c>
      <c r="V760" t="s">
        <v>23</v>
      </c>
      <c r="W760" t="s">
        <v>137</v>
      </c>
      <c r="X760" t="s">
        <v>15</v>
      </c>
    </row>
    <row r="761" spans="1:24">
      <c r="A761" t="s">
        <v>1656</v>
      </c>
      <c r="B761" s="8">
        <v>45773</v>
      </c>
      <c r="C761" t="s">
        <v>682</v>
      </c>
      <c r="D761" t="s">
        <v>761</v>
      </c>
      <c r="E761">
        <v>2</v>
      </c>
      <c r="F761">
        <v>75000</v>
      </c>
      <c r="G761">
        <v>150000</v>
      </c>
      <c r="H761" t="s">
        <v>872</v>
      </c>
      <c r="I761">
        <v>0</v>
      </c>
      <c r="J761">
        <v>25000</v>
      </c>
      <c r="K761">
        <v>175000</v>
      </c>
      <c r="L761" t="s">
        <v>880</v>
      </c>
      <c r="M761" t="s">
        <v>874</v>
      </c>
      <c r="N761" t="s">
        <v>875</v>
      </c>
      <c r="O761" s="9">
        <v>45748</v>
      </c>
      <c r="P761" t="s">
        <v>877</v>
      </c>
      <c r="Q761">
        <v>150000</v>
      </c>
      <c r="R761" t="s">
        <v>762</v>
      </c>
      <c r="S761" t="s">
        <v>727</v>
      </c>
      <c r="T761" t="s">
        <v>728</v>
      </c>
      <c r="U761" t="s">
        <v>683</v>
      </c>
      <c r="V761" t="s">
        <v>7</v>
      </c>
      <c r="W761" t="s">
        <v>137</v>
      </c>
      <c r="X761" t="s">
        <v>9</v>
      </c>
    </row>
    <row r="762" spans="1:24">
      <c r="A762" t="s">
        <v>1657</v>
      </c>
      <c r="B762" s="8">
        <v>45794</v>
      </c>
      <c r="C762" t="s">
        <v>374</v>
      </c>
      <c r="D762" t="s">
        <v>761</v>
      </c>
      <c r="E762">
        <v>2</v>
      </c>
      <c r="F762">
        <v>75000</v>
      </c>
      <c r="G762">
        <v>150000</v>
      </c>
      <c r="H762" t="s">
        <v>872</v>
      </c>
      <c r="I762">
        <v>0</v>
      </c>
      <c r="J762">
        <v>30000</v>
      </c>
      <c r="K762">
        <v>180000</v>
      </c>
      <c r="L762" t="s">
        <v>873</v>
      </c>
      <c r="M762" t="s">
        <v>874</v>
      </c>
      <c r="N762" t="s">
        <v>875</v>
      </c>
      <c r="O762" s="9">
        <v>45778</v>
      </c>
      <c r="P762" t="s">
        <v>877</v>
      </c>
      <c r="Q762">
        <v>150000</v>
      </c>
      <c r="R762" t="s">
        <v>762</v>
      </c>
      <c r="S762" t="s">
        <v>727</v>
      </c>
      <c r="T762" t="s">
        <v>728</v>
      </c>
      <c r="U762" t="s">
        <v>375</v>
      </c>
      <c r="V762" t="s">
        <v>23</v>
      </c>
      <c r="W762" t="s">
        <v>137</v>
      </c>
      <c r="X762" t="s">
        <v>9</v>
      </c>
    </row>
    <row r="763" spans="1:24">
      <c r="A763" t="s">
        <v>1658</v>
      </c>
      <c r="B763" s="8">
        <v>45826</v>
      </c>
      <c r="C763" t="s">
        <v>678</v>
      </c>
      <c r="D763" t="s">
        <v>783</v>
      </c>
      <c r="E763">
        <v>1</v>
      </c>
      <c r="F763">
        <v>500000</v>
      </c>
      <c r="G763">
        <v>500000</v>
      </c>
      <c r="H763" t="s">
        <v>872</v>
      </c>
      <c r="I763">
        <v>0</v>
      </c>
      <c r="J763">
        <v>20000</v>
      </c>
      <c r="K763">
        <v>520000</v>
      </c>
      <c r="L763" t="s">
        <v>880</v>
      </c>
      <c r="M763" t="s">
        <v>903</v>
      </c>
      <c r="N763" t="s">
        <v>875</v>
      </c>
      <c r="O763" s="9">
        <v>45809</v>
      </c>
      <c r="P763" t="s">
        <v>877</v>
      </c>
      <c r="Q763">
        <v>500000</v>
      </c>
      <c r="R763" t="s">
        <v>784</v>
      </c>
      <c r="S763" t="s">
        <v>747</v>
      </c>
      <c r="T763" t="s">
        <v>748</v>
      </c>
      <c r="U763" t="s">
        <v>679</v>
      </c>
      <c r="V763" t="s">
        <v>7</v>
      </c>
      <c r="W763" t="s">
        <v>46</v>
      </c>
      <c r="X763" t="s">
        <v>9</v>
      </c>
    </row>
    <row r="764" spans="1:24">
      <c r="A764" t="s">
        <v>1659</v>
      </c>
      <c r="B764" s="8">
        <v>45686</v>
      </c>
      <c r="C764" t="s">
        <v>320</v>
      </c>
      <c r="D764" t="s">
        <v>841</v>
      </c>
      <c r="E764">
        <v>3</v>
      </c>
      <c r="F764">
        <v>75000</v>
      </c>
      <c r="G764">
        <v>225000</v>
      </c>
      <c r="H764" t="s">
        <v>879</v>
      </c>
      <c r="I764">
        <v>45000</v>
      </c>
      <c r="J764">
        <v>10000</v>
      </c>
      <c r="K764">
        <v>190000</v>
      </c>
      <c r="L764" t="s">
        <v>889</v>
      </c>
      <c r="M764" t="s">
        <v>901</v>
      </c>
      <c r="N764" t="s">
        <v>875</v>
      </c>
      <c r="O764" s="9">
        <v>45658</v>
      </c>
      <c r="P764" t="s">
        <v>877</v>
      </c>
      <c r="Q764">
        <v>180000</v>
      </c>
      <c r="R764" t="s">
        <v>842</v>
      </c>
      <c r="S764" t="s">
        <v>743</v>
      </c>
      <c r="T764" t="s">
        <v>744</v>
      </c>
      <c r="U764" t="s">
        <v>321</v>
      </c>
      <c r="V764" t="s">
        <v>7</v>
      </c>
      <c r="W764" t="s">
        <v>56</v>
      </c>
      <c r="X764" t="s">
        <v>9</v>
      </c>
    </row>
    <row r="765" spans="1:24">
      <c r="A765" t="s">
        <v>1660</v>
      </c>
      <c r="B765" s="8">
        <v>45799</v>
      </c>
      <c r="C765" t="s">
        <v>204</v>
      </c>
      <c r="D765" t="s">
        <v>775</v>
      </c>
      <c r="E765">
        <v>3</v>
      </c>
      <c r="F765">
        <v>75000</v>
      </c>
      <c r="G765">
        <v>225000</v>
      </c>
      <c r="H765" t="s">
        <v>883</v>
      </c>
      <c r="I765">
        <v>22500</v>
      </c>
      <c r="J765">
        <v>10000</v>
      </c>
      <c r="K765">
        <v>212500</v>
      </c>
      <c r="L765" t="s">
        <v>884</v>
      </c>
      <c r="M765" t="s">
        <v>901</v>
      </c>
      <c r="N765" t="s">
        <v>905</v>
      </c>
      <c r="O765" s="9">
        <v>45778</v>
      </c>
      <c r="P765" t="s">
        <v>892</v>
      </c>
      <c r="Q765">
        <v>202500</v>
      </c>
      <c r="R765" t="s">
        <v>776</v>
      </c>
      <c r="S765" t="s">
        <v>731</v>
      </c>
      <c r="T765" t="s">
        <v>732</v>
      </c>
      <c r="U765" t="s">
        <v>205</v>
      </c>
      <c r="V765" t="s">
        <v>7</v>
      </c>
      <c r="W765" t="s">
        <v>56</v>
      </c>
      <c r="X765" t="s">
        <v>9</v>
      </c>
    </row>
    <row r="766" spans="1:24">
      <c r="A766" t="s">
        <v>1661</v>
      </c>
      <c r="B766" s="8">
        <v>45675</v>
      </c>
      <c r="C766" t="s">
        <v>164</v>
      </c>
      <c r="D766" t="s">
        <v>801</v>
      </c>
      <c r="E766">
        <v>2</v>
      </c>
      <c r="F766">
        <v>100000</v>
      </c>
      <c r="G766">
        <v>200000</v>
      </c>
      <c r="H766" t="s">
        <v>895</v>
      </c>
      <c r="I766">
        <v>30000</v>
      </c>
      <c r="J766">
        <v>30000</v>
      </c>
      <c r="K766">
        <v>200000</v>
      </c>
      <c r="L766" t="s">
        <v>880</v>
      </c>
      <c r="M766" t="s">
        <v>903</v>
      </c>
      <c r="N766" t="s">
        <v>890</v>
      </c>
      <c r="O766" s="9">
        <v>45658</v>
      </c>
      <c r="P766" t="s">
        <v>892</v>
      </c>
      <c r="Q766">
        <v>170000</v>
      </c>
      <c r="R766" t="s">
        <v>802</v>
      </c>
      <c r="S766" t="s">
        <v>735</v>
      </c>
      <c r="T766" t="s">
        <v>736</v>
      </c>
      <c r="U766" t="s">
        <v>165</v>
      </c>
      <c r="V766" t="s">
        <v>7</v>
      </c>
      <c r="W766" t="s">
        <v>51</v>
      </c>
      <c r="X766" t="s">
        <v>24</v>
      </c>
    </row>
    <row r="767" spans="1:24">
      <c r="A767" t="s">
        <v>1662</v>
      </c>
      <c r="B767" s="8">
        <v>45691</v>
      </c>
      <c r="C767" t="s">
        <v>186</v>
      </c>
      <c r="D767" t="s">
        <v>785</v>
      </c>
      <c r="E767">
        <v>2</v>
      </c>
      <c r="F767">
        <v>100000</v>
      </c>
      <c r="G767">
        <v>200000</v>
      </c>
      <c r="H767" t="s">
        <v>872</v>
      </c>
      <c r="I767">
        <v>0</v>
      </c>
      <c r="J767">
        <v>15000</v>
      </c>
      <c r="K767">
        <v>215000</v>
      </c>
      <c r="L767" t="s">
        <v>873</v>
      </c>
      <c r="M767" t="s">
        <v>881</v>
      </c>
      <c r="N767" t="s">
        <v>921</v>
      </c>
      <c r="O767" s="9">
        <v>45689</v>
      </c>
      <c r="P767" t="s">
        <v>892</v>
      </c>
      <c r="Q767">
        <v>200000</v>
      </c>
      <c r="R767" t="s">
        <v>786</v>
      </c>
      <c r="S767" t="s">
        <v>727</v>
      </c>
      <c r="T767" t="s">
        <v>728</v>
      </c>
      <c r="U767" t="s">
        <v>187</v>
      </c>
      <c r="V767" t="s">
        <v>23</v>
      </c>
      <c r="W767" t="s">
        <v>51</v>
      </c>
      <c r="X767" t="s">
        <v>9</v>
      </c>
    </row>
    <row r="768" spans="1:24">
      <c r="A768" t="s">
        <v>1663</v>
      </c>
      <c r="B768" s="8">
        <v>45784</v>
      </c>
      <c r="C768" t="s">
        <v>178</v>
      </c>
      <c r="D768" t="s">
        <v>749</v>
      </c>
      <c r="E768">
        <v>1</v>
      </c>
      <c r="F768">
        <v>150000</v>
      </c>
      <c r="G768">
        <v>150000</v>
      </c>
      <c r="H768" t="s">
        <v>872</v>
      </c>
      <c r="I768">
        <v>0</v>
      </c>
      <c r="J768">
        <v>30000</v>
      </c>
      <c r="K768">
        <v>180000</v>
      </c>
      <c r="L768" t="s">
        <v>884</v>
      </c>
      <c r="M768" t="s">
        <v>874</v>
      </c>
      <c r="N768" t="s">
        <v>875</v>
      </c>
      <c r="O768" s="9">
        <v>45778</v>
      </c>
      <c r="P768" t="s">
        <v>877</v>
      </c>
      <c r="Q768">
        <v>150000</v>
      </c>
      <c r="R768" t="s">
        <v>750</v>
      </c>
      <c r="S768" t="s">
        <v>727</v>
      </c>
      <c r="T768" t="s">
        <v>728</v>
      </c>
      <c r="U768" t="s">
        <v>179</v>
      </c>
      <c r="V768" t="s">
        <v>7</v>
      </c>
      <c r="W768" t="s">
        <v>137</v>
      </c>
      <c r="X768" t="s">
        <v>24</v>
      </c>
    </row>
    <row r="769" spans="1:24">
      <c r="A769" t="s">
        <v>1664</v>
      </c>
      <c r="B769" s="8">
        <v>45835</v>
      </c>
      <c r="C769" t="s">
        <v>474</v>
      </c>
      <c r="D769" t="s">
        <v>831</v>
      </c>
      <c r="E769">
        <v>1</v>
      </c>
      <c r="F769">
        <v>300000</v>
      </c>
      <c r="G769">
        <v>300000</v>
      </c>
      <c r="H769" t="s">
        <v>895</v>
      </c>
      <c r="I769">
        <v>45000</v>
      </c>
      <c r="J769">
        <v>15000</v>
      </c>
      <c r="K769">
        <v>270000</v>
      </c>
      <c r="L769" t="s">
        <v>884</v>
      </c>
      <c r="M769" t="s">
        <v>881</v>
      </c>
      <c r="N769" t="s">
        <v>875</v>
      </c>
      <c r="O769" s="9">
        <v>45809</v>
      </c>
      <c r="P769" t="s">
        <v>877</v>
      </c>
      <c r="Q769">
        <v>255000</v>
      </c>
      <c r="R769" t="s">
        <v>832</v>
      </c>
      <c r="S769" t="s">
        <v>747</v>
      </c>
      <c r="T769" t="s">
        <v>748</v>
      </c>
      <c r="U769" t="s">
        <v>475</v>
      </c>
      <c r="V769" t="s">
        <v>7</v>
      </c>
      <c r="W769" t="s">
        <v>46</v>
      </c>
      <c r="X769" t="s">
        <v>9</v>
      </c>
    </row>
    <row r="770" spans="1:24">
      <c r="A770" t="s">
        <v>1665</v>
      </c>
      <c r="B770" s="8">
        <v>45794</v>
      </c>
      <c r="C770" t="s">
        <v>202</v>
      </c>
      <c r="D770" t="s">
        <v>841</v>
      </c>
      <c r="E770">
        <v>2</v>
      </c>
      <c r="F770">
        <v>75000</v>
      </c>
      <c r="G770">
        <v>150000</v>
      </c>
      <c r="H770" t="s">
        <v>872</v>
      </c>
      <c r="I770">
        <v>0</v>
      </c>
      <c r="J770">
        <v>10000</v>
      </c>
      <c r="K770">
        <v>160000</v>
      </c>
      <c r="L770" t="s">
        <v>884</v>
      </c>
      <c r="M770" t="s">
        <v>881</v>
      </c>
      <c r="N770" t="s">
        <v>875</v>
      </c>
      <c r="O770" s="9">
        <v>45778</v>
      </c>
      <c r="P770" t="s">
        <v>877</v>
      </c>
      <c r="Q770">
        <v>150000</v>
      </c>
      <c r="R770" t="s">
        <v>842</v>
      </c>
      <c r="S770" t="s">
        <v>743</v>
      </c>
      <c r="T770" t="s">
        <v>744</v>
      </c>
      <c r="U770" t="s">
        <v>203</v>
      </c>
      <c r="V770" t="s">
        <v>7</v>
      </c>
      <c r="W770" t="s">
        <v>8</v>
      </c>
      <c r="X770" t="s">
        <v>15</v>
      </c>
    </row>
    <row r="771" spans="1:24">
      <c r="A771" t="s">
        <v>1666</v>
      </c>
      <c r="B771" s="8">
        <v>45758</v>
      </c>
      <c r="C771" t="s">
        <v>414</v>
      </c>
      <c r="D771" t="s">
        <v>825</v>
      </c>
      <c r="E771">
        <v>1</v>
      </c>
      <c r="F771">
        <v>100000</v>
      </c>
      <c r="G771">
        <v>100000</v>
      </c>
      <c r="H771" t="s">
        <v>872</v>
      </c>
      <c r="I771">
        <v>0</v>
      </c>
      <c r="J771">
        <v>15000</v>
      </c>
      <c r="K771">
        <v>115000</v>
      </c>
      <c r="L771" t="s">
        <v>884</v>
      </c>
      <c r="M771" t="s">
        <v>901</v>
      </c>
      <c r="N771" t="s">
        <v>875</v>
      </c>
      <c r="O771" s="9">
        <v>45748</v>
      </c>
      <c r="P771" t="s">
        <v>877</v>
      </c>
      <c r="Q771">
        <v>100000</v>
      </c>
      <c r="R771" t="s">
        <v>826</v>
      </c>
      <c r="S771" t="s">
        <v>735</v>
      </c>
      <c r="T771" t="s">
        <v>736</v>
      </c>
      <c r="U771" t="s">
        <v>415</v>
      </c>
      <c r="V771" t="s">
        <v>23</v>
      </c>
      <c r="W771" t="s">
        <v>39</v>
      </c>
      <c r="X771" t="s">
        <v>24</v>
      </c>
    </row>
    <row r="772" spans="1:24">
      <c r="A772" t="s">
        <v>1667</v>
      </c>
      <c r="B772" s="8">
        <v>45688</v>
      </c>
      <c r="C772" t="s">
        <v>648</v>
      </c>
      <c r="D772" t="s">
        <v>797</v>
      </c>
      <c r="E772">
        <v>2</v>
      </c>
      <c r="F772">
        <v>150000</v>
      </c>
      <c r="G772">
        <v>300000</v>
      </c>
      <c r="H772" t="s">
        <v>872</v>
      </c>
      <c r="I772">
        <v>0</v>
      </c>
      <c r="J772">
        <v>15000</v>
      </c>
      <c r="K772">
        <v>315000</v>
      </c>
      <c r="L772" t="s">
        <v>889</v>
      </c>
      <c r="M772" t="s">
        <v>874</v>
      </c>
      <c r="N772" t="s">
        <v>875</v>
      </c>
      <c r="O772" s="9">
        <v>45658</v>
      </c>
      <c r="P772" t="s">
        <v>877</v>
      </c>
      <c r="Q772">
        <v>300000</v>
      </c>
      <c r="R772" t="s">
        <v>798</v>
      </c>
      <c r="S772" t="s">
        <v>727</v>
      </c>
      <c r="T772" t="s">
        <v>728</v>
      </c>
      <c r="U772" t="s">
        <v>649</v>
      </c>
      <c r="V772" t="s">
        <v>7</v>
      </c>
      <c r="W772" t="s">
        <v>8</v>
      </c>
      <c r="X772" t="s">
        <v>24</v>
      </c>
    </row>
    <row r="773" spans="1:24">
      <c r="A773" t="s">
        <v>1668</v>
      </c>
      <c r="B773" s="8">
        <v>45681</v>
      </c>
      <c r="C773" t="s">
        <v>236</v>
      </c>
      <c r="D773" t="s">
        <v>843</v>
      </c>
      <c r="E773">
        <v>1</v>
      </c>
      <c r="F773">
        <v>100000</v>
      </c>
      <c r="G773">
        <v>100000</v>
      </c>
      <c r="H773" t="s">
        <v>872</v>
      </c>
      <c r="I773">
        <v>0</v>
      </c>
      <c r="J773">
        <v>30000</v>
      </c>
      <c r="K773">
        <v>130000</v>
      </c>
      <c r="L773" t="s">
        <v>880</v>
      </c>
      <c r="M773" t="s">
        <v>903</v>
      </c>
      <c r="N773" t="s">
        <v>875</v>
      </c>
      <c r="O773" s="9">
        <v>45658</v>
      </c>
      <c r="P773" t="s">
        <v>877</v>
      </c>
      <c r="Q773">
        <v>100000</v>
      </c>
      <c r="R773" t="s">
        <v>844</v>
      </c>
      <c r="S773" t="s">
        <v>747</v>
      </c>
      <c r="T773" t="s">
        <v>748</v>
      </c>
      <c r="U773" t="s">
        <v>237</v>
      </c>
      <c r="V773" t="s">
        <v>7</v>
      </c>
      <c r="W773" t="s">
        <v>29</v>
      </c>
      <c r="X773" t="s">
        <v>15</v>
      </c>
    </row>
    <row r="774" spans="1:24">
      <c r="A774" t="s">
        <v>1669</v>
      </c>
      <c r="B774" s="8">
        <v>45683</v>
      </c>
      <c r="C774" t="s">
        <v>292</v>
      </c>
      <c r="D774" t="s">
        <v>855</v>
      </c>
      <c r="E774">
        <v>1</v>
      </c>
      <c r="F774">
        <v>150000</v>
      </c>
      <c r="G774">
        <v>150000</v>
      </c>
      <c r="H774" t="s">
        <v>886</v>
      </c>
      <c r="I774">
        <v>15000</v>
      </c>
      <c r="J774">
        <v>30000</v>
      </c>
      <c r="K774">
        <v>165000</v>
      </c>
      <c r="L774" t="s">
        <v>884</v>
      </c>
      <c r="M774" t="s">
        <v>903</v>
      </c>
      <c r="N774" t="s">
        <v>921</v>
      </c>
      <c r="O774" s="9">
        <v>45658</v>
      </c>
      <c r="P774" t="s">
        <v>892</v>
      </c>
      <c r="Q774">
        <v>135000</v>
      </c>
      <c r="R774" t="s">
        <v>856</v>
      </c>
      <c r="S774" t="s">
        <v>747</v>
      </c>
      <c r="T774" t="s">
        <v>748</v>
      </c>
      <c r="U774" t="s">
        <v>293</v>
      </c>
      <c r="V774" t="s">
        <v>23</v>
      </c>
      <c r="W774" t="s">
        <v>46</v>
      </c>
      <c r="X774" t="s">
        <v>9</v>
      </c>
    </row>
    <row r="775" spans="1:24">
      <c r="A775" t="s">
        <v>1670</v>
      </c>
      <c r="B775" s="8">
        <v>45749</v>
      </c>
      <c r="C775" t="s">
        <v>488</v>
      </c>
      <c r="D775" t="s">
        <v>757</v>
      </c>
      <c r="E775">
        <v>4</v>
      </c>
      <c r="F775">
        <v>75000</v>
      </c>
      <c r="G775">
        <v>300000</v>
      </c>
      <c r="H775" t="s">
        <v>872</v>
      </c>
      <c r="I775">
        <v>0</v>
      </c>
      <c r="J775">
        <v>25000</v>
      </c>
      <c r="K775">
        <v>325000</v>
      </c>
      <c r="L775" t="s">
        <v>873</v>
      </c>
      <c r="M775" t="s">
        <v>903</v>
      </c>
      <c r="N775" t="s">
        <v>905</v>
      </c>
      <c r="O775" s="9">
        <v>45748</v>
      </c>
      <c r="P775" t="s">
        <v>892</v>
      </c>
      <c r="Q775">
        <v>300000</v>
      </c>
      <c r="R775" t="s">
        <v>758</v>
      </c>
      <c r="S775" t="s">
        <v>743</v>
      </c>
      <c r="T775" t="s">
        <v>744</v>
      </c>
      <c r="U775" t="s">
        <v>489</v>
      </c>
      <c r="V775" t="s">
        <v>23</v>
      </c>
      <c r="W775" t="s">
        <v>20</v>
      </c>
      <c r="X775" t="s">
        <v>15</v>
      </c>
    </row>
    <row r="776" spans="1:24">
      <c r="A776" t="s">
        <v>1671</v>
      </c>
      <c r="B776" s="8">
        <v>45672</v>
      </c>
      <c r="C776" t="s">
        <v>220</v>
      </c>
      <c r="D776" t="s">
        <v>809</v>
      </c>
      <c r="E776">
        <v>4</v>
      </c>
      <c r="F776">
        <v>100000</v>
      </c>
      <c r="G776">
        <v>400000</v>
      </c>
      <c r="H776" t="s">
        <v>872</v>
      </c>
      <c r="I776">
        <v>0</v>
      </c>
      <c r="J776">
        <v>25000</v>
      </c>
      <c r="K776">
        <v>425000</v>
      </c>
      <c r="L776" t="s">
        <v>889</v>
      </c>
      <c r="M776" t="s">
        <v>874</v>
      </c>
      <c r="N776" t="s">
        <v>911</v>
      </c>
      <c r="O776" s="9">
        <v>45658</v>
      </c>
      <c r="P776" t="s">
        <v>892</v>
      </c>
      <c r="Q776">
        <v>400000</v>
      </c>
      <c r="R776" t="s">
        <v>810</v>
      </c>
      <c r="S776" t="s">
        <v>727</v>
      </c>
      <c r="T776" t="s">
        <v>728</v>
      </c>
      <c r="U776" t="s">
        <v>221</v>
      </c>
      <c r="V776" t="s">
        <v>7</v>
      </c>
      <c r="W776" t="s">
        <v>29</v>
      </c>
      <c r="X776" t="s">
        <v>9</v>
      </c>
    </row>
    <row r="777" spans="1:24">
      <c r="A777" t="s">
        <v>1672</v>
      </c>
      <c r="B777" s="8">
        <v>45789</v>
      </c>
      <c r="C777" t="s">
        <v>446</v>
      </c>
      <c r="D777" t="s">
        <v>835</v>
      </c>
      <c r="E777">
        <v>3</v>
      </c>
      <c r="F777">
        <v>200000</v>
      </c>
      <c r="G777">
        <v>600000</v>
      </c>
      <c r="H777" t="s">
        <v>886</v>
      </c>
      <c r="I777">
        <v>60000</v>
      </c>
      <c r="J777">
        <v>15000</v>
      </c>
      <c r="K777">
        <v>555000</v>
      </c>
      <c r="L777" t="s">
        <v>880</v>
      </c>
      <c r="M777" t="s">
        <v>881</v>
      </c>
      <c r="N777" t="s">
        <v>875</v>
      </c>
      <c r="O777" s="9">
        <v>45778</v>
      </c>
      <c r="P777" t="s">
        <v>877</v>
      </c>
      <c r="Q777">
        <v>540000</v>
      </c>
      <c r="R777" t="s">
        <v>836</v>
      </c>
      <c r="S777" t="s">
        <v>731</v>
      </c>
      <c r="T777" t="s">
        <v>732</v>
      </c>
      <c r="U777" t="s">
        <v>447</v>
      </c>
      <c r="V777" t="s">
        <v>23</v>
      </c>
      <c r="W777" t="s">
        <v>8</v>
      </c>
      <c r="X777" t="s">
        <v>9</v>
      </c>
    </row>
    <row r="778" spans="1:24">
      <c r="A778" t="s">
        <v>1673</v>
      </c>
      <c r="B778" s="8">
        <v>45780</v>
      </c>
      <c r="C778" t="s">
        <v>290</v>
      </c>
      <c r="D778" t="s">
        <v>793</v>
      </c>
      <c r="E778">
        <v>1</v>
      </c>
      <c r="F778">
        <v>500000</v>
      </c>
      <c r="G778">
        <v>500000</v>
      </c>
      <c r="H778" t="s">
        <v>872</v>
      </c>
      <c r="I778">
        <v>0</v>
      </c>
      <c r="J778">
        <v>15000</v>
      </c>
      <c r="K778">
        <v>515000</v>
      </c>
      <c r="L778" t="s">
        <v>889</v>
      </c>
      <c r="M778" t="s">
        <v>903</v>
      </c>
      <c r="N778" t="s">
        <v>890</v>
      </c>
      <c r="O778" s="9">
        <v>45778</v>
      </c>
      <c r="P778" t="s">
        <v>892</v>
      </c>
      <c r="Q778">
        <v>500000</v>
      </c>
      <c r="R778" t="s">
        <v>794</v>
      </c>
      <c r="S778" t="s">
        <v>743</v>
      </c>
      <c r="T778" t="s">
        <v>744</v>
      </c>
      <c r="U778" t="s">
        <v>291</v>
      </c>
      <c r="V778" t="s">
        <v>23</v>
      </c>
      <c r="W778" t="s">
        <v>12</v>
      </c>
      <c r="X778" t="s">
        <v>9</v>
      </c>
    </row>
    <row r="779" spans="1:24">
      <c r="A779" t="s">
        <v>1674</v>
      </c>
      <c r="B779" s="8">
        <v>45794</v>
      </c>
      <c r="C779" t="s">
        <v>400</v>
      </c>
      <c r="D779" t="s">
        <v>823</v>
      </c>
      <c r="E779">
        <v>2</v>
      </c>
      <c r="F779">
        <v>500000</v>
      </c>
      <c r="G779">
        <v>1000000</v>
      </c>
      <c r="H779" t="s">
        <v>872</v>
      </c>
      <c r="I779">
        <v>0</v>
      </c>
      <c r="J779">
        <v>10000</v>
      </c>
      <c r="K779">
        <v>1010000</v>
      </c>
      <c r="L779" t="s">
        <v>873</v>
      </c>
      <c r="M779" t="s">
        <v>874</v>
      </c>
      <c r="N779" t="s">
        <v>875</v>
      </c>
      <c r="O779" s="9">
        <v>45778</v>
      </c>
      <c r="P779" t="s">
        <v>877</v>
      </c>
      <c r="Q779">
        <v>1000000</v>
      </c>
      <c r="R779" t="s">
        <v>824</v>
      </c>
      <c r="S779" t="s">
        <v>731</v>
      </c>
      <c r="T779" t="s">
        <v>732</v>
      </c>
      <c r="U779" t="s">
        <v>401</v>
      </c>
      <c r="V779" t="s">
        <v>23</v>
      </c>
      <c r="W779" t="s">
        <v>20</v>
      </c>
      <c r="X779" t="s">
        <v>9</v>
      </c>
    </row>
    <row r="780" spans="1:24">
      <c r="A780" t="s">
        <v>1675</v>
      </c>
      <c r="B780" s="8">
        <v>45678</v>
      </c>
      <c r="C780" t="s">
        <v>360</v>
      </c>
      <c r="D780" t="s">
        <v>765</v>
      </c>
      <c r="E780">
        <v>1</v>
      </c>
      <c r="F780">
        <v>500000</v>
      </c>
      <c r="G780">
        <v>500000</v>
      </c>
      <c r="H780" t="s">
        <v>872</v>
      </c>
      <c r="I780">
        <v>0</v>
      </c>
      <c r="J780">
        <v>15000</v>
      </c>
      <c r="K780">
        <v>515000</v>
      </c>
      <c r="L780" t="s">
        <v>884</v>
      </c>
      <c r="M780" t="s">
        <v>874</v>
      </c>
      <c r="N780" t="s">
        <v>875</v>
      </c>
      <c r="O780" s="9">
        <v>45658</v>
      </c>
      <c r="P780" t="s">
        <v>877</v>
      </c>
      <c r="Q780">
        <v>500000</v>
      </c>
      <c r="R780" t="s">
        <v>766</v>
      </c>
      <c r="S780" t="s">
        <v>735</v>
      </c>
      <c r="T780" t="s">
        <v>736</v>
      </c>
      <c r="U780" t="s">
        <v>361</v>
      </c>
      <c r="V780" t="s">
        <v>23</v>
      </c>
      <c r="W780" t="s">
        <v>137</v>
      </c>
      <c r="X780" t="s">
        <v>9</v>
      </c>
    </row>
    <row r="781" spans="1:24">
      <c r="A781" t="s">
        <v>1676</v>
      </c>
      <c r="B781" s="8">
        <v>45808</v>
      </c>
      <c r="C781" t="s">
        <v>300</v>
      </c>
      <c r="D781" t="s">
        <v>741</v>
      </c>
      <c r="E781">
        <v>2</v>
      </c>
      <c r="F781">
        <v>75000</v>
      </c>
      <c r="G781">
        <v>150000</v>
      </c>
      <c r="H781" t="s">
        <v>879</v>
      </c>
      <c r="I781">
        <v>30000</v>
      </c>
      <c r="J781">
        <v>30000</v>
      </c>
      <c r="K781">
        <v>150000</v>
      </c>
      <c r="L781" t="s">
        <v>884</v>
      </c>
      <c r="M781" t="s">
        <v>901</v>
      </c>
      <c r="N781" t="s">
        <v>875</v>
      </c>
      <c r="O781" s="9">
        <v>45778</v>
      </c>
      <c r="P781" t="s">
        <v>877</v>
      </c>
      <c r="Q781">
        <v>120000</v>
      </c>
      <c r="R781" t="s">
        <v>742</v>
      </c>
      <c r="S781" t="s">
        <v>743</v>
      </c>
      <c r="T781" t="s">
        <v>744</v>
      </c>
      <c r="U781" t="s">
        <v>301</v>
      </c>
      <c r="V781" t="s">
        <v>7</v>
      </c>
      <c r="W781" t="s">
        <v>39</v>
      </c>
      <c r="X781" t="s">
        <v>9</v>
      </c>
    </row>
    <row r="782" spans="1:24">
      <c r="A782" t="s">
        <v>1677</v>
      </c>
      <c r="B782" s="8">
        <v>45806</v>
      </c>
      <c r="C782" t="s">
        <v>310</v>
      </c>
      <c r="D782" t="s">
        <v>801</v>
      </c>
      <c r="E782">
        <v>1</v>
      </c>
      <c r="F782">
        <v>100000</v>
      </c>
      <c r="G782">
        <v>100000</v>
      </c>
      <c r="H782" t="s">
        <v>886</v>
      </c>
      <c r="I782">
        <v>10000</v>
      </c>
      <c r="J782">
        <v>20000</v>
      </c>
      <c r="K782">
        <v>110000</v>
      </c>
      <c r="L782" t="s">
        <v>884</v>
      </c>
      <c r="M782" t="s">
        <v>881</v>
      </c>
      <c r="N782" t="s">
        <v>875</v>
      </c>
      <c r="O782" s="9">
        <v>45778</v>
      </c>
      <c r="P782" t="s">
        <v>877</v>
      </c>
      <c r="Q782">
        <v>90000</v>
      </c>
      <c r="R782" t="s">
        <v>802</v>
      </c>
      <c r="S782" t="s">
        <v>735</v>
      </c>
      <c r="T782" t="s">
        <v>736</v>
      </c>
      <c r="U782" t="s">
        <v>311</v>
      </c>
      <c r="V782" t="s">
        <v>7</v>
      </c>
      <c r="W782" t="s">
        <v>46</v>
      </c>
      <c r="X782" t="s">
        <v>15</v>
      </c>
    </row>
    <row r="783" spans="1:24">
      <c r="A783" t="s">
        <v>1678</v>
      </c>
      <c r="B783" s="8">
        <v>45797</v>
      </c>
      <c r="C783" t="s">
        <v>218</v>
      </c>
      <c r="D783" t="s">
        <v>759</v>
      </c>
      <c r="E783">
        <v>2</v>
      </c>
      <c r="F783">
        <v>300000</v>
      </c>
      <c r="G783">
        <v>600000</v>
      </c>
      <c r="H783" t="s">
        <v>872</v>
      </c>
      <c r="I783">
        <v>0</v>
      </c>
      <c r="J783">
        <v>25000</v>
      </c>
      <c r="K783">
        <v>625000</v>
      </c>
      <c r="L783" t="s">
        <v>873</v>
      </c>
      <c r="M783" t="s">
        <v>901</v>
      </c>
      <c r="N783" t="s">
        <v>875</v>
      </c>
      <c r="O783" s="9">
        <v>45778</v>
      </c>
      <c r="P783" t="s">
        <v>877</v>
      </c>
      <c r="Q783">
        <v>600000</v>
      </c>
      <c r="R783" t="s">
        <v>760</v>
      </c>
      <c r="S783" t="s">
        <v>747</v>
      </c>
      <c r="T783" t="s">
        <v>748</v>
      </c>
      <c r="U783" t="s">
        <v>219</v>
      </c>
      <c r="V783" t="s">
        <v>23</v>
      </c>
      <c r="W783" t="s">
        <v>137</v>
      </c>
      <c r="X783" t="s">
        <v>9</v>
      </c>
    </row>
    <row r="784" spans="1:24">
      <c r="A784" t="s">
        <v>1679</v>
      </c>
      <c r="B784" s="8">
        <v>45799</v>
      </c>
      <c r="C784" t="s">
        <v>334</v>
      </c>
      <c r="D784" t="s">
        <v>769</v>
      </c>
      <c r="E784">
        <v>3</v>
      </c>
      <c r="F784">
        <v>100000</v>
      </c>
      <c r="G784">
        <v>300000</v>
      </c>
      <c r="H784" t="s">
        <v>872</v>
      </c>
      <c r="I784">
        <v>0</v>
      </c>
      <c r="J784">
        <v>30000</v>
      </c>
      <c r="K784">
        <v>330000</v>
      </c>
      <c r="L784" t="s">
        <v>889</v>
      </c>
      <c r="M784" t="s">
        <v>881</v>
      </c>
      <c r="N784" t="s">
        <v>875</v>
      </c>
      <c r="O784" s="9">
        <v>45778</v>
      </c>
      <c r="P784" t="s">
        <v>877</v>
      </c>
      <c r="Q784">
        <v>300000</v>
      </c>
      <c r="R784" t="s">
        <v>770</v>
      </c>
      <c r="S784" t="s">
        <v>743</v>
      </c>
      <c r="T784" t="s">
        <v>744</v>
      </c>
      <c r="U784" t="s">
        <v>335</v>
      </c>
      <c r="V784" t="s">
        <v>7</v>
      </c>
      <c r="W784" t="s">
        <v>46</v>
      </c>
      <c r="X784" t="s">
        <v>9</v>
      </c>
    </row>
    <row r="785" spans="1:24">
      <c r="A785" t="s">
        <v>1680</v>
      </c>
      <c r="B785" s="8">
        <v>45777</v>
      </c>
      <c r="C785" t="s">
        <v>578</v>
      </c>
      <c r="D785" t="s">
        <v>811</v>
      </c>
      <c r="E785">
        <v>1</v>
      </c>
      <c r="F785">
        <v>35000</v>
      </c>
      <c r="G785">
        <v>35000</v>
      </c>
      <c r="H785" t="s">
        <v>872</v>
      </c>
      <c r="I785">
        <v>0</v>
      </c>
      <c r="J785">
        <v>10000</v>
      </c>
      <c r="K785">
        <v>45000</v>
      </c>
      <c r="L785" t="s">
        <v>889</v>
      </c>
      <c r="M785" t="s">
        <v>903</v>
      </c>
      <c r="N785" t="s">
        <v>921</v>
      </c>
      <c r="O785" s="9">
        <v>45748</v>
      </c>
      <c r="P785" t="s">
        <v>892</v>
      </c>
      <c r="Q785">
        <v>35000</v>
      </c>
      <c r="R785" t="s">
        <v>812</v>
      </c>
      <c r="S785" t="s">
        <v>731</v>
      </c>
      <c r="T785" t="s">
        <v>732</v>
      </c>
      <c r="U785" t="s">
        <v>579</v>
      </c>
      <c r="V785" t="s">
        <v>23</v>
      </c>
      <c r="W785" t="s">
        <v>56</v>
      </c>
      <c r="X785" t="s">
        <v>24</v>
      </c>
    </row>
    <row r="786" spans="1:24">
      <c r="A786" t="s">
        <v>1681</v>
      </c>
      <c r="B786" s="8">
        <v>45675</v>
      </c>
      <c r="C786" t="s">
        <v>105</v>
      </c>
      <c r="D786" t="s">
        <v>759</v>
      </c>
      <c r="E786">
        <v>1</v>
      </c>
      <c r="F786">
        <v>300000</v>
      </c>
      <c r="G786">
        <v>300000</v>
      </c>
      <c r="H786" t="s">
        <v>872</v>
      </c>
      <c r="I786">
        <v>0</v>
      </c>
      <c r="J786">
        <v>15000</v>
      </c>
      <c r="K786">
        <v>315000</v>
      </c>
      <c r="L786" t="s">
        <v>873</v>
      </c>
      <c r="M786" t="s">
        <v>881</v>
      </c>
      <c r="N786" t="s">
        <v>921</v>
      </c>
      <c r="O786" s="9">
        <v>45658</v>
      </c>
      <c r="P786" t="s">
        <v>892</v>
      </c>
      <c r="Q786">
        <v>300000</v>
      </c>
      <c r="R786" t="s">
        <v>760</v>
      </c>
      <c r="S786" t="s">
        <v>747</v>
      </c>
      <c r="T786" t="s">
        <v>748</v>
      </c>
      <c r="U786" t="s">
        <v>106</v>
      </c>
      <c r="V786" t="s">
        <v>23</v>
      </c>
      <c r="W786" t="s">
        <v>8</v>
      </c>
      <c r="X786" t="s">
        <v>15</v>
      </c>
    </row>
    <row r="787" spans="1:24">
      <c r="A787" t="s">
        <v>1682</v>
      </c>
      <c r="B787" s="8">
        <v>45796</v>
      </c>
      <c r="C787" t="s">
        <v>486</v>
      </c>
      <c r="D787" t="s">
        <v>805</v>
      </c>
      <c r="E787">
        <v>2</v>
      </c>
      <c r="F787">
        <v>200000</v>
      </c>
      <c r="G787">
        <v>400000</v>
      </c>
      <c r="H787" t="s">
        <v>872</v>
      </c>
      <c r="I787">
        <v>0</v>
      </c>
      <c r="J787">
        <v>25000</v>
      </c>
      <c r="K787">
        <v>425000</v>
      </c>
      <c r="L787" t="s">
        <v>884</v>
      </c>
      <c r="M787" t="s">
        <v>903</v>
      </c>
      <c r="N787" t="s">
        <v>911</v>
      </c>
      <c r="O787" s="9">
        <v>45778</v>
      </c>
      <c r="P787" t="s">
        <v>892</v>
      </c>
      <c r="Q787">
        <v>400000</v>
      </c>
      <c r="R787" t="s">
        <v>806</v>
      </c>
      <c r="S787" t="s">
        <v>743</v>
      </c>
      <c r="T787" t="s">
        <v>744</v>
      </c>
      <c r="U787" t="s">
        <v>487</v>
      </c>
      <c r="V787" t="s">
        <v>23</v>
      </c>
      <c r="W787" t="s">
        <v>36</v>
      </c>
      <c r="X787" t="s">
        <v>24</v>
      </c>
    </row>
    <row r="788" spans="1:24">
      <c r="A788" t="s">
        <v>1683</v>
      </c>
      <c r="B788" s="8">
        <v>45681</v>
      </c>
      <c r="C788" t="s">
        <v>290</v>
      </c>
      <c r="D788" t="s">
        <v>819</v>
      </c>
      <c r="E788">
        <v>3</v>
      </c>
      <c r="F788">
        <v>300000</v>
      </c>
      <c r="G788">
        <v>900000</v>
      </c>
      <c r="H788" t="s">
        <v>879</v>
      </c>
      <c r="I788">
        <v>180000</v>
      </c>
      <c r="J788">
        <v>10000</v>
      </c>
      <c r="K788">
        <v>730000</v>
      </c>
      <c r="L788" t="s">
        <v>884</v>
      </c>
      <c r="M788" t="s">
        <v>881</v>
      </c>
      <c r="N788" t="s">
        <v>875</v>
      </c>
      <c r="O788" s="9">
        <v>45658</v>
      </c>
      <c r="P788" t="s">
        <v>877</v>
      </c>
      <c r="Q788">
        <v>720000</v>
      </c>
      <c r="R788" t="s">
        <v>820</v>
      </c>
      <c r="S788" t="s">
        <v>747</v>
      </c>
      <c r="T788" t="s">
        <v>748</v>
      </c>
      <c r="U788" t="s">
        <v>291</v>
      </c>
      <c r="V788" t="s">
        <v>23</v>
      </c>
      <c r="W788" t="s">
        <v>12</v>
      </c>
      <c r="X788" t="s">
        <v>9</v>
      </c>
    </row>
    <row r="789" spans="1:24">
      <c r="A789" t="s">
        <v>1684</v>
      </c>
      <c r="B789" s="8">
        <v>45706</v>
      </c>
      <c r="C789" t="s">
        <v>590</v>
      </c>
      <c r="D789" t="s">
        <v>751</v>
      </c>
      <c r="E789">
        <v>4</v>
      </c>
      <c r="F789">
        <v>150000</v>
      </c>
      <c r="G789">
        <v>600000</v>
      </c>
      <c r="H789" t="s">
        <v>895</v>
      </c>
      <c r="I789">
        <v>90000</v>
      </c>
      <c r="J789">
        <v>25000</v>
      </c>
      <c r="K789">
        <v>535000</v>
      </c>
      <c r="L789" t="s">
        <v>889</v>
      </c>
      <c r="M789" t="s">
        <v>901</v>
      </c>
      <c r="N789" t="s">
        <v>875</v>
      </c>
      <c r="O789" s="9">
        <v>45689</v>
      </c>
      <c r="P789" t="s">
        <v>877</v>
      </c>
      <c r="Q789">
        <v>510000</v>
      </c>
      <c r="R789" t="s">
        <v>752</v>
      </c>
      <c r="S789" t="s">
        <v>731</v>
      </c>
      <c r="T789" t="s">
        <v>732</v>
      </c>
      <c r="U789" t="s">
        <v>591</v>
      </c>
      <c r="V789" t="s">
        <v>7</v>
      </c>
      <c r="W789" t="s">
        <v>29</v>
      </c>
      <c r="X789" t="s">
        <v>24</v>
      </c>
    </row>
    <row r="790" spans="1:24">
      <c r="A790" t="s">
        <v>1685</v>
      </c>
      <c r="B790" s="8">
        <v>45824</v>
      </c>
      <c r="C790" t="s">
        <v>398</v>
      </c>
      <c r="D790" t="s">
        <v>813</v>
      </c>
      <c r="E790">
        <v>2</v>
      </c>
      <c r="F790">
        <v>35000</v>
      </c>
      <c r="G790">
        <v>70000</v>
      </c>
      <c r="H790" t="s">
        <v>879</v>
      </c>
      <c r="I790">
        <v>14000</v>
      </c>
      <c r="J790">
        <v>15000</v>
      </c>
      <c r="K790">
        <v>71000</v>
      </c>
      <c r="L790" t="s">
        <v>889</v>
      </c>
      <c r="M790" t="s">
        <v>903</v>
      </c>
      <c r="N790" t="s">
        <v>875</v>
      </c>
      <c r="O790" s="9">
        <v>45809</v>
      </c>
      <c r="P790" t="s">
        <v>877</v>
      </c>
      <c r="Q790">
        <v>56000</v>
      </c>
      <c r="R790" t="s">
        <v>814</v>
      </c>
      <c r="S790" t="s">
        <v>735</v>
      </c>
      <c r="T790" t="s">
        <v>736</v>
      </c>
      <c r="U790" t="s">
        <v>399</v>
      </c>
      <c r="V790" t="s">
        <v>7</v>
      </c>
      <c r="W790" t="s">
        <v>51</v>
      </c>
      <c r="X790" t="s">
        <v>15</v>
      </c>
    </row>
    <row r="791" spans="1:24">
      <c r="A791" t="s">
        <v>1686</v>
      </c>
      <c r="B791" s="8">
        <v>45765</v>
      </c>
      <c r="C791" t="s">
        <v>242</v>
      </c>
      <c r="D791" t="s">
        <v>785</v>
      </c>
      <c r="E791">
        <v>4</v>
      </c>
      <c r="F791">
        <v>100000</v>
      </c>
      <c r="G791">
        <v>400000</v>
      </c>
      <c r="H791" t="s">
        <v>872</v>
      </c>
      <c r="I791">
        <v>0</v>
      </c>
      <c r="J791">
        <v>15000</v>
      </c>
      <c r="K791">
        <v>415000</v>
      </c>
      <c r="L791" t="s">
        <v>889</v>
      </c>
      <c r="M791" t="s">
        <v>874</v>
      </c>
      <c r="N791" t="s">
        <v>875</v>
      </c>
      <c r="O791" s="9">
        <v>45748</v>
      </c>
      <c r="P791" t="s">
        <v>877</v>
      </c>
      <c r="Q791">
        <v>400000</v>
      </c>
      <c r="R791" t="s">
        <v>786</v>
      </c>
      <c r="S791" t="s">
        <v>727</v>
      </c>
      <c r="T791" t="s">
        <v>728</v>
      </c>
      <c r="U791" t="s">
        <v>243</v>
      </c>
      <c r="V791" t="s">
        <v>7</v>
      </c>
      <c r="W791" t="s">
        <v>51</v>
      </c>
      <c r="X791" t="s">
        <v>9</v>
      </c>
    </row>
    <row r="792" spans="1:24">
      <c r="A792" t="s">
        <v>1687</v>
      </c>
      <c r="B792" s="8">
        <v>45805</v>
      </c>
      <c r="C792" t="s">
        <v>184</v>
      </c>
      <c r="D792" t="s">
        <v>831</v>
      </c>
      <c r="E792">
        <v>2</v>
      </c>
      <c r="F792">
        <v>300000</v>
      </c>
      <c r="G792">
        <v>600000</v>
      </c>
      <c r="H792" t="s">
        <v>895</v>
      </c>
      <c r="I792">
        <v>90000</v>
      </c>
      <c r="J792">
        <v>15000</v>
      </c>
      <c r="K792">
        <v>525000</v>
      </c>
      <c r="L792" t="s">
        <v>880</v>
      </c>
      <c r="M792" t="s">
        <v>881</v>
      </c>
      <c r="N792" t="s">
        <v>875</v>
      </c>
      <c r="O792" s="9">
        <v>45778</v>
      </c>
      <c r="P792" t="s">
        <v>877</v>
      </c>
      <c r="Q792">
        <v>510000</v>
      </c>
      <c r="R792" t="s">
        <v>832</v>
      </c>
      <c r="S792" t="s">
        <v>747</v>
      </c>
      <c r="T792" t="s">
        <v>748</v>
      </c>
      <c r="U792" t="s">
        <v>185</v>
      </c>
      <c r="V792" t="s">
        <v>23</v>
      </c>
      <c r="W792" t="s">
        <v>12</v>
      </c>
      <c r="X792" t="s">
        <v>15</v>
      </c>
    </row>
    <row r="793" spans="1:24">
      <c r="A793" t="s">
        <v>1688</v>
      </c>
      <c r="B793" s="8">
        <v>45763</v>
      </c>
      <c r="C793" t="s">
        <v>133</v>
      </c>
      <c r="D793" t="s">
        <v>753</v>
      </c>
      <c r="E793">
        <v>1</v>
      </c>
      <c r="F793">
        <v>300000</v>
      </c>
      <c r="G793">
        <v>300000</v>
      </c>
      <c r="H793" t="s">
        <v>872</v>
      </c>
      <c r="I793">
        <v>0</v>
      </c>
      <c r="J793">
        <v>25000</v>
      </c>
      <c r="K793">
        <v>325000</v>
      </c>
      <c r="L793" t="s">
        <v>889</v>
      </c>
      <c r="M793" t="s">
        <v>903</v>
      </c>
      <c r="N793" t="s">
        <v>875</v>
      </c>
      <c r="O793" s="9">
        <v>45748</v>
      </c>
      <c r="P793" t="s">
        <v>877</v>
      </c>
      <c r="Q793">
        <v>300000</v>
      </c>
      <c r="R793" t="s">
        <v>754</v>
      </c>
      <c r="S793" t="s">
        <v>735</v>
      </c>
      <c r="T793" t="s">
        <v>736</v>
      </c>
      <c r="U793" t="s">
        <v>134</v>
      </c>
      <c r="V793" t="s">
        <v>23</v>
      </c>
      <c r="W793" t="s">
        <v>12</v>
      </c>
      <c r="X793" t="s">
        <v>24</v>
      </c>
    </row>
    <row r="794" spans="1:24">
      <c r="A794" t="s">
        <v>1689</v>
      </c>
      <c r="B794" s="8">
        <v>45682</v>
      </c>
      <c r="C794" t="s">
        <v>95</v>
      </c>
      <c r="D794" t="s">
        <v>845</v>
      </c>
      <c r="E794">
        <v>4</v>
      </c>
      <c r="F794">
        <v>300000</v>
      </c>
      <c r="G794">
        <v>1200000</v>
      </c>
      <c r="H794" t="s">
        <v>872</v>
      </c>
      <c r="I794">
        <v>0</v>
      </c>
      <c r="J794">
        <v>20000</v>
      </c>
      <c r="K794">
        <v>1220000</v>
      </c>
      <c r="L794" t="s">
        <v>889</v>
      </c>
      <c r="M794" t="s">
        <v>881</v>
      </c>
      <c r="N794" t="s">
        <v>875</v>
      </c>
      <c r="O794" s="9">
        <v>45658</v>
      </c>
      <c r="P794" t="s">
        <v>877</v>
      </c>
      <c r="Q794">
        <v>1200000</v>
      </c>
      <c r="R794" t="s">
        <v>846</v>
      </c>
      <c r="S794" t="s">
        <v>727</v>
      </c>
      <c r="T794" t="s">
        <v>728</v>
      </c>
      <c r="U794" t="s">
        <v>96</v>
      </c>
      <c r="V794" t="s">
        <v>23</v>
      </c>
      <c r="W794" t="s">
        <v>8</v>
      </c>
      <c r="X794" t="s">
        <v>24</v>
      </c>
    </row>
    <row r="795" spans="1:24">
      <c r="A795" t="s">
        <v>1690</v>
      </c>
      <c r="B795" s="8">
        <v>45685</v>
      </c>
      <c r="C795" t="s">
        <v>444</v>
      </c>
      <c r="D795" t="s">
        <v>853</v>
      </c>
      <c r="E795">
        <v>4</v>
      </c>
      <c r="F795">
        <v>75000</v>
      </c>
      <c r="G795">
        <v>300000</v>
      </c>
      <c r="H795" t="s">
        <v>883</v>
      </c>
      <c r="I795">
        <v>30000</v>
      </c>
      <c r="J795">
        <v>20000</v>
      </c>
      <c r="K795">
        <v>290000</v>
      </c>
      <c r="L795" t="s">
        <v>880</v>
      </c>
      <c r="M795" t="s">
        <v>881</v>
      </c>
      <c r="N795" t="s">
        <v>921</v>
      </c>
      <c r="O795" s="9">
        <v>45658</v>
      </c>
      <c r="P795" t="s">
        <v>892</v>
      </c>
      <c r="Q795">
        <v>270000</v>
      </c>
      <c r="R795" t="s">
        <v>854</v>
      </c>
      <c r="S795" t="s">
        <v>743</v>
      </c>
      <c r="T795" t="s">
        <v>744</v>
      </c>
      <c r="U795" t="s">
        <v>445</v>
      </c>
      <c r="V795" t="s">
        <v>23</v>
      </c>
      <c r="W795" t="s">
        <v>20</v>
      </c>
      <c r="X795" t="s">
        <v>9</v>
      </c>
    </row>
    <row r="796" spans="1:24">
      <c r="A796" t="s">
        <v>1691</v>
      </c>
      <c r="B796" s="8">
        <v>45758</v>
      </c>
      <c r="C796" t="s">
        <v>228</v>
      </c>
      <c r="D796" t="s">
        <v>771</v>
      </c>
      <c r="E796">
        <v>1</v>
      </c>
      <c r="F796">
        <v>500000</v>
      </c>
      <c r="G796">
        <v>500000</v>
      </c>
      <c r="H796" t="s">
        <v>872</v>
      </c>
      <c r="I796">
        <v>0</v>
      </c>
      <c r="J796">
        <v>25000</v>
      </c>
      <c r="K796">
        <v>525000</v>
      </c>
      <c r="L796" t="s">
        <v>889</v>
      </c>
      <c r="M796" t="s">
        <v>903</v>
      </c>
      <c r="N796" t="s">
        <v>911</v>
      </c>
      <c r="O796" s="9">
        <v>45748</v>
      </c>
      <c r="P796" t="s">
        <v>892</v>
      </c>
      <c r="Q796">
        <v>500000</v>
      </c>
      <c r="R796" t="s">
        <v>772</v>
      </c>
      <c r="S796" t="s">
        <v>747</v>
      </c>
      <c r="T796" t="s">
        <v>748</v>
      </c>
      <c r="U796" t="s">
        <v>229</v>
      </c>
      <c r="V796" t="s">
        <v>23</v>
      </c>
      <c r="W796" t="s">
        <v>39</v>
      </c>
      <c r="X796" t="s">
        <v>9</v>
      </c>
    </row>
    <row r="797" spans="1:24">
      <c r="A797" t="s">
        <v>1692</v>
      </c>
      <c r="B797" s="8">
        <v>45780</v>
      </c>
      <c r="C797" t="s">
        <v>462</v>
      </c>
      <c r="D797" t="s">
        <v>729</v>
      </c>
      <c r="E797">
        <v>1</v>
      </c>
      <c r="F797">
        <v>100000</v>
      </c>
      <c r="G797">
        <v>100000</v>
      </c>
      <c r="H797" t="s">
        <v>886</v>
      </c>
      <c r="I797">
        <v>10000</v>
      </c>
      <c r="J797">
        <v>30000</v>
      </c>
      <c r="K797">
        <v>120000</v>
      </c>
      <c r="L797" t="s">
        <v>884</v>
      </c>
      <c r="M797" t="s">
        <v>903</v>
      </c>
      <c r="N797" t="s">
        <v>875</v>
      </c>
      <c r="O797" s="9">
        <v>45778</v>
      </c>
      <c r="P797" t="s">
        <v>877</v>
      </c>
      <c r="Q797">
        <v>90000</v>
      </c>
      <c r="R797" t="s">
        <v>730</v>
      </c>
      <c r="S797" t="s">
        <v>731</v>
      </c>
      <c r="T797" t="s">
        <v>732</v>
      </c>
      <c r="U797" t="s">
        <v>463</v>
      </c>
      <c r="V797" t="s">
        <v>23</v>
      </c>
      <c r="W797" t="s">
        <v>36</v>
      </c>
      <c r="X797" t="s">
        <v>24</v>
      </c>
    </row>
    <row r="798" spans="1:24">
      <c r="A798" t="s">
        <v>1693</v>
      </c>
      <c r="B798" s="8">
        <v>45754</v>
      </c>
      <c r="C798" t="s">
        <v>240</v>
      </c>
      <c r="D798" t="s">
        <v>745</v>
      </c>
      <c r="E798">
        <v>2</v>
      </c>
      <c r="F798">
        <v>500000</v>
      </c>
      <c r="G798">
        <v>1000000</v>
      </c>
      <c r="H798" t="s">
        <v>895</v>
      </c>
      <c r="I798">
        <v>150000</v>
      </c>
      <c r="J798">
        <v>20000</v>
      </c>
      <c r="K798">
        <v>870000</v>
      </c>
      <c r="L798" t="s">
        <v>880</v>
      </c>
      <c r="M798" t="s">
        <v>874</v>
      </c>
      <c r="N798" t="s">
        <v>875</v>
      </c>
      <c r="O798" s="9">
        <v>45748</v>
      </c>
      <c r="P798" t="s">
        <v>877</v>
      </c>
      <c r="Q798">
        <v>850000</v>
      </c>
      <c r="R798" t="s">
        <v>746</v>
      </c>
      <c r="S798" t="s">
        <v>747</v>
      </c>
      <c r="T798" t="s">
        <v>748</v>
      </c>
      <c r="U798" t="s">
        <v>241</v>
      </c>
      <c r="V798" t="s">
        <v>23</v>
      </c>
      <c r="W798" t="s">
        <v>39</v>
      </c>
      <c r="X798" t="s">
        <v>24</v>
      </c>
    </row>
    <row r="799" spans="1:24">
      <c r="A799" t="s">
        <v>1694</v>
      </c>
      <c r="B799" s="8">
        <v>45690</v>
      </c>
      <c r="C799" t="s">
        <v>97</v>
      </c>
      <c r="D799" t="s">
        <v>799</v>
      </c>
      <c r="E799">
        <v>2</v>
      </c>
      <c r="F799">
        <v>35000</v>
      </c>
      <c r="G799">
        <v>70000</v>
      </c>
      <c r="H799" t="s">
        <v>886</v>
      </c>
      <c r="I799">
        <v>7000</v>
      </c>
      <c r="J799">
        <v>20000</v>
      </c>
      <c r="K799">
        <v>83000</v>
      </c>
      <c r="L799" t="s">
        <v>884</v>
      </c>
      <c r="M799" t="s">
        <v>903</v>
      </c>
      <c r="N799" t="s">
        <v>875</v>
      </c>
      <c r="O799" s="9">
        <v>45689</v>
      </c>
      <c r="P799" t="s">
        <v>877</v>
      </c>
      <c r="Q799">
        <v>63000</v>
      </c>
      <c r="R799" t="s">
        <v>800</v>
      </c>
      <c r="S799" t="s">
        <v>731</v>
      </c>
      <c r="T799" t="s">
        <v>732</v>
      </c>
      <c r="U799" t="s">
        <v>98</v>
      </c>
      <c r="V799" t="s">
        <v>7</v>
      </c>
      <c r="W799" t="s">
        <v>39</v>
      </c>
      <c r="X799" t="s">
        <v>9</v>
      </c>
    </row>
    <row r="800" spans="1:24">
      <c r="A800" t="s">
        <v>1695</v>
      </c>
      <c r="B800" s="8">
        <v>45838</v>
      </c>
      <c r="C800" t="s">
        <v>638</v>
      </c>
      <c r="D800" t="s">
        <v>775</v>
      </c>
      <c r="E800">
        <v>1</v>
      </c>
      <c r="F800">
        <v>75000</v>
      </c>
      <c r="G800">
        <v>75000</v>
      </c>
      <c r="H800" t="s">
        <v>895</v>
      </c>
      <c r="I800">
        <v>11250</v>
      </c>
      <c r="J800">
        <v>15000</v>
      </c>
      <c r="K800">
        <v>78750</v>
      </c>
      <c r="L800" t="s">
        <v>884</v>
      </c>
      <c r="M800" t="s">
        <v>881</v>
      </c>
      <c r="N800" t="s">
        <v>911</v>
      </c>
      <c r="O800" s="9">
        <v>45809</v>
      </c>
      <c r="P800" t="s">
        <v>892</v>
      </c>
      <c r="Q800">
        <v>63750</v>
      </c>
      <c r="R800" t="s">
        <v>776</v>
      </c>
      <c r="S800" t="s">
        <v>731</v>
      </c>
      <c r="T800" t="s">
        <v>732</v>
      </c>
      <c r="U800" t="s">
        <v>639</v>
      </c>
      <c r="V800" t="s">
        <v>7</v>
      </c>
      <c r="W800" t="s">
        <v>56</v>
      </c>
      <c r="X800" t="s">
        <v>15</v>
      </c>
    </row>
    <row r="801" spans="1:24">
      <c r="A801" t="s">
        <v>1696</v>
      </c>
      <c r="B801" s="8">
        <v>45703</v>
      </c>
      <c r="C801" t="s">
        <v>574</v>
      </c>
      <c r="D801" t="s">
        <v>757</v>
      </c>
      <c r="E801">
        <v>4</v>
      </c>
      <c r="F801">
        <v>75000</v>
      </c>
      <c r="G801">
        <v>300000</v>
      </c>
      <c r="H801" t="s">
        <v>886</v>
      </c>
      <c r="I801">
        <v>30000</v>
      </c>
      <c r="J801">
        <v>30000</v>
      </c>
      <c r="K801">
        <v>300000</v>
      </c>
      <c r="L801" t="s">
        <v>873</v>
      </c>
      <c r="M801" t="s">
        <v>903</v>
      </c>
      <c r="N801" t="s">
        <v>875</v>
      </c>
      <c r="O801" s="9">
        <v>45689</v>
      </c>
      <c r="P801" t="s">
        <v>877</v>
      </c>
      <c r="Q801">
        <v>270000</v>
      </c>
      <c r="R801" t="s">
        <v>758</v>
      </c>
      <c r="S801" t="s">
        <v>743</v>
      </c>
      <c r="T801" t="s">
        <v>744</v>
      </c>
      <c r="U801" t="s">
        <v>575</v>
      </c>
      <c r="V801" t="s">
        <v>7</v>
      </c>
      <c r="W801" t="s">
        <v>46</v>
      </c>
      <c r="X801" t="s">
        <v>24</v>
      </c>
    </row>
    <row r="802" spans="1:24">
      <c r="A802" t="s">
        <v>1697</v>
      </c>
      <c r="B802" s="8">
        <v>45749</v>
      </c>
      <c r="C802" t="s">
        <v>610</v>
      </c>
      <c r="D802" t="s">
        <v>803</v>
      </c>
      <c r="E802">
        <v>4</v>
      </c>
      <c r="F802">
        <v>50000</v>
      </c>
      <c r="G802">
        <v>200000</v>
      </c>
      <c r="H802" t="s">
        <v>886</v>
      </c>
      <c r="I802">
        <v>20000</v>
      </c>
      <c r="J802">
        <v>30000</v>
      </c>
      <c r="K802">
        <v>210000</v>
      </c>
      <c r="L802" t="s">
        <v>884</v>
      </c>
      <c r="M802" t="s">
        <v>881</v>
      </c>
      <c r="N802" t="s">
        <v>905</v>
      </c>
      <c r="O802" s="9">
        <v>45748</v>
      </c>
      <c r="P802" t="s">
        <v>892</v>
      </c>
      <c r="Q802">
        <v>180000</v>
      </c>
      <c r="R802" t="s">
        <v>804</v>
      </c>
      <c r="S802" t="s">
        <v>739</v>
      </c>
      <c r="T802" t="s">
        <v>740</v>
      </c>
      <c r="U802" t="s">
        <v>611</v>
      </c>
      <c r="V802" t="s">
        <v>7</v>
      </c>
      <c r="W802" t="s">
        <v>29</v>
      </c>
      <c r="X802" t="s">
        <v>9</v>
      </c>
    </row>
    <row r="803" spans="1:24">
      <c r="A803" t="s">
        <v>1698</v>
      </c>
      <c r="B803" s="8">
        <v>45666</v>
      </c>
      <c r="C803" t="s">
        <v>596</v>
      </c>
      <c r="D803" t="s">
        <v>855</v>
      </c>
      <c r="E803">
        <v>1</v>
      </c>
      <c r="F803">
        <v>150000</v>
      </c>
      <c r="G803">
        <v>150000</v>
      </c>
      <c r="H803" t="s">
        <v>872</v>
      </c>
      <c r="I803">
        <v>0</v>
      </c>
      <c r="J803">
        <v>20000</v>
      </c>
      <c r="K803">
        <v>170000</v>
      </c>
      <c r="L803" t="s">
        <v>884</v>
      </c>
      <c r="M803" t="s">
        <v>901</v>
      </c>
      <c r="N803" t="s">
        <v>890</v>
      </c>
      <c r="O803" s="9">
        <v>45658</v>
      </c>
      <c r="P803" t="s">
        <v>892</v>
      </c>
      <c r="Q803">
        <v>150000</v>
      </c>
      <c r="R803" t="s">
        <v>856</v>
      </c>
      <c r="S803" t="s">
        <v>747</v>
      </c>
      <c r="T803" t="s">
        <v>748</v>
      </c>
      <c r="U803" t="s">
        <v>597</v>
      </c>
      <c r="V803" t="s">
        <v>23</v>
      </c>
      <c r="W803" t="s">
        <v>137</v>
      </c>
      <c r="X803" t="s">
        <v>24</v>
      </c>
    </row>
    <row r="804" spans="1:24">
      <c r="A804" t="s">
        <v>1699</v>
      </c>
      <c r="B804" s="8">
        <v>45778</v>
      </c>
      <c r="C804" t="s">
        <v>300</v>
      </c>
      <c r="D804" t="s">
        <v>725</v>
      </c>
      <c r="E804">
        <v>2</v>
      </c>
      <c r="F804">
        <v>300000</v>
      </c>
      <c r="G804">
        <v>600000</v>
      </c>
      <c r="H804" t="s">
        <v>895</v>
      </c>
      <c r="I804">
        <v>90000</v>
      </c>
      <c r="J804">
        <v>10000</v>
      </c>
      <c r="K804">
        <v>520000</v>
      </c>
      <c r="L804" t="s">
        <v>889</v>
      </c>
      <c r="M804" t="s">
        <v>903</v>
      </c>
      <c r="N804" t="s">
        <v>875</v>
      </c>
      <c r="O804" s="9">
        <v>45778</v>
      </c>
      <c r="P804" t="s">
        <v>877</v>
      </c>
      <c r="Q804">
        <v>510000</v>
      </c>
      <c r="R804" t="s">
        <v>726</v>
      </c>
      <c r="S804" t="s">
        <v>727</v>
      </c>
      <c r="T804" t="s">
        <v>728</v>
      </c>
      <c r="U804" t="s">
        <v>301</v>
      </c>
      <c r="V804" t="s">
        <v>7</v>
      </c>
      <c r="W804" t="s">
        <v>39</v>
      </c>
      <c r="X804" t="s">
        <v>9</v>
      </c>
    </row>
    <row r="805" spans="1:24">
      <c r="A805" t="s">
        <v>1700</v>
      </c>
      <c r="B805" s="8">
        <v>45796</v>
      </c>
      <c r="C805" t="s">
        <v>37</v>
      </c>
      <c r="D805" t="s">
        <v>755</v>
      </c>
      <c r="E805">
        <v>1</v>
      </c>
      <c r="F805">
        <v>50000</v>
      </c>
      <c r="G805">
        <v>50000</v>
      </c>
      <c r="H805" t="s">
        <v>886</v>
      </c>
      <c r="I805">
        <v>5000</v>
      </c>
      <c r="J805">
        <v>30000</v>
      </c>
      <c r="K805">
        <v>75000</v>
      </c>
      <c r="L805" t="s">
        <v>880</v>
      </c>
      <c r="M805" t="s">
        <v>903</v>
      </c>
      <c r="N805" t="s">
        <v>875</v>
      </c>
      <c r="O805" s="9">
        <v>45778</v>
      </c>
      <c r="P805" t="s">
        <v>877</v>
      </c>
      <c r="Q805">
        <v>45000</v>
      </c>
      <c r="R805" t="s">
        <v>756</v>
      </c>
      <c r="S805" t="s">
        <v>739</v>
      </c>
      <c r="T805" t="s">
        <v>740</v>
      </c>
      <c r="U805" t="s">
        <v>38</v>
      </c>
      <c r="V805" t="s">
        <v>23</v>
      </c>
      <c r="W805" t="s">
        <v>39</v>
      </c>
      <c r="X805" t="s">
        <v>9</v>
      </c>
    </row>
    <row r="806" spans="1:24">
      <c r="A806" t="s">
        <v>1701</v>
      </c>
      <c r="B806" s="8">
        <v>45713</v>
      </c>
      <c r="C806" t="s">
        <v>129</v>
      </c>
      <c r="D806" t="s">
        <v>843</v>
      </c>
      <c r="E806">
        <v>2</v>
      </c>
      <c r="F806">
        <v>100000</v>
      </c>
      <c r="G806">
        <v>200000</v>
      </c>
      <c r="H806" t="s">
        <v>886</v>
      </c>
      <c r="I806">
        <v>20000</v>
      </c>
      <c r="J806">
        <v>20000</v>
      </c>
      <c r="K806">
        <v>200000</v>
      </c>
      <c r="L806" t="s">
        <v>873</v>
      </c>
      <c r="M806" t="s">
        <v>881</v>
      </c>
      <c r="N806" t="s">
        <v>911</v>
      </c>
      <c r="O806" s="9">
        <v>45689</v>
      </c>
      <c r="P806" t="s">
        <v>892</v>
      </c>
      <c r="Q806">
        <v>180000</v>
      </c>
      <c r="R806" t="s">
        <v>844</v>
      </c>
      <c r="S806" t="s">
        <v>747</v>
      </c>
      <c r="T806" t="s">
        <v>748</v>
      </c>
      <c r="U806" t="s">
        <v>130</v>
      </c>
      <c r="V806" t="s">
        <v>23</v>
      </c>
      <c r="W806" t="s">
        <v>8</v>
      </c>
      <c r="X806" t="s">
        <v>24</v>
      </c>
    </row>
    <row r="807" spans="1:24">
      <c r="A807" t="s">
        <v>1702</v>
      </c>
      <c r="B807" s="8">
        <v>45744</v>
      </c>
      <c r="C807" t="s">
        <v>410</v>
      </c>
      <c r="D807" t="s">
        <v>839</v>
      </c>
      <c r="E807">
        <v>4</v>
      </c>
      <c r="F807">
        <v>200000</v>
      </c>
      <c r="G807">
        <v>800000</v>
      </c>
      <c r="H807" t="s">
        <v>872</v>
      </c>
      <c r="I807">
        <v>0</v>
      </c>
      <c r="J807">
        <v>20000</v>
      </c>
      <c r="K807">
        <v>820000</v>
      </c>
      <c r="L807" t="s">
        <v>880</v>
      </c>
      <c r="M807" t="s">
        <v>901</v>
      </c>
      <c r="N807" t="s">
        <v>875</v>
      </c>
      <c r="O807" s="9">
        <v>45717</v>
      </c>
      <c r="P807" t="s">
        <v>877</v>
      </c>
      <c r="Q807">
        <v>800000</v>
      </c>
      <c r="R807" t="s">
        <v>840</v>
      </c>
      <c r="S807" t="s">
        <v>739</v>
      </c>
      <c r="T807" t="s">
        <v>740</v>
      </c>
      <c r="U807" t="s">
        <v>411</v>
      </c>
      <c r="V807" t="s">
        <v>7</v>
      </c>
      <c r="W807" t="s">
        <v>46</v>
      </c>
      <c r="X807" t="s">
        <v>9</v>
      </c>
    </row>
    <row r="808" spans="1:24">
      <c r="A808" t="s">
        <v>1703</v>
      </c>
      <c r="B808" s="8">
        <v>45760</v>
      </c>
      <c r="C808" t="s">
        <v>25</v>
      </c>
      <c r="D808" t="s">
        <v>853</v>
      </c>
      <c r="E808">
        <v>4</v>
      </c>
      <c r="F808">
        <v>75000</v>
      </c>
      <c r="G808">
        <v>300000</v>
      </c>
      <c r="H808" t="s">
        <v>886</v>
      </c>
      <c r="I808">
        <v>30000</v>
      </c>
      <c r="J808">
        <v>10000</v>
      </c>
      <c r="K808">
        <v>280000</v>
      </c>
      <c r="L808" t="s">
        <v>884</v>
      </c>
      <c r="M808" t="s">
        <v>903</v>
      </c>
      <c r="N808" t="s">
        <v>890</v>
      </c>
      <c r="O808" s="9">
        <v>45748</v>
      </c>
      <c r="P808" t="s">
        <v>892</v>
      </c>
      <c r="Q808">
        <v>270000</v>
      </c>
      <c r="R808" t="s">
        <v>854</v>
      </c>
      <c r="S808" t="s">
        <v>743</v>
      </c>
      <c r="T808" t="s">
        <v>744</v>
      </c>
      <c r="U808" t="s">
        <v>26</v>
      </c>
      <c r="V808" t="s">
        <v>23</v>
      </c>
      <c r="W808" t="s">
        <v>20</v>
      </c>
      <c r="X808" t="s">
        <v>9</v>
      </c>
    </row>
    <row r="809" spans="1:24">
      <c r="A809" t="s">
        <v>1704</v>
      </c>
      <c r="B809" s="8">
        <v>45755</v>
      </c>
      <c r="C809" t="s">
        <v>684</v>
      </c>
      <c r="D809" t="s">
        <v>845</v>
      </c>
      <c r="E809">
        <v>4</v>
      </c>
      <c r="F809">
        <v>300000</v>
      </c>
      <c r="G809">
        <v>1200000</v>
      </c>
      <c r="H809" t="s">
        <v>886</v>
      </c>
      <c r="I809">
        <v>120000</v>
      </c>
      <c r="J809">
        <v>30000</v>
      </c>
      <c r="K809">
        <v>1110000</v>
      </c>
      <c r="L809" t="s">
        <v>884</v>
      </c>
      <c r="M809" t="s">
        <v>901</v>
      </c>
      <c r="N809" t="s">
        <v>875</v>
      </c>
      <c r="O809" s="9">
        <v>45748</v>
      </c>
      <c r="P809" t="s">
        <v>877</v>
      </c>
      <c r="Q809">
        <v>1080000</v>
      </c>
      <c r="R809" t="s">
        <v>846</v>
      </c>
      <c r="S809" t="s">
        <v>727</v>
      </c>
      <c r="T809" t="s">
        <v>728</v>
      </c>
      <c r="U809" t="s">
        <v>685</v>
      </c>
      <c r="V809" t="s">
        <v>23</v>
      </c>
      <c r="W809" t="s">
        <v>46</v>
      </c>
      <c r="X809" t="s">
        <v>9</v>
      </c>
    </row>
    <row r="810" spans="1:24">
      <c r="A810" t="s">
        <v>1705</v>
      </c>
      <c r="B810" s="8">
        <v>45771</v>
      </c>
      <c r="C810" t="s">
        <v>586</v>
      </c>
      <c r="D810" t="s">
        <v>855</v>
      </c>
      <c r="E810">
        <v>1</v>
      </c>
      <c r="F810">
        <v>150000</v>
      </c>
      <c r="G810">
        <v>150000</v>
      </c>
      <c r="H810" t="s">
        <v>883</v>
      </c>
      <c r="I810">
        <v>15000</v>
      </c>
      <c r="J810">
        <v>25000</v>
      </c>
      <c r="K810">
        <v>160000</v>
      </c>
      <c r="L810" t="s">
        <v>884</v>
      </c>
      <c r="M810" t="s">
        <v>901</v>
      </c>
      <c r="N810" t="s">
        <v>875</v>
      </c>
      <c r="O810" s="9">
        <v>45748</v>
      </c>
      <c r="P810" t="s">
        <v>877</v>
      </c>
      <c r="Q810">
        <v>135000</v>
      </c>
      <c r="R810" t="s">
        <v>856</v>
      </c>
      <c r="S810" t="s">
        <v>747</v>
      </c>
      <c r="T810" t="s">
        <v>748</v>
      </c>
      <c r="U810" t="s">
        <v>587</v>
      </c>
      <c r="V810" t="s">
        <v>23</v>
      </c>
      <c r="W810" t="s">
        <v>137</v>
      </c>
      <c r="X810" t="s">
        <v>24</v>
      </c>
    </row>
    <row r="811" spans="1:24">
      <c r="A811" t="s">
        <v>1706</v>
      </c>
      <c r="B811" s="8">
        <v>45758</v>
      </c>
      <c r="C811" t="s">
        <v>420</v>
      </c>
      <c r="D811" t="s">
        <v>781</v>
      </c>
      <c r="E811">
        <v>3</v>
      </c>
      <c r="F811">
        <v>50000</v>
      </c>
      <c r="G811">
        <v>150000</v>
      </c>
      <c r="H811" t="s">
        <v>886</v>
      </c>
      <c r="I811">
        <v>15000</v>
      </c>
      <c r="J811">
        <v>30000</v>
      </c>
      <c r="K811">
        <v>165000</v>
      </c>
      <c r="L811" t="s">
        <v>889</v>
      </c>
      <c r="M811" t="s">
        <v>901</v>
      </c>
      <c r="N811" t="s">
        <v>875</v>
      </c>
      <c r="O811" s="9">
        <v>45748</v>
      </c>
      <c r="P811" t="s">
        <v>877</v>
      </c>
      <c r="Q811">
        <v>135000</v>
      </c>
      <c r="R811" t="s">
        <v>782</v>
      </c>
      <c r="S811" t="s">
        <v>743</v>
      </c>
      <c r="T811" t="s">
        <v>744</v>
      </c>
      <c r="U811" t="s">
        <v>421</v>
      </c>
      <c r="V811" t="s">
        <v>7</v>
      </c>
      <c r="W811" t="s">
        <v>137</v>
      </c>
      <c r="X811" t="s">
        <v>24</v>
      </c>
    </row>
    <row r="812" spans="1:24">
      <c r="A812" t="s">
        <v>1707</v>
      </c>
      <c r="B812" s="8">
        <v>45779</v>
      </c>
      <c r="C812" t="s">
        <v>638</v>
      </c>
      <c r="D812" t="s">
        <v>741</v>
      </c>
      <c r="E812">
        <v>2</v>
      </c>
      <c r="F812">
        <v>75000</v>
      </c>
      <c r="G812">
        <v>150000</v>
      </c>
      <c r="H812" t="s">
        <v>883</v>
      </c>
      <c r="I812">
        <v>15000</v>
      </c>
      <c r="J812">
        <v>20000</v>
      </c>
      <c r="K812">
        <v>155000</v>
      </c>
      <c r="L812" t="s">
        <v>889</v>
      </c>
      <c r="M812" t="s">
        <v>881</v>
      </c>
      <c r="N812" t="s">
        <v>875</v>
      </c>
      <c r="O812" s="9">
        <v>45778</v>
      </c>
      <c r="P812" t="s">
        <v>877</v>
      </c>
      <c r="Q812">
        <v>135000</v>
      </c>
      <c r="R812" t="s">
        <v>742</v>
      </c>
      <c r="S812" t="s">
        <v>743</v>
      </c>
      <c r="T812" t="s">
        <v>744</v>
      </c>
      <c r="U812" t="s">
        <v>639</v>
      </c>
      <c r="V812" t="s">
        <v>7</v>
      </c>
      <c r="W812" t="s">
        <v>56</v>
      </c>
      <c r="X812" t="s">
        <v>15</v>
      </c>
    </row>
    <row r="813" spans="1:24">
      <c r="A813" t="s">
        <v>1708</v>
      </c>
      <c r="B813" s="8">
        <v>45719</v>
      </c>
      <c r="C813" t="s">
        <v>236</v>
      </c>
      <c r="D813" t="s">
        <v>813</v>
      </c>
      <c r="E813">
        <v>2</v>
      </c>
      <c r="F813">
        <v>35000</v>
      </c>
      <c r="G813">
        <v>70000</v>
      </c>
      <c r="H813" t="s">
        <v>872</v>
      </c>
      <c r="I813">
        <v>0</v>
      </c>
      <c r="J813">
        <v>20000</v>
      </c>
      <c r="K813">
        <v>90000</v>
      </c>
      <c r="L813" t="s">
        <v>884</v>
      </c>
      <c r="M813" t="s">
        <v>874</v>
      </c>
      <c r="N813" t="s">
        <v>905</v>
      </c>
      <c r="O813" s="9">
        <v>45717</v>
      </c>
      <c r="P813" t="s">
        <v>892</v>
      </c>
      <c r="Q813">
        <v>70000</v>
      </c>
      <c r="R813" t="s">
        <v>814</v>
      </c>
      <c r="S813" t="s">
        <v>735</v>
      </c>
      <c r="T813" t="s">
        <v>736</v>
      </c>
      <c r="U813" t="s">
        <v>237</v>
      </c>
      <c r="V813" t="s">
        <v>7</v>
      </c>
      <c r="W813" t="s">
        <v>29</v>
      </c>
      <c r="X813" t="s">
        <v>15</v>
      </c>
    </row>
    <row r="814" spans="1:24">
      <c r="A814" t="s">
        <v>1709</v>
      </c>
      <c r="B814" s="8">
        <v>45690</v>
      </c>
      <c r="C814" t="s">
        <v>692</v>
      </c>
      <c r="D814" t="s">
        <v>819</v>
      </c>
      <c r="E814">
        <v>2</v>
      </c>
      <c r="F814">
        <v>300000</v>
      </c>
      <c r="G814">
        <v>600000</v>
      </c>
      <c r="H814" t="s">
        <v>872</v>
      </c>
      <c r="I814">
        <v>0</v>
      </c>
      <c r="J814">
        <v>25000</v>
      </c>
      <c r="K814">
        <v>625000</v>
      </c>
      <c r="L814" t="s">
        <v>884</v>
      </c>
      <c r="M814" t="s">
        <v>874</v>
      </c>
      <c r="N814" t="s">
        <v>875</v>
      </c>
      <c r="O814" s="9">
        <v>45689</v>
      </c>
      <c r="P814" t="s">
        <v>877</v>
      </c>
      <c r="Q814">
        <v>600000</v>
      </c>
      <c r="R814" t="s">
        <v>820</v>
      </c>
      <c r="S814" t="s">
        <v>747</v>
      </c>
      <c r="T814" t="s">
        <v>748</v>
      </c>
      <c r="U814" t="s">
        <v>693</v>
      </c>
      <c r="V814" t="s">
        <v>23</v>
      </c>
      <c r="W814" t="s">
        <v>36</v>
      </c>
      <c r="X814" t="s">
        <v>9</v>
      </c>
    </row>
    <row r="815" spans="1:24">
      <c r="A815" t="s">
        <v>1710</v>
      </c>
      <c r="B815" s="8">
        <v>45763</v>
      </c>
      <c r="C815" t="s">
        <v>146</v>
      </c>
      <c r="D815" t="s">
        <v>853</v>
      </c>
      <c r="E815">
        <v>3</v>
      </c>
      <c r="F815">
        <v>75000</v>
      </c>
      <c r="G815">
        <v>225000</v>
      </c>
      <c r="H815" t="s">
        <v>895</v>
      </c>
      <c r="I815">
        <v>33750</v>
      </c>
      <c r="J815">
        <v>30000</v>
      </c>
      <c r="K815">
        <v>221250</v>
      </c>
      <c r="L815" t="s">
        <v>880</v>
      </c>
      <c r="M815" t="s">
        <v>901</v>
      </c>
      <c r="N815" t="s">
        <v>875</v>
      </c>
      <c r="O815" s="9">
        <v>45748</v>
      </c>
      <c r="P815" t="s">
        <v>877</v>
      </c>
      <c r="Q815">
        <v>191250</v>
      </c>
      <c r="R815" t="s">
        <v>854</v>
      </c>
      <c r="S815" t="s">
        <v>743</v>
      </c>
      <c r="T815" t="s">
        <v>744</v>
      </c>
      <c r="U815" t="s">
        <v>147</v>
      </c>
      <c r="V815" t="s">
        <v>7</v>
      </c>
      <c r="W815" t="s">
        <v>51</v>
      </c>
      <c r="X815" t="s">
        <v>24</v>
      </c>
    </row>
    <row r="816" spans="1:24">
      <c r="A816" t="s">
        <v>1711</v>
      </c>
      <c r="B816" s="8">
        <v>45750</v>
      </c>
      <c r="C816" t="s">
        <v>228</v>
      </c>
      <c r="D816" t="s">
        <v>807</v>
      </c>
      <c r="E816">
        <v>1</v>
      </c>
      <c r="F816">
        <v>150000</v>
      </c>
      <c r="G816">
        <v>150000</v>
      </c>
      <c r="H816" t="s">
        <v>872</v>
      </c>
      <c r="I816">
        <v>0</v>
      </c>
      <c r="J816">
        <v>10000</v>
      </c>
      <c r="K816">
        <v>160000</v>
      </c>
      <c r="L816" t="s">
        <v>889</v>
      </c>
      <c r="M816" t="s">
        <v>881</v>
      </c>
      <c r="N816" t="s">
        <v>875</v>
      </c>
      <c r="O816" s="9">
        <v>45748</v>
      </c>
      <c r="P816" t="s">
        <v>877</v>
      </c>
      <c r="Q816">
        <v>150000</v>
      </c>
      <c r="R816" t="s">
        <v>808</v>
      </c>
      <c r="S816" t="s">
        <v>747</v>
      </c>
      <c r="T816" t="s">
        <v>748</v>
      </c>
      <c r="U816" t="s">
        <v>229</v>
      </c>
      <c r="V816" t="s">
        <v>23</v>
      </c>
      <c r="W816" t="s">
        <v>39</v>
      </c>
      <c r="X816" t="s">
        <v>9</v>
      </c>
    </row>
    <row r="817" spans="1:24">
      <c r="A817" t="s">
        <v>1712</v>
      </c>
      <c r="B817" s="8">
        <v>45824</v>
      </c>
      <c r="C817" t="s">
        <v>370</v>
      </c>
      <c r="D817" t="s">
        <v>759</v>
      </c>
      <c r="E817">
        <v>1</v>
      </c>
      <c r="F817">
        <v>300000</v>
      </c>
      <c r="G817">
        <v>300000</v>
      </c>
      <c r="H817" t="s">
        <v>879</v>
      </c>
      <c r="I817">
        <v>60000</v>
      </c>
      <c r="J817">
        <v>20000</v>
      </c>
      <c r="K817">
        <v>260000</v>
      </c>
      <c r="L817" t="s">
        <v>873</v>
      </c>
      <c r="M817" t="s">
        <v>903</v>
      </c>
      <c r="N817" t="s">
        <v>890</v>
      </c>
      <c r="O817" s="9">
        <v>45809</v>
      </c>
      <c r="P817" t="s">
        <v>892</v>
      </c>
      <c r="Q817">
        <v>240000</v>
      </c>
      <c r="R817" t="s">
        <v>760</v>
      </c>
      <c r="S817" t="s">
        <v>747</v>
      </c>
      <c r="T817" t="s">
        <v>748</v>
      </c>
      <c r="U817" t="s">
        <v>371</v>
      </c>
      <c r="V817" t="s">
        <v>23</v>
      </c>
      <c r="W817" t="s">
        <v>36</v>
      </c>
      <c r="X817" t="s">
        <v>15</v>
      </c>
    </row>
    <row r="818" spans="1:24">
      <c r="A818" t="s">
        <v>1713</v>
      </c>
      <c r="B818" s="8">
        <v>45773</v>
      </c>
      <c r="C818" t="s">
        <v>344</v>
      </c>
      <c r="D818" t="s">
        <v>803</v>
      </c>
      <c r="E818">
        <v>3</v>
      </c>
      <c r="F818">
        <v>50000</v>
      </c>
      <c r="G818">
        <v>150000</v>
      </c>
      <c r="H818" t="s">
        <v>879</v>
      </c>
      <c r="I818">
        <v>30000</v>
      </c>
      <c r="J818">
        <v>10000</v>
      </c>
      <c r="K818">
        <v>130000</v>
      </c>
      <c r="L818" t="s">
        <v>889</v>
      </c>
      <c r="M818" t="s">
        <v>901</v>
      </c>
      <c r="N818" t="s">
        <v>875</v>
      </c>
      <c r="O818" s="9">
        <v>45748</v>
      </c>
      <c r="P818" t="s">
        <v>877</v>
      </c>
      <c r="Q818">
        <v>120000</v>
      </c>
      <c r="R818" t="s">
        <v>804</v>
      </c>
      <c r="S818" t="s">
        <v>739</v>
      </c>
      <c r="T818" t="s">
        <v>740</v>
      </c>
      <c r="U818" t="s">
        <v>345</v>
      </c>
      <c r="V818" t="s">
        <v>23</v>
      </c>
      <c r="W818" t="s">
        <v>137</v>
      </c>
      <c r="X818" t="s">
        <v>24</v>
      </c>
    </row>
    <row r="819" spans="1:24">
      <c r="A819" t="s">
        <v>1714</v>
      </c>
      <c r="B819" s="8">
        <v>45753</v>
      </c>
      <c r="C819" t="s">
        <v>710</v>
      </c>
      <c r="D819" t="s">
        <v>839</v>
      </c>
      <c r="E819">
        <v>3</v>
      </c>
      <c r="F819">
        <v>200000</v>
      </c>
      <c r="G819">
        <v>600000</v>
      </c>
      <c r="H819" t="s">
        <v>886</v>
      </c>
      <c r="I819">
        <v>60000</v>
      </c>
      <c r="J819">
        <v>25000</v>
      </c>
      <c r="K819">
        <v>565000</v>
      </c>
      <c r="L819" t="s">
        <v>884</v>
      </c>
      <c r="M819" t="s">
        <v>901</v>
      </c>
      <c r="N819" t="s">
        <v>890</v>
      </c>
      <c r="O819" s="9">
        <v>45748</v>
      </c>
      <c r="P819" t="s">
        <v>892</v>
      </c>
      <c r="Q819">
        <v>540000</v>
      </c>
      <c r="R819" t="s">
        <v>840</v>
      </c>
      <c r="S819" t="s">
        <v>739</v>
      </c>
      <c r="T819" t="s">
        <v>740</v>
      </c>
      <c r="U819" t="s">
        <v>711</v>
      </c>
      <c r="V819" t="s">
        <v>23</v>
      </c>
      <c r="W819" t="s">
        <v>46</v>
      </c>
      <c r="X819" t="s">
        <v>9</v>
      </c>
    </row>
    <row r="820" spans="1:24">
      <c r="A820" t="s">
        <v>1715</v>
      </c>
      <c r="B820" s="8">
        <v>45727</v>
      </c>
      <c r="C820" t="s">
        <v>284</v>
      </c>
      <c r="D820" t="s">
        <v>781</v>
      </c>
      <c r="E820">
        <v>1</v>
      </c>
      <c r="F820">
        <v>50000</v>
      </c>
      <c r="G820">
        <v>50000</v>
      </c>
      <c r="H820" t="s">
        <v>872</v>
      </c>
      <c r="I820">
        <v>0</v>
      </c>
      <c r="J820">
        <v>20000</v>
      </c>
      <c r="K820">
        <v>70000</v>
      </c>
      <c r="L820" t="s">
        <v>880</v>
      </c>
      <c r="M820" t="s">
        <v>903</v>
      </c>
      <c r="N820" t="s">
        <v>921</v>
      </c>
      <c r="O820" s="9">
        <v>45717</v>
      </c>
      <c r="P820" t="s">
        <v>892</v>
      </c>
      <c r="Q820">
        <v>50000</v>
      </c>
      <c r="R820" t="s">
        <v>782</v>
      </c>
      <c r="S820" t="s">
        <v>743</v>
      </c>
      <c r="T820" t="s">
        <v>744</v>
      </c>
      <c r="U820" t="s">
        <v>285</v>
      </c>
      <c r="V820" t="s">
        <v>7</v>
      </c>
      <c r="W820" t="s">
        <v>137</v>
      </c>
      <c r="X820" t="s">
        <v>24</v>
      </c>
    </row>
    <row r="821" spans="1:24">
      <c r="A821" t="s">
        <v>1716</v>
      </c>
      <c r="B821" s="8">
        <v>45677</v>
      </c>
      <c r="C821" t="s">
        <v>376</v>
      </c>
      <c r="D821" t="s">
        <v>763</v>
      </c>
      <c r="E821">
        <v>4</v>
      </c>
      <c r="F821">
        <v>75000</v>
      </c>
      <c r="G821">
        <v>300000</v>
      </c>
      <c r="H821" t="s">
        <v>886</v>
      </c>
      <c r="I821">
        <v>30000</v>
      </c>
      <c r="J821">
        <v>20000</v>
      </c>
      <c r="K821">
        <v>290000</v>
      </c>
      <c r="L821" t="s">
        <v>880</v>
      </c>
      <c r="M821" t="s">
        <v>903</v>
      </c>
      <c r="N821" t="s">
        <v>875</v>
      </c>
      <c r="O821" s="9">
        <v>45658</v>
      </c>
      <c r="P821" t="s">
        <v>877</v>
      </c>
      <c r="Q821">
        <v>270000</v>
      </c>
      <c r="R821" t="s">
        <v>764</v>
      </c>
      <c r="S821" t="s">
        <v>731</v>
      </c>
      <c r="T821" t="s">
        <v>732</v>
      </c>
      <c r="U821" t="s">
        <v>377</v>
      </c>
      <c r="V821" t="s">
        <v>7</v>
      </c>
      <c r="W821" t="s">
        <v>8</v>
      </c>
      <c r="X821" t="s">
        <v>9</v>
      </c>
    </row>
    <row r="822" spans="1:24">
      <c r="A822" t="s">
        <v>1717</v>
      </c>
      <c r="B822" s="8">
        <v>45711</v>
      </c>
      <c r="C822" t="s">
        <v>85</v>
      </c>
      <c r="D822" t="s">
        <v>835</v>
      </c>
      <c r="E822">
        <v>4</v>
      </c>
      <c r="F822">
        <v>200000</v>
      </c>
      <c r="G822">
        <v>800000</v>
      </c>
      <c r="H822" t="s">
        <v>879</v>
      </c>
      <c r="I822">
        <v>160000</v>
      </c>
      <c r="J822">
        <v>10000</v>
      </c>
      <c r="K822">
        <v>650000</v>
      </c>
      <c r="L822" t="s">
        <v>889</v>
      </c>
      <c r="M822" t="s">
        <v>881</v>
      </c>
      <c r="N822" t="s">
        <v>875</v>
      </c>
      <c r="O822" s="9">
        <v>45689</v>
      </c>
      <c r="P822" t="s">
        <v>877</v>
      </c>
      <c r="Q822">
        <v>640000</v>
      </c>
      <c r="R822" t="s">
        <v>836</v>
      </c>
      <c r="S822" t="s">
        <v>731</v>
      </c>
      <c r="T822" t="s">
        <v>732</v>
      </c>
      <c r="U822" t="s">
        <v>86</v>
      </c>
      <c r="V822" t="s">
        <v>23</v>
      </c>
      <c r="W822" t="s">
        <v>39</v>
      </c>
      <c r="X822" t="s">
        <v>9</v>
      </c>
    </row>
    <row r="823" spans="1:24">
      <c r="A823" t="s">
        <v>1718</v>
      </c>
      <c r="B823" s="8">
        <v>45788</v>
      </c>
      <c r="C823" t="s">
        <v>442</v>
      </c>
      <c r="D823" t="s">
        <v>803</v>
      </c>
      <c r="E823">
        <v>1</v>
      </c>
      <c r="F823">
        <v>50000</v>
      </c>
      <c r="G823">
        <v>50000</v>
      </c>
      <c r="H823" t="s">
        <v>879</v>
      </c>
      <c r="I823">
        <v>10000</v>
      </c>
      <c r="J823">
        <v>20000</v>
      </c>
      <c r="K823">
        <v>60000</v>
      </c>
      <c r="L823" t="s">
        <v>873</v>
      </c>
      <c r="M823" t="s">
        <v>901</v>
      </c>
      <c r="N823" t="s">
        <v>875</v>
      </c>
      <c r="O823" s="9">
        <v>45778</v>
      </c>
      <c r="P823" t="s">
        <v>877</v>
      </c>
      <c r="Q823">
        <v>40000</v>
      </c>
      <c r="R823" t="s">
        <v>804</v>
      </c>
      <c r="S823" t="s">
        <v>739</v>
      </c>
      <c r="T823" t="s">
        <v>740</v>
      </c>
      <c r="U823" t="s">
        <v>443</v>
      </c>
      <c r="V823" t="s">
        <v>23</v>
      </c>
      <c r="W823" t="s">
        <v>137</v>
      </c>
      <c r="X823" t="s">
        <v>24</v>
      </c>
    </row>
    <row r="824" spans="1:24">
      <c r="A824" t="s">
        <v>1719</v>
      </c>
      <c r="B824" s="8">
        <v>45741</v>
      </c>
      <c r="C824" t="s">
        <v>107</v>
      </c>
      <c r="D824" t="s">
        <v>823</v>
      </c>
      <c r="E824">
        <v>1</v>
      </c>
      <c r="F824">
        <v>500000</v>
      </c>
      <c r="G824">
        <v>500000</v>
      </c>
      <c r="H824" t="s">
        <v>895</v>
      </c>
      <c r="I824">
        <v>75000</v>
      </c>
      <c r="J824">
        <v>15000</v>
      </c>
      <c r="K824">
        <v>440000</v>
      </c>
      <c r="L824" t="s">
        <v>880</v>
      </c>
      <c r="M824" t="s">
        <v>874</v>
      </c>
      <c r="N824" t="s">
        <v>875</v>
      </c>
      <c r="O824" s="9">
        <v>45717</v>
      </c>
      <c r="P824" t="s">
        <v>877</v>
      </c>
      <c r="Q824">
        <v>425000</v>
      </c>
      <c r="R824" t="s">
        <v>824</v>
      </c>
      <c r="S824" t="s">
        <v>731</v>
      </c>
      <c r="T824" t="s">
        <v>732</v>
      </c>
      <c r="U824" t="s">
        <v>108</v>
      </c>
      <c r="V824" t="s">
        <v>23</v>
      </c>
      <c r="W824" t="s">
        <v>12</v>
      </c>
      <c r="X824" t="s">
        <v>24</v>
      </c>
    </row>
    <row r="825" spans="1:24">
      <c r="A825" t="s">
        <v>1720</v>
      </c>
      <c r="B825" s="8">
        <v>45668</v>
      </c>
      <c r="C825" t="s">
        <v>670</v>
      </c>
      <c r="D825" t="s">
        <v>853</v>
      </c>
      <c r="E825">
        <v>1</v>
      </c>
      <c r="F825">
        <v>75000</v>
      </c>
      <c r="G825">
        <v>75000</v>
      </c>
      <c r="H825" t="s">
        <v>886</v>
      </c>
      <c r="I825">
        <v>7500</v>
      </c>
      <c r="J825">
        <v>25000</v>
      </c>
      <c r="K825">
        <v>92500</v>
      </c>
      <c r="L825" t="s">
        <v>880</v>
      </c>
      <c r="M825" t="s">
        <v>901</v>
      </c>
      <c r="N825" t="s">
        <v>890</v>
      </c>
      <c r="O825" s="9">
        <v>45658</v>
      </c>
      <c r="P825" t="s">
        <v>892</v>
      </c>
      <c r="Q825">
        <v>67500</v>
      </c>
      <c r="R825" t="s">
        <v>854</v>
      </c>
      <c r="S825" t="s">
        <v>743</v>
      </c>
      <c r="T825" t="s">
        <v>744</v>
      </c>
      <c r="U825" t="s">
        <v>671</v>
      </c>
      <c r="V825" t="s">
        <v>23</v>
      </c>
      <c r="W825" t="s">
        <v>12</v>
      </c>
      <c r="X825" t="s">
        <v>24</v>
      </c>
    </row>
    <row r="826" spans="1:24">
      <c r="A826" t="s">
        <v>1721</v>
      </c>
      <c r="B826" s="8">
        <v>45697</v>
      </c>
      <c r="C826" t="s">
        <v>568</v>
      </c>
      <c r="D826" t="s">
        <v>733</v>
      </c>
      <c r="E826">
        <v>1</v>
      </c>
      <c r="F826">
        <v>150000</v>
      </c>
      <c r="G826">
        <v>150000</v>
      </c>
      <c r="H826" t="s">
        <v>872</v>
      </c>
      <c r="I826">
        <v>0</v>
      </c>
      <c r="J826">
        <v>15000</v>
      </c>
      <c r="K826">
        <v>165000</v>
      </c>
      <c r="L826" t="s">
        <v>884</v>
      </c>
      <c r="M826" t="s">
        <v>881</v>
      </c>
      <c r="N826" t="s">
        <v>875</v>
      </c>
      <c r="O826" s="9">
        <v>45689</v>
      </c>
      <c r="P826" t="s">
        <v>877</v>
      </c>
      <c r="Q826">
        <v>150000</v>
      </c>
      <c r="R826" t="s">
        <v>734</v>
      </c>
      <c r="S826" t="s">
        <v>735</v>
      </c>
      <c r="T826" t="s">
        <v>736</v>
      </c>
      <c r="U826" t="s">
        <v>569</v>
      </c>
      <c r="V826" t="s">
        <v>23</v>
      </c>
      <c r="W826" t="s">
        <v>137</v>
      </c>
      <c r="X826" t="s">
        <v>9</v>
      </c>
    </row>
    <row r="827" spans="1:24">
      <c r="A827" t="s">
        <v>1722</v>
      </c>
      <c r="B827" s="8">
        <v>45837</v>
      </c>
      <c r="C827" t="s">
        <v>360</v>
      </c>
      <c r="D827" t="s">
        <v>813</v>
      </c>
      <c r="E827">
        <v>1</v>
      </c>
      <c r="F827">
        <v>35000</v>
      </c>
      <c r="G827">
        <v>35000</v>
      </c>
      <c r="H827" t="s">
        <v>872</v>
      </c>
      <c r="I827">
        <v>0</v>
      </c>
      <c r="J827">
        <v>10000</v>
      </c>
      <c r="K827">
        <v>45000</v>
      </c>
      <c r="L827" t="s">
        <v>889</v>
      </c>
      <c r="M827" t="s">
        <v>881</v>
      </c>
      <c r="N827" t="s">
        <v>875</v>
      </c>
      <c r="O827" s="9">
        <v>45809</v>
      </c>
      <c r="P827" t="s">
        <v>877</v>
      </c>
      <c r="Q827">
        <v>35000</v>
      </c>
      <c r="R827" t="s">
        <v>814</v>
      </c>
      <c r="S827" t="s">
        <v>735</v>
      </c>
      <c r="T827" t="s">
        <v>736</v>
      </c>
      <c r="U827" t="s">
        <v>361</v>
      </c>
      <c r="V827" t="s">
        <v>23</v>
      </c>
      <c r="W827" t="s">
        <v>137</v>
      </c>
      <c r="X827" t="s">
        <v>9</v>
      </c>
    </row>
    <row r="828" spans="1:24">
      <c r="A828" t="s">
        <v>1723</v>
      </c>
      <c r="B828" s="8">
        <v>45706</v>
      </c>
      <c r="C828" t="s">
        <v>346</v>
      </c>
      <c r="D828" t="s">
        <v>777</v>
      </c>
      <c r="E828">
        <v>2</v>
      </c>
      <c r="F828">
        <v>200000</v>
      </c>
      <c r="G828">
        <v>400000</v>
      </c>
      <c r="H828" t="s">
        <v>872</v>
      </c>
      <c r="I828">
        <v>0</v>
      </c>
      <c r="J828">
        <v>10000</v>
      </c>
      <c r="K828">
        <v>410000</v>
      </c>
      <c r="L828" t="s">
        <v>884</v>
      </c>
      <c r="M828" t="s">
        <v>881</v>
      </c>
      <c r="N828" t="s">
        <v>911</v>
      </c>
      <c r="O828" s="9">
        <v>45689</v>
      </c>
      <c r="P828" t="s">
        <v>892</v>
      </c>
      <c r="Q828">
        <v>400000</v>
      </c>
      <c r="R828" t="s">
        <v>778</v>
      </c>
      <c r="S828" t="s">
        <v>735</v>
      </c>
      <c r="T828" t="s">
        <v>736</v>
      </c>
      <c r="U828" t="s">
        <v>347</v>
      </c>
      <c r="V828" t="s">
        <v>23</v>
      </c>
      <c r="W828" t="s">
        <v>46</v>
      </c>
      <c r="X828" t="s">
        <v>9</v>
      </c>
    </row>
    <row r="829" spans="1:24">
      <c r="A829" t="s">
        <v>1724</v>
      </c>
      <c r="B829" s="8">
        <v>45750</v>
      </c>
      <c r="C829" t="s">
        <v>206</v>
      </c>
      <c r="D829" t="s">
        <v>749</v>
      </c>
      <c r="E829">
        <v>1</v>
      </c>
      <c r="F829">
        <v>150000</v>
      </c>
      <c r="G829">
        <v>150000</v>
      </c>
      <c r="H829" t="s">
        <v>872</v>
      </c>
      <c r="I829">
        <v>0</v>
      </c>
      <c r="J829">
        <v>25000</v>
      </c>
      <c r="K829">
        <v>175000</v>
      </c>
      <c r="L829" t="s">
        <v>880</v>
      </c>
      <c r="M829" t="s">
        <v>901</v>
      </c>
      <c r="N829" t="s">
        <v>921</v>
      </c>
      <c r="O829" s="9">
        <v>45748</v>
      </c>
      <c r="P829" t="s">
        <v>892</v>
      </c>
      <c r="Q829">
        <v>150000</v>
      </c>
      <c r="R829" t="s">
        <v>750</v>
      </c>
      <c r="S829" t="s">
        <v>727</v>
      </c>
      <c r="T829" t="s">
        <v>728</v>
      </c>
      <c r="U829" t="s">
        <v>207</v>
      </c>
      <c r="V829" t="s">
        <v>7</v>
      </c>
      <c r="W829" t="s">
        <v>20</v>
      </c>
      <c r="X829" t="s">
        <v>9</v>
      </c>
    </row>
    <row r="830" spans="1:24">
      <c r="A830" t="s">
        <v>1725</v>
      </c>
      <c r="B830" s="8">
        <v>45798</v>
      </c>
      <c r="C830" t="s">
        <v>63</v>
      </c>
      <c r="D830" t="s">
        <v>773</v>
      </c>
      <c r="E830">
        <v>1</v>
      </c>
      <c r="F830">
        <v>500000</v>
      </c>
      <c r="G830">
        <v>500000</v>
      </c>
      <c r="H830" t="s">
        <v>883</v>
      </c>
      <c r="I830">
        <v>50000</v>
      </c>
      <c r="J830">
        <v>20000</v>
      </c>
      <c r="K830">
        <v>470000</v>
      </c>
      <c r="L830" t="s">
        <v>889</v>
      </c>
      <c r="M830" t="s">
        <v>901</v>
      </c>
      <c r="N830" t="s">
        <v>911</v>
      </c>
      <c r="O830" s="9">
        <v>45778</v>
      </c>
      <c r="P830" t="s">
        <v>892</v>
      </c>
      <c r="Q830">
        <v>450000</v>
      </c>
      <c r="R830" t="s">
        <v>774</v>
      </c>
      <c r="S830" t="s">
        <v>727</v>
      </c>
      <c r="T830" t="s">
        <v>728</v>
      </c>
      <c r="U830" t="s">
        <v>64</v>
      </c>
      <c r="V830" t="s">
        <v>7</v>
      </c>
      <c r="W830" t="s">
        <v>8</v>
      </c>
      <c r="X830" t="s">
        <v>15</v>
      </c>
    </row>
    <row r="831" spans="1:24">
      <c r="A831" t="s">
        <v>1726</v>
      </c>
      <c r="B831" s="8">
        <v>45816</v>
      </c>
      <c r="C831" t="s">
        <v>274</v>
      </c>
      <c r="D831" t="s">
        <v>761</v>
      </c>
      <c r="E831">
        <v>4</v>
      </c>
      <c r="F831">
        <v>75000</v>
      </c>
      <c r="G831">
        <v>300000</v>
      </c>
      <c r="H831" t="s">
        <v>895</v>
      </c>
      <c r="I831">
        <v>45000</v>
      </c>
      <c r="J831">
        <v>25000</v>
      </c>
      <c r="K831">
        <v>280000</v>
      </c>
      <c r="L831" t="s">
        <v>880</v>
      </c>
      <c r="M831" t="s">
        <v>881</v>
      </c>
      <c r="N831" t="s">
        <v>890</v>
      </c>
      <c r="O831" s="9">
        <v>45809</v>
      </c>
      <c r="P831" t="s">
        <v>892</v>
      </c>
      <c r="Q831">
        <v>255000</v>
      </c>
      <c r="R831" t="s">
        <v>762</v>
      </c>
      <c r="S831" t="s">
        <v>727</v>
      </c>
      <c r="T831" t="s">
        <v>728</v>
      </c>
      <c r="U831" t="s">
        <v>275</v>
      </c>
      <c r="V831" t="s">
        <v>7</v>
      </c>
      <c r="W831" t="s">
        <v>8</v>
      </c>
      <c r="X831" t="s">
        <v>9</v>
      </c>
    </row>
    <row r="832" spans="1:24">
      <c r="A832" t="s">
        <v>1727</v>
      </c>
      <c r="B832" s="8">
        <v>45732</v>
      </c>
      <c r="C832" t="s">
        <v>75</v>
      </c>
      <c r="D832" t="s">
        <v>729</v>
      </c>
      <c r="E832">
        <v>2</v>
      </c>
      <c r="F832">
        <v>100000</v>
      </c>
      <c r="G832">
        <v>200000</v>
      </c>
      <c r="H832" t="s">
        <v>895</v>
      </c>
      <c r="I832">
        <v>30000</v>
      </c>
      <c r="J832">
        <v>25000</v>
      </c>
      <c r="K832">
        <v>195000</v>
      </c>
      <c r="L832" t="s">
        <v>889</v>
      </c>
      <c r="M832" t="s">
        <v>901</v>
      </c>
      <c r="N832" t="s">
        <v>875</v>
      </c>
      <c r="O832" s="9">
        <v>45717</v>
      </c>
      <c r="P832" t="s">
        <v>877</v>
      </c>
      <c r="Q832">
        <v>170000</v>
      </c>
      <c r="R832" t="s">
        <v>730</v>
      </c>
      <c r="S832" t="s">
        <v>731</v>
      </c>
      <c r="T832" t="s">
        <v>732</v>
      </c>
      <c r="U832" t="s">
        <v>76</v>
      </c>
      <c r="V832" t="s">
        <v>23</v>
      </c>
      <c r="W832" t="s">
        <v>8</v>
      </c>
      <c r="X832" t="s">
        <v>9</v>
      </c>
    </row>
    <row r="833" spans="1:24">
      <c r="A833" t="s">
        <v>1728</v>
      </c>
      <c r="B833" s="8">
        <v>45676</v>
      </c>
      <c r="C833" t="s">
        <v>222</v>
      </c>
      <c r="D833" t="s">
        <v>751</v>
      </c>
      <c r="E833">
        <v>2</v>
      </c>
      <c r="F833">
        <v>150000</v>
      </c>
      <c r="G833">
        <v>300000</v>
      </c>
      <c r="H833" t="s">
        <v>879</v>
      </c>
      <c r="I833">
        <v>60000</v>
      </c>
      <c r="J833">
        <v>30000</v>
      </c>
      <c r="K833">
        <v>270000</v>
      </c>
      <c r="L833" t="s">
        <v>889</v>
      </c>
      <c r="M833" t="s">
        <v>881</v>
      </c>
      <c r="N833" t="s">
        <v>905</v>
      </c>
      <c r="O833" s="9">
        <v>45658</v>
      </c>
      <c r="P833" t="s">
        <v>892</v>
      </c>
      <c r="Q833">
        <v>240000</v>
      </c>
      <c r="R833" t="s">
        <v>752</v>
      </c>
      <c r="S833" t="s">
        <v>731</v>
      </c>
      <c r="T833" t="s">
        <v>732</v>
      </c>
      <c r="U833" t="s">
        <v>223</v>
      </c>
      <c r="V833" t="s">
        <v>7</v>
      </c>
      <c r="W833" t="s">
        <v>137</v>
      </c>
      <c r="X833" t="s">
        <v>9</v>
      </c>
    </row>
    <row r="834" spans="1:24">
      <c r="A834" t="s">
        <v>1729</v>
      </c>
      <c r="B834" s="8">
        <v>45683</v>
      </c>
      <c r="C834" t="s">
        <v>160</v>
      </c>
      <c r="D834" t="s">
        <v>849</v>
      </c>
      <c r="E834">
        <v>4</v>
      </c>
      <c r="F834">
        <v>500000</v>
      </c>
      <c r="G834">
        <v>2000000</v>
      </c>
      <c r="H834" t="s">
        <v>886</v>
      </c>
      <c r="I834">
        <v>200000</v>
      </c>
      <c r="J834">
        <v>20000</v>
      </c>
      <c r="K834">
        <v>1820000</v>
      </c>
      <c r="L834" t="s">
        <v>884</v>
      </c>
      <c r="M834" t="s">
        <v>881</v>
      </c>
      <c r="N834" t="s">
        <v>905</v>
      </c>
      <c r="O834" s="9">
        <v>45658</v>
      </c>
      <c r="P834" t="s">
        <v>892</v>
      </c>
      <c r="Q834">
        <v>1800000</v>
      </c>
      <c r="R834" t="s">
        <v>850</v>
      </c>
      <c r="S834" t="s">
        <v>735</v>
      </c>
      <c r="T834" t="s">
        <v>736</v>
      </c>
      <c r="U834" t="s">
        <v>161</v>
      </c>
      <c r="V834" t="s">
        <v>23</v>
      </c>
      <c r="W834" t="s">
        <v>137</v>
      </c>
      <c r="X834" t="s">
        <v>9</v>
      </c>
    </row>
    <row r="835" spans="1:24">
      <c r="A835" t="s">
        <v>1730</v>
      </c>
      <c r="B835" s="8">
        <v>45725</v>
      </c>
      <c r="C835" t="s">
        <v>390</v>
      </c>
      <c r="D835" t="s">
        <v>745</v>
      </c>
      <c r="E835">
        <v>1</v>
      </c>
      <c r="F835">
        <v>500000</v>
      </c>
      <c r="G835">
        <v>500000</v>
      </c>
      <c r="H835" t="s">
        <v>886</v>
      </c>
      <c r="I835">
        <v>50000</v>
      </c>
      <c r="J835">
        <v>10000</v>
      </c>
      <c r="K835">
        <v>460000</v>
      </c>
      <c r="L835" t="s">
        <v>884</v>
      </c>
      <c r="M835" t="s">
        <v>903</v>
      </c>
      <c r="N835" t="s">
        <v>875</v>
      </c>
      <c r="O835" s="9">
        <v>45717</v>
      </c>
      <c r="P835" t="s">
        <v>877</v>
      </c>
      <c r="Q835">
        <v>450000</v>
      </c>
      <c r="R835" t="s">
        <v>746</v>
      </c>
      <c r="S835" t="s">
        <v>747</v>
      </c>
      <c r="T835" t="s">
        <v>748</v>
      </c>
      <c r="U835" t="s">
        <v>391</v>
      </c>
      <c r="V835" t="s">
        <v>23</v>
      </c>
      <c r="W835" t="s">
        <v>56</v>
      </c>
      <c r="X835" t="s">
        <v>15</v>
      </c>
    </row>
    <row r="836" spans="1:24">
      <c r="A836" t="s">
        <v>1731</v>
      </c>
      <c r="B836" s="8">
        <v>45784</v>
      </c>
      <c r="C836" t="s">
        <v>404</v>
      </c>
      <c r="D836" t="s">
        <v>837</v>
      </c>
      <c r="E836">
        <v>3</v>
      </c>
      <c r="F836">
        <v>300000</v>
      </c>
      <c r="G836">
        <v>900000</v>
      </c>
      <c r="H836" t="s">
        <v>872</v>
      </c>
      <c r="I836">
        <v>0</v>
      </c>
      <c r="J836">
        <v>30000</v>
      </c>
      <c r="K836">
        <v>930000</v>
      </c>
      <c r="L836" t="s">
        <v>884</v>
      </c>
      <c r="M836" t="s">
        <v>901</v>
      </c>
      <c r="N836" t="s">
        <v>875</v>
      </c>
      <c r="O836" s="9">
        <v>45778</v>
      </c>
      <c r="P836" t="s">
        <v>877</v>
      </c>
      <c r="Q836">
        <v>900000</v>
      </c>
      <c r="R836" t="s">
        <v>838</v>
      </c>
      <c r="S836" t="s">
        <v>735</v>
      </c>
      <c r="T836" t="s">
        <v>736</v>
      </c>
      <c r="U836" t="s">
        <v>405</v>
      </c>
      <c r="V836" t="s">
        <v>23</v>
      </c>
      <c r="W836" t="s">
        <v>39</v>
      </c>
      <c r="X836" t="s">
        <v>15</v>
      </c>
    </row>
    <row r="837" spans="1:24">
      <c r="A837" t="s">
        <v>1732</v>
      </c>
      <c r="B837" s="8">
        <v>45741</v>
      </c>
      <c r="C837" t="s">
        <v>121</v>
      </c>
      <c r="D837" t="s">
        <v>733</v>
      </c>
      <c r="E837">
        <v>1</v>
      </c>
      <c r="F837">
        <v>150000</v>
      </c>
      <c r="G837">
        <v>150000</v>
      </c>
      <c r="H837" t="s">
        <v>872</v>
      </c>
      <c r="I837">
        <v>0</v>
      </c>
      <c r="J837">
        <v>30000</v>
      </c>
      <c r="K837">
        <v>180000</v>
      </c>
      <c r="L837" t="s">
        <v>884</v>
      </c>
      <c r="M837" t="s">
        <v>901</v>
      </c>
      <c r="N837" t="s">
        <v>875</v>
      </c>
      <c r="O837" s="9">
        <v>45717</v>
      </c>
      <c r="P837" t="s">
        <v>877</v>
      </c>
      <c r="Q837">
        <v>150000</v>
      </c>
      <c r="R837" t="s">
        <v>734</v>
      </c>
      <c r="S837" t="s">
        <v>735</v>
      </c>
      <c r="T837" t="s">
        <v>736</v>
      </c>
      <c r="U837" t="s">
        <v>122</v>
      </c>
      <c r="V837" t="s">
        <v>7</v>
      </c>
      <c r="W837" t="s">
        <v>36</v>
      </c>
      <c r="X837" t="s">
        <v>9</v>
      </c>
    </row>
    <row r="838" spans="1:24">
      <c r="A838" t="s">
        <v>1733</v>
      </c>
      <c r="B838" s="8">
        <v>45821</v>
      </c>
      <c r="C838" t="s">
        <v>636</v>
      </c>
      <c r="D838" t="s">
        <v>769</v>
      </c>
      <c r="E838">
        <v>3</v>
      </c>
      <c r="F838">
        <v>100000</v>
      </c>
      <c r="G838">
        <v>300000</v>
      </c>
      <c r="H838" t="s">
        <v>872</v>
      </c>
      <c r="I838">
        <v>0</v>
      </c>
      <c r="J838">
        <v>25000</v>
      </c>
      <c r="K838">
        <v>325000</v>
      </c>
      <c r="L838" t="s">
        <v>884</v>
      </c>
      <c r="M838" t="s">
        <v>903</v>
      </c>
      <c r="N838" t="s">
        <v>875</v>
      </c>
      <c r="O838" s="9">
        <v>45809</v>
      </c>
      <c r="P838" t="s">
        <v>877</v>
      </c>
      <c r="Q838">
        <v>300000</v>
      </c>
      <c r="R838" t="s">
        <v>770</v>
      </c>
      <c r="S838" t="s">
        <v>743</v>
      </c>
      <c r="T838" t="s">
        <v>744</v>
      </c>
      <c r="U838" t="s">
        <v>637</v>
      </c>
      <c r="V838" t="s">
        <v>7</v>
      </c>
      <c r="W838" t="s">
        <v>29</v>
      </c>
      <c r="X838" t="s">
        <v>9</v>
      </c>
    </row>
    <row r="839" spans="1:24">
      <c r="A839" t="s">
        <v>1734</v>
      </c>
      <c r="B839" s="8">
        <v>45663</v>
      </c>
      <c r="C839" t="s">
        <v>316</v>
      </c>
      <c r="D839" t="s">
        <v>761</v>
      </c>
      <c r="E839">
        <v>3</v>
      </c>
      <c r="F839">
        <v>75000</v>
      </c>
      <c r="G839">
        <v>225000</v>
      </c>
      <c r="H839" t="s">
        <v>886</v>
      </c>
      <c r="I839">
        <v>22500</v>
      </c>
      <c r="J839">
        <v>10000</v>
      </c>
      <c r="K839">
        <v>212500</v>
      </c>
      <c r="L839" t="s">
        <v>884</v>
      </c>
      <c r="M839" t="s">
        <v>881</v>
      </c>
      <c r="N839" t="s">
        <v>875</v>
      </c>
      <c r="O839" s="9">
        <v>45658</v>
      </c>
      <c r="P839" t="s">
        <v>877</v>
      </c>
      <c r="Q839">
        <v>202500</v>
      </c>
      <c r="R839" t="s">
        <v>762</v>
      </c>
      <c r="S839" t="s">
        <v>727</v>
      </c>
      <c r="T839" t="s">
        <v>728</v>
      </c>
      <c r="U839" t="s">
        <v>317</v>
      </c>
      <c r="V839" t="s">
        <v>23</v>
      </c>
      <c r="W839" t="s">
        <v>46</v>
      </c>
      <c r="X839" t="s">
        <v>9</v>
      </c>
    </row>
    <row r="840" spans="1:24">
      <c r="A840" t="s">
        <v>1735</v>
      </c>
      <c r="B840" s="8">
        <v>45671</v>
      </c>
      <c r="C840" t="s">
        <v>129</v>
      </c>
      <c r="D840" t="s">
        <v>807</v>
      </c>
      <c r="E840">
        <v>1</v>
      </c>
      <c r="F840">
        <v>150000</v>
      </c>
      <c r="G840">
        <v>150000</v>
      </c>
      <c r="H840" t="s">
        <v>872</v>
      </c>
      <c r="I840">
        <v>0</v>
      </c>
      <c r="J840">
        <v>30000</v>
      </c>
      <c r="K840">
        <v>180000</v>
      </c>
      <c r="L840" t="s">
        <v>873</v>
      </c>
      <c r="M840" t="s">
        <v>874</v>
      </c>
      <c r="N840" t="s">
        <v>875</v>
      </c>
      <c r="O840" s="9">
        <v>45658</v>
      </c>
      <c r="P840" t="s">
        <v>877</v>
      </c>
      <c r="Q840">
        <v>150000</v>
      </c>
      <c r="R840" t="s">
        <v>808</v>
      </c>
      <c r="S840" t="s">
        <v>747</v>
      </c>
      <c r="T840" t="s">
        <v>748</v>
      </c>
      <c r="U840" t="s">
        <v>130</v>
      </c>
      <c r="V840" t="s">
        <v>23</v>
      </c>
      <c r="W840" t="s">
        <v>8</v>
      </c>
      <c r="X840" t="s">
        <v>24</v>
      </c>
    </row>
    <row r="841" spans="1:24">
      <c r="A841" t="s">
        <v>1736</v>
      </c>
      <c r="B841" s="8">
        <v>45665</v>
      </c>
      <c r="C841" t="s">
        <v>706</v>
      </c>
      <c r="D841" t="s">
        <v>733</v>
      </c>
      <c r="E841">
        <v>1</v>
      </c>
      <c r="F841">
        <v>150000</v>
      </c>
      <c r="G841">
        <v>150000</v>
      </c>
      <c r="H841" t="s">
        <v>872</v>
      </c>
      <c r="I841">
        <v>0</v>
      </c>
      <c r="J841">
        <v>15000</v>
      </c>
      <c r="K841">
        <v>165000</v>
      </c>
      <c r="L841" t="s">
        <v>880</v>
      </c>
      <c r="M841" t="s">
        <v>903</v>
      </c>
      <c r="N841" t="s">
        <v>875</v>
      </c>
      <c r="O841" s="9">
        <v>45658</v>
      </c>
      <c r="P841" t="s">
        <v>877</v>
      </c>
      <c r="Q841">
        <v>150000</v>
      </c>
      <c r="R841" t="s">
        <v>734</v>
      </c>
      <c r="S841" t="s">
        <v>735</v>
      </c>
      <c r="T841" t="s">
        <v>736</v>
      </c>
      <c r="U841" t="s">
        <v>707</v>
      </c>
      <c r="V841" t="s">
        <v>7</v>
      </c>
      <c r="W841" t="s">
        <v>39</v>
      </c>
      <c r="X841" t="s">
        <v>9</v>
      </c>
    </row>
    <row r="842" spans="1:24">
      <c r="A842" t="s">
        <v>1737</v>
      </c>
      <c r="B842" s="8">
        <v>45807</v>
      </c>
      <c r="C842" t="s">
        <v>109</v>
      </c>
      <c r="D842" t="s">
        <v>833</v>
      </c>
      <c r="E842">
        <v>1</v>
      </c>
      <c r="F842">
        <v>200000</v>
      </c>
      <c r="G842">
        <v>200000</v>
      </c>
      <c r="H842" t="s">
        <v>895</v>
      </c>
      <c r="I842">
        <v>30000</v>
      </c>
      <c r="J842">
        <v>20000</v>
      </c>
      <c r="K842">
        <v>190000</v>
      </c>
      <c r="L842" t="s">
        <v>884</v>
      </c>
      <c r="M842" t="s">
        <v>901</v>
      </c>
      <c r="N842" t="s">
        <v>890</v>
      </c>
      <c r="O842" s="9">
        <v>45778</v>
      </c>
      <c r="P842" t="s">
        <v>892</v>
      </c>
      <c r="Q842">
        <v>170000</v>
      </c>
      <c r="R842" t="s">
        <v>834</v>
      </c>
      <c r="S842" t="s">
        <v>727</v>
      </c>
      <c r="T842" t="s">
        <v>728</v>
      </c>
      <c r="U842" t="s">
        <v>110</v>
      </c>
      <c r="V842" t="s">
        <v>23</v>
      </c>
      <c r="W842" t="s">
        <v>46</v>
      </c>
      <c r="X842" t="s">
        <v>15</v>
      </c>
    </row>
    <row r="843" spans="1:24">
      <c r="A843" t="s">
        <v>1738</v>
      </c>
      <c r="B843" s="8">
        <v>45772</v>
      </c>
      <c r="C843" t="s">
        <v>656</v>
      </c>
      <c r="D843" t="s">
        <v>833</v>
      </c>
      <c r="E843">
        <v>3</v>
      </c>
      <c r="F843">
        <v>200000</v>
      </c>
      <c r="G843">
        <v>600000</v>
      </c>
      <c r="H843" t="s">
        <v>872</v>
      </c>
      <c r="I843">
        <v>0</v>
      </c>
      <c r="J843">
        <v>30000</v>
      </c>
      <c r="K843">
        <v>630000</v>
      </c>
      <c r="L843" t="s">
        <v>880</v>
      </c>
      <c r="M843" t="s">
        <v>874</v>
      </c>
      <c r="N843" t="s">
        <v>875</v>
      </c>
      <c r="O843" s="9">
        <v>45748</v>
      </c>
      <c r="P843" t="s">
        <v>877</v>
      </c>
      <c r="Q843">
        <v>600000</v>
      </c>
      <c r="R843" t="s">
        <v>834</v>
      </c>
      <c r="S843" t="s">
        <v>727</v>
      </c>
      <c r="T843" t="s">
        <v>728</v>
      </c>
      <c r="U843" t="s">
        <v>657</v>
      </c>
      <c r="V843" t="s">
        <v>23</v>
      </c>
      <c r="W843" t="s">
        <v>51</v>
      </c>
      <c r="X843" t="s">
        <v>9</v>
      </c>
    </row>
    <row r="844" spans="1:24">
      <c r="A844" t="s">
        <v>1739</v>
      </c>
      <c r="B844" s="8">
        <v>45828</v>
      </c>
      <c r="C844" t="s">
        <v>610</v>
      </c>
      <c r="D844" t="s">
        <v>833</v>
      </c>
      <c r="E844">
        <v>2</v>
      </c>
      <c r="F844">
        <v>200000</v>
      </c>
      <c r="G844">
        <v>400000</v>
      </c>
      <c r="H844" t="s">
        <v>886</v>
      </c>
      <c r="I844">
        <v>40000</v>
      </c>
      <c r="J844">
        <v>15000</v>
      </c>
      <c r="K844">
        <v>375000</v>
      </c>
      <c r="L844" t="s">
        <v>884</v>
      </c>
      <c r="M844" t="s">
        <v>881</v>
      </c>
      <c r="N844" t="s">
        <v>875</v>
      </c>
      <c r="O844" s="9">
        <v>45809</v>
      </c>
      <c r="P844" t="s">
        <v>877</v>
      </c>
      <c r="Q844">
        <v>360000</v>
      </c>
      <c r="R844" t="s">
        <v>834</v>
      </c>
      <c r="S844" t="s">
        <v>727</v>
      </c>
      <c r="T844" t="s">
        <v>728</v>
      </c>
      <c r="U844" t="s">
        <v>611</v>
      </c>
      <c r="V844" t="s">
        <v>7</v>
      </c>
      <c r="W844" t="s">
        <v>29</v>
      </c>
      <c r="X844" t="s">
        <v>9</v>
      </c>
    </row>
    <row r="845" spans="1:24">
      <c r="A845" t="s">
        <v>1740</v>
      </c>
      <c r="B845" s="8">
        <v>45731</v>
      </c>
      <c r="C845" t="s">
        <v>450</v>
      </c>
      <c r="D845" t="s">
        <v>759</v>
      </c>
      <c r="E845">
        <v>1</v>
      </c>
      <c r="F845">
        <v>300000</v>
      </c>
      <c r="G845">
        <v>300000</v>
      </c>
      <c r="H845" t="s">
        <v>872</v>
      </c>
      <c r="I845">
        <v>0</v>
      </c>
      <c r="J845">
        <v>10000</v>
      </c>
      <c r="K845">
        <v>310000</v>
      </c>
      <c r="L845" t="s">
        <v>889</v>
      </c>
      <c r="M845" t="s">
        <v>901</v>
      </c>
      <c r="N845" t="s">
        <v>875</v>
      </c>
      <c r="O845" s="9">
        <v>45717</v>
      </c>
      <c r="P845" t="s">
        <v>877</v>
      </c>
      <c r="Q845">
        <v>300000</v>
      </c>
      <c r="R845" t="s">
        <v>760</v>
      </c>
      <c r="S845" t="s">
        <v>747</v>
      </c>
      <c r="T845" t="s">
        <v>748</v>
      </c>
      <c r="U845" t="s">
        <v>451</v>
      </c>
      <c r="V845" t="s">
        <v>23</v>
      </c>
      <c r="W845" t="s">
        <v>56</v>
      </c>
      <c r="X845" t="s">
        <v>9</v>
      </c>
    </row>
    <row r="846" spans="1:24">
      <c r="A846" t="s">
        <v>1741</v>
      </c>
      <c r="B846" s="8">
        <v>45791</v>
      </c>
      <c r="C846" t="s">
        <v>61</v>
      </c>
      <c r="D846" t="s">
        <v>817</v>
      </c>
      <c r="E846">
        <v>1</v>
      </c>
      <c r="F846">
        <v>75000</v>
      </c>
      <c r="G846">
        <v>75000</v>
      </c>
      <c r="H846" t="s">
        <v>872</v>
      </c>
      <c r="I846">
        <v>0</v>
      </c>
      <c r="J846">
        <v>30000</v>
      </c>
      <c r="K846">
        <v>105000</v>
      </c>
      <c r="L846" t="s">
        <v>884</v>
      </c>
      <c r="M846" t="s">
        <v>881</v>
      </c>
      <c r="N846" t="s">
        <v>875</v>
      </c>
      <c r="O846" s="9">
        <v>45778</v>
      </c>
      <c r="P846" t="s">
        <v>877</v>
      </c>
      <c r="Q846">
        <v>75000</v>
      </c>
      <c r="R846" t="s">
        <v>818</v>
      </c>
      <c r="S846" t="s">
        <v>743</v>
      </c>
      <c r="T846" t="s">
        <v>744</v>
      </c>
      <c r="U846" t="s">
        <v>62</v>
      </c>
      <c r="V846" t="s">
        <v>23</v>
      </c>
      <c r="W846" t="s">
        <v>39</v>
      </c>
      <c r="X846" t="s">
        <v>24</v>
      </c>
    </row>
    <row r="847" spans="1:24">
      <c r="A847" t="s">
        <v>1742</v>
      </c>
      <c r="B847" s="8">
        <v>45763</v>
      </c>
      <c r="C847" t="s">
        <v>404</v>
      </c>
      <c r="D847" t="s">
        <v>855</v>
      </c>
      <c r="E847">
        <v>3</v>
      </c>
      <c r="F847">
        <v>150000</v>
      </c>
      <c r="G847">
        <v>450000</v>
      </c>
      <c r="H847" t="s">
        <v>872</v>
      </c>
      <c r="I847">
        <v>0</v>
      </c>
      <c r="J847">
        <v>15000</v>
      </c>
      <c r="K847">
        <v>465000</v>
      </c>
      <c r="L847" t="s">
        <v>880</v>
      </c>
      <c r="M847" t="s">
        <v>881</v>
      </c>
      <c r="N847" t="s">
        <v>875</v>
      </c>
      <c r="O847" s="9">
        <v>45748</v>
      </c>
      <c r="P847" t="s">
        <v>877</v>
      </c>
      <c r="Q847">
        <v>450000</v>
      </c>
      <c r="R847" t="s">
        <v>856</v>
      </c>
      <c r="S847" t="s">
        <v>747</v>
      </c>
      <c r="T847" t="s">
        <v>748</v>
      </c>
      <c r="U847" t="s">
        <v>405</v>
      </c>
      <c r="V847" t="s">
        <v>23</v>
      </c>
      <c r="W847" t="s">
        <v>39</v>
      </c>
      <c r="X847" t="s">
        <v>15</v>
      </c>
    </row>
    <row r="848" spans="1:24">
      <c r="A848" t="s">
        <v>1743</v>
      </c>
      <c r="B848" s="8">
        <v>45696</v>
      </c>
      <c r="C848" t="s">
        <v>296</v>
      </c>
      <c r="D848" t="s">
        <v>807</v>
      </c>
      <c r="E848">
        <v>2</v>
      </c>
      <c r="F848">
        <v>150000</v>
      </c>
      <c r="G848">
        <v>300000</v>
      </c>
      <c r="H848" t="s">
        <v>886</v>
      </c>
      <c r="I848">
        <v>30000</v>
      </c>
      <c r="J848">
        <v>10000</v>
      </c>
      <c r="K848">
        <v>280000</v>
      </c>
      <c r="L848" t="s">
        <v>880</v>
      </c>
      <c r="M848" t="s">
        <v>901</v>
      </c>
      <c r="N848" t="s">
        <v>875</v>
      </c>
      <c r="O848" s="9">
        <v>45689</v>
      </c>
      <c r="P848" t="s">
        <v>877</v>
      </c>
      <c r="Q848">
        <v>270000</v>
      </c>
      <c r="R848" t="s">
        <v>808</v>
      </c>
      <c r="S848" t="s">
        <v>747</v>
      </c>
      <c r="T848" t="s">
        <v>748</v>
      </c>
      <c r="U848" t="s">
        <v>297</v>
      </c>
      <c r="V848" t="s">
        <v>7</v>
      </c>
      <c r="W848" t="s">
        <v>137</v>
      </c>
      <c r="X848" t="s">
        <v>24</v>
      </c>
    </row>
    <row r="849" spans="1:24">
      <c r="A849" t="s">
        <v>1744</v>
      </c>
      <c r="B849" s="8">
        <v>45785</v>
      </c>
      <c r="C849" t="s">
        <v>592</v>
      </c>
      <c r="D849" t="s">
        <v>845</v>
      </c>
      <c r="E849">
        <v>2</v>
      </c>
      <c r="F849">
        <v>300000</v>
      </c>
      <c r="G849">
        <v>600000</v>
      </c>
      <c r="H849" t="s">
        <v>872</v>
      </c>
      <c r="I849">
        <v>0</v>
      </c>
      <c r="J849">
        <v>20000</v>
      </c>
      <c r="K849">
        <v>620000</v>
      </c>
      <c r="L849" t="s">
        <v>884</v>
      </c>
      <c r="M849" t="s">
        <v>903</v>
      </c>
      <c r="N849" t="s">
        <v>875</v>
      </c>
      <c r="O849" s="9">
        <v>45778</v>
      </c>
      <c r="P849" t="s">
        <v>877</v>
      </c>
      <c r="Q849">
        <v>600000</v>
      </c>
      <c r="R849" t="s">
        <v>846</v>
      </c>
      <c r="S849" t="s">
        <v>727</v>
      </c>
      <c r="T849" t="s">
        <v>728</v>
      </c>
      <c r="U849" t="s">
        <v>593</v>
      </c>
      <c r="V849" t="s">
        <v>7</v>
      </c>
      <c r="W849" t="s">
        <v>56</v>
      </c>
      <c r="X849" t="s">
        <v>9</v>
      </c>
    </row>
    <row r="850" spans="1:24">
      <c r="A850" t="s">
        <v>1745</v>
      </c>
      <c r="B850" s="8">
        <v>45816</v>
      </c>
      <c r="C850" t="s">
        <v>414</v>
      </c>
      <c r="D850" t="s">
        <v>733</v>
      </c>
      <c r="E850">
        <v>4</v>
      </c>
      <c r="F850">
        <v>150000</v>
      </c>
      <c r="G850">
        <v>600000</v>
      </c>
      <c r="H850" t="s">
        <v>883</v>
      </c>
      <c r="I850">
        <v>60000</v>
      </c>
      <c r="J850">
        <v>10000</v>
      </c>
      <c r="K850">
        <v>550000</v>
      </c>
      <c r="L850" t="s">
        <v>884</v>
      </c>
      <c r="M850" t="s">
        <v>874</v>
      </c>
      <c r="N850" t="s">
        <v>875</v>
      </c>
      <c r="O850" s="9">
        <v>45809</v>
      </c>
      <c r="P850" t="s">
        <v>877</v>
      </c>
      <c r="Q850">
        <v>540000</v>
      </c>
      <c r="R850" t="s">
        <v>734</v>
      </c>
      <c r="S850" t="s">
        <v>735</v>
      </c>
      <c r="T850" t="s">
        <v>736</v>
      </c>
      <c r="U850" t="s">
        <v>415</v>
      </c>
      <c r="V850" t="s">
        <v>23</v>
      </c>
      <c r="W850" t="s">
        <v>39</v>
      </c>
      <c r="X850" t="s">
        <v>24</v>
      </c>
    </row>
    <row r="851" spans="1:24">
      <c r="A851" t="s">
        <v>1746</v>
      </c>
      <c r="B851" s="8">
        <v>45707</v>
      </c>
      <c r="C851" t="s">
        <v>160</v>
      </c>
      <c r="D851" t="s">
        <v>765</v>
      </c>
      <c r="E851">
        <v>1</v>
      </c>
      <c r="F851">
        <v>500000</v>
      </c>
      <c r="G851">
        <v>500000</v>
      </c>
      <c r="H851" t="s">
        <v>872</v>
      </c>
      <c r="I851">
        <v>0</v>
      </c>
      <c r="J851">
        <v>15000</v>
      </c>
      <c r="K851">
        <v>515000</v>
      </c>
      <c r="L851" t="s">
        <v>884</v>
      </c>
      <c r="M851" t="s">
        <v>903</v>
      </c>
      <c r="N851" t="s">
        <v>875</v>
      </c>
      <c r="O851" s="9">
        <v>45689</v>
      </c>
      <c r="P851" t="s">
        <v>877</v>
      </c>
      <c r="Q851">
        <v>500000</v>
      </c>
      <c r="R851" t="s">
        <v>766</v>
      </c>
      <c r="S851" t="s">
        <v>735</v>
      </c>
      <c r="T851" t="s">
        <v>736</v>
      </c>
      <c r="U851" t="s">
        <v>161</v>
      </c>
      <c r="V851" t="s">
        <v>23</v>
      </c>
      <c r="W851" t="s">
        <v>137</v>
      </c>
      <c r="X851" t="s">
        <v>9</v>
      </c>
    </row>
    <row r="852" spans="1:24">
      <c r="A852" t="s">
        <v>1747</v>
      </c>
      <c r="B852" s="8">
        <v>45700</v>
      </c>
      <c r="C852" t="s">
        <v>326</v>
      </c>
      <c r="D852" t="s">
        <v>749</v>
      </c>
      <c r="E852">
        <v>3</v>
      </c>
      <c r="F852">
        <v>150000</v>
      </c>
      <c r="G852">
        <v>450000</v>
      </c>
      <c r="H852" t="s">
        <v>886</v>
      </c>
      <c r="I852">
        <v>45000</v>
      </c>
      <c r="J852">
        <v>10000</v>
      </c>
      <c r="K852">
        <v>415000</v>
      </c>
      <c r="L852" t="s">
        <v>873</v>
      </c>
      <c r="M852" t="s">
        <v>901</v>
      </c>
      <c r="N852" t="s">
        <v>875</v>
      </c>
      <c r="O852" s="9">
        <v>45689</v>
      </c>
      <c r="P852" t="s">
        <v>877</v>
      </c>
      <c r="Q852">
        <v>405000</v>
      </c>
      <c r="R852" t="s">
        <v>750</v>
      </c>
      <c r="S852" t="s">
        <v>727</v>
      </c>
      <c r="T852" t="s">
        <v>728</v>
      </c>
      <c r="U852" t="s">
        <v>327</v>
      </c>
      <c r="V852" t="s">
        <v>7</v>
      </c>
      <c r="W852" t="s">
        <v>8</v>
      </c>
      <c r="X852" t="s">
        <v>9</v>
      </c>
    </row>
    <row r="853" spans="1:24">
      <c r="A853" t="s">
        <v>1748</v>
      </c>
      <c r="B853" s="8">
        <v>45787</v>
      </c>
      <c r="C853" t="s">
        <v>444</v>
      </c>
      <c r="D853" t="s">
        <v>775</v>
      </c>
      <c r="E853">
        <v>2</v>
      </c>
      <c r="F853">
        <v>75000</v>
      </c>
      <c r="G853">
        <v>150000</v>
      </c>
      <c r="H853" t="s">
        <v>879</v>
      </c>
      <c r="I853">
        <v>30000</v>
      </c>
      <c r="J853">
        <v>25000</v>
      </c>
      <c r="K853">
        <v>145000</v>
      </c>
      <c r="L853" t="s">
        <v>873</v>
      </c>
      <c r="M853" t="s">
        <v>881</v>
      </c>
      <c r="N853" t="s">
        <v>911</v>
      </c>
      <c r="O853" s="9">
        <v>45778</v>
      </c>
      <c r="P853" t="s">
        <v>892</v>
      </c>
      <c r="Q853">
        <v>120000</v>
      </c>
      <c r="R853" t="s">
        <v>776</v>
      </c>
      <c r="S853" t="s">
        <v>731</v>
      </c>
      <c r="T853" t="s">
        <v>732</v>
      </c>
      <c r="U853" t="s">
        <v>445</v>
      </c>
      <c r="V853" t="s">
        <v>23</v>
      </c>
      <c r="W853" t="s">
        <v>20</v>
      </c>
      <c r="X853" t="s">
        <v>9</v>
      </c>
    </row>
    <row r="854" spans="1:24">
      <c r="A854" t="s">
        <v>1749</v>
      </c>
      <c r="B854" s="8">
        <v>45739</v>
      </c>
      <c r="C854" t="s">
        <v>276</v>
      </c>
      <c r="D854" t="s">
        <v>795</v>
      </c>
      <c r="E854">
        <v>3</v>
      </c>
      <c r="F854">
        <v>100000</v>
      </c>
      <c r="G854">
        <v>300000</v>
      </c>
      <c r="H854" t="s">
        <v>872</v>
      </c>
      <c r="I854">
        <v>0</v>
      </c>
      <c r="J854">
        <v>25000</v>
      </c>
      <c r="K854">
        <v>325000</v>
      </c>
      <c r="L854" t="s">
        <v>880</v>
      </c>
      <c r="M854" t="s">
        <v>901</v>
      </c>
      <c r="N854" t="s">
        <v>875</v>
      </c>
      <c r="O854" s="9">
        <v>45717</v>
      </c>
      <c r="P854" t="s">
        <v>877</v>
      </c>
      <c r="Q854">
        <v>300000</v>
      </c>
      <c r="R854" t="s">
        <v>796</v>
      </c>
      <c r="S854" t="s">
        <v>747</v>
      </c>
      <c r="T854" t="s">
        <v>748</v>
      </c>
      <c r="U854" t="s">
        <v>277</v>
      </c>
      <c r="V854" t="s">
        <v>7</v>
      </c>
      <c r="W854" t="s">
        <v>137</v>
      </c>
      <c r="X854" t="s">
        <v>15</v>
      </c>
    </row>
    <row r="855" spans="1:24">
      <c r="A855" t="s">
        <v>1750</v>
      </c>
      <c r="B855" s="8">
        <v>45752</v>
      </c>
      <c r="C855" t="s">
        <v>640</v>
      </c>
      <c r="D855" t="s">
        <v>761</v>
      </c>
      <c r="E855">
        <v>2</v>
      </c>
      <c r="F855">
        <v>75000</v>
      </c>
      <c r="G855">
        <v>150000</v>
      </c>
      <c r="H855" t="s">
        <v>872</v>
      </c>
      <c r="I855">
        <v>0</v>
      </c>
      <c r="J855">
        <v>10000</v>
      </c>
      <c r="K855">
        <v>160000</v>
      </c>
      <c r="L855" t="s">
        <v>884</v>
      </c>
      <c r="M855" t="s">
        <v>874</v>
      </c>
      <c r="N855" t="s">
        <v>875</v>
      </c>
      <c r="O855" s="9">
        <v>45748</v>
      </c>
      <c r="P855" t="s">
        <v>877</v>
      </c>
      <c r="Q855">
        <v>150000</v>
      </c>
      <c r="R855" t="s">
        <v>762</v>
      </c>
      <c r="S855" t="s">
        <v>727</v>
      </c>
      <c r="T855" t="s">
        <v>728</v>
      </c>
      <c r="U855" t="s">
        <v>641</v>
      </c>
      <c r="V855" t="s">
        <v>23</v>
      </c>
      <c r="W855" t="s">
        <v>137</v>
      </c>
      <c r="X855" t="s">
        <v>15</v>
      </c>
    </row>
    <row r="856" spans="1:24">
      <c r="A856" t="s">
        <v>1751</v>
      </c>
      <c r="B856" s="8">
        <v>45732</v>
      </c>
      <c r="C856" t="s">
        <v>344</v>
      </c>
      <c r="D856" t="s">
        <v>821</v>
      </c>
      <c r="E856">
        <v>2</v>
      </c>
      <c r="F856">
        <v>50000</v>
      </c>
      <c r="G856">
        <v>100000</v>
      </c>
      <c r="H856" t="s">
        <v>872</v>
      </c>
      <c r="I856">
        <v>0</v>
      </c>
      <c r="J856">
        <v>30000</v>
      </c>
      <c r="K856">
        <v>130000</v>
      </c>
      <c r="L856" t="s">
        <v>889</v>
      </c>
      <c r="M856" t="s">
        <v>881</v>
      </c>
      <c r="N856" t="s">
        <v>890</v>
      </c>
      <c r="O856" s="9">
        <v>45717</v>
      </c>
      <c r="P856" t="s">
        <v>892</v>
      </c>
      <c r="Q856">
        <v>100000</v>
      </c>
      <c r="R856" t="s">
        <v>822</v>
      </c>
      <c r="S856" t="s">
        <v>727</v>
      </c>
      <c r="T856" t="s">
        <v>728</v>
      </c>
      <c r="U856" t="s">
        <v>345</v>
      </c>
      <c r="V856" t="s">
        <v>23</v>
      </c>
      <c r="W856" t="s">
        <v>137</v>
      </c>
      <c r="X856" t="s">
        <v>24</v>
      </c>
    </row>
    <row r="857" spans="1:24">
      <c r="A857" t="s">
        <v>1752</v>
      </c>
      <c r="B857" s="8">
        <v>45828</v>
      </c>
      <c r="C857" t="s">
        <v>294</v>
      </c>
      <c r="D857" t="s">
        <v>853</v>
      </c>
      <c r="E857">
        <v>1</v>
      </c>
      <c r="F857">
        <v>75000</v>
      </c>
      <c r="G857">
        <v>75000</v>
      </c>
      <c r="H857" t="s">
        <v>872</v>
      </c>
      <c r="I857">
        <v>0</v>
      </c>
      <c r="J857">
        <v>15000</v>
      </c>
      <c r="K857">
        <v>90000</v>
      </c>
      <c r="L857" t="s">
        <v>873</v>
      </c>
      <c r="M857" t="s">
        <v>903</v>
      </c>
      <c r="N857" t="s">
        <v>875</v>
      </c>
      <c r="O857" s="9">
        <v>45809</v>
      </c>
      <c r="P857" t="s">
        <v>877</v>
      </c>
      <c r="Q857">
        <v>75000</v>
      </c>
      <c r="R857" t="s">
        <v>854</v>
      </c>
      <c r="S857" t="s">
        <v>743</v>
      </c>
      <c r="T857" t="s">
        <v>744</v>
      </c>
      <c r="U857" t="s">
        <v>295</v>
      </c>
      <c r="V857" t="s">
        <v>23</v>
      </c>
      <c r="W857" t="s">
        <v>39</v>
      </c>
      <c r="X857" t="s">
        <v>9</v>
      </c>
    </row>
    <row r="858" spans="1:24">
      <c r="A858" t="s">
        <v>1753</v>
      </c>
      <c r="B858" s="8">
        <v>45817</v>
      </c>
      <c r="C858" t="s">
        <v>69</v>
      </c>
      <c r="D858" t="s">
        <v>837</v>
      </c>
      <c r="E858">
        <v>1</v>
      </c>
      <c r="F858">
        <v>300000</v>
      </c>
      <c r="G858">
        <v>300000</v>
      </c>
      <c r="H858" t="s">
        <v>872</v>
      </c>
      <c r="I858">
        <v>0</v>
      </c>
      <c r="J858">
        <v>25000</v>
      </c>
      <c r="K858">
        <v>325000</v>
      </c>
      <c r="L858" t="s">
        <v>880</v>
      </c>
      <c r="M858" t="s">
        <v>903</v>
      </c>
      <c r="N858" t="s">
        <v>875</v>
      </c>
      <c r="O858" s="9">
        <v>45809</v>
      </c>
      <c r="P858" t="s">
        <v>877</v>
      </c>
      <c r="Q858">
        <v>300000</v>
      </c>
      <c r="R858" t="s">
        <v>838</v>
      </c>
      <c r="S858" t="s">
        <v>735</v>
      </c>
      <c r="T858" t="s">
        <v>736</v>
      </c>
      <c r="U858" t="s">
        <v>70</v>
      </c>
      <c r="V858" t="s">
        <v>7</v>
      </c>
      <c r="W858" t="s">
        <v>29</v>
      </c>
      <c r="X858" t="s">
        <v>9</v>
      </c>
    </row>
    <row r="859" spans="1:24">
      <c r="A859" t="s">
        <v>1754</v>
      </c>
      <c r="B859" s="8">
        <v>45748</v>
      </c>
      <c r="C859" t="s">
        <v>61</v>
      </c>
      <c r="D859" t="s">
        <v>803</v>
      </c>
      <c r="E859">
        <v>3</v>
      </c>
      <c r="F859">
        <v>50000</v>
      </c>
      <c r="G859">
        <v>150000</v>
      </c>
      <c r="H859" t="s">
        <v>872</v>
      </c>
      <c r="I859">
        <v>0</v>
      </c>
      <c r="J859">
        <v>25000</v>
      </c>
      <c r="K859">
        <v>175000</v>
      </c>
      <c r="L859" t="s">
        <v>880</v>
      </c>
      <c r="M859" t="s">
        <v>901</v>
      </c>
      <c r="N859" t="s">
        <v>905</v>
      </c>
      <c r="O859" s="9">
        <v>45748</v>
      </c>
      <c r="P859" t="s">
        <v>892</v>
      </c>
      <c r="Q859">
        <v>150000</v>
      </c>
      <c r="R859" t="s">
        <v>804</v>
      </c>
      <c r="S859" t="s">
        <v>739</v>
      </c>
      <c r="T859" t="s">
        <v>740</v>
      </c>
      <c r="U859" t="s">
        <v>62</v>
      </c>
      <c r="V859" t="s">
        <v>23</v>
      </c>
      <c r="W859" t="s">
        <v>39</v>
      </c>
      <c r="X859" t="s">
        <v>24</v>
      </c>
    </row>
    <row r="860" spans="1:24">
      <c r="A860" t="s">
        <v>1755</v>
      </c>
      <c r="B860" s="8">
        <v>45825</v>
      </c>
      <c r="C860" t="s">
        <v>107</v>
      </c>
      <c r="D860" t="s">
        <v>737</v>
      </c>
      <c r="E860">
        <v>1</v>
      </c>
      <c r="F860">
        <v>300000</v>
      </c>
      <c r="G860">
        <v>300000</v>
      </c>
      <c r="H860" t="s">
        <v>872</v>
      </c>
      <c r="I860">
        <v>0</v>
      </c>
      <c r="J860">
        <v>10000</v>
      </c>
      <c r="K860">
        <v>310000</v>
      </c>
      <c r="L860" t="s">
        <v>873</v>
      </c>
      <c r="M860" t="s">
        <v>874</v>
      </c>
      <c r="N860" t="s">
        <v>875</v>
      </c>
      <c r="O860" s="9">
        <v>45809</v>
      </c>
      <c r="P860" t="s">
        <v>877</v>
      </c>
      <c r="Q860">
        <v>300000</v>
      </c>
      <c r="R860" t="s">
        <v>738</v>
      </c>
      <c r="S860" t="s">
        <v>739</v>
      </c>
      <c r="T860" t="s">
        <v>740</v>
      </c>
      <c r="U860" t="s">
        <v>108</v>
      </c>
      <c r="V860" t="s">
        <v>23</v>
      </c>
      <c r="W860" t="s">
        <v>12</v>
      </c>
      <c r="X860" t="s">
        <v>24</v>
      </c>
    </row>
    <row r="861" spans="1:24">
      <c r="A861" t="s">
        <v>1756</v>
      </c>
      <c r="B861" s="8">
        <v>45791</v>
      </c>
      <c r="C861" t="s">
        <v>440</v>
      </c>
      <c r="D861" t="s">
        <v>831</v>
      </c>
      <c r="E861">
        <v>3</v>
      </c>
      <c r="F861">
        <v>300000</v>
      </c>
      <c r="G861">
        <v>900000</v>
      </c>
      <c r="H861" t="s">
        <v>895</v>
      </c>
      <c r="I861">
        <v>135000</v>
      </c>
      <c r="J861">
        <v>30000</v>
      </c>
      <c r="K861">
        <v>795000</v>
      </c>
      <c r="L861" t="s">
        <v>884</v>
      </c>
      <c r="M861" t="s">
        <v>874</v>
      </c>
      <c r="N861" t="s">
        <v>875</v>
      </c>
      <c r="O861" s="9">
        <v>45778</v>
      </c>
      <c r="P861" t="s">
        <v>877</v>
      </c>
      <c r="Q861">
        <v>765000</v>
      </c>
      <c r="R861" t="s">
        <v>832</v>
      </c>
      <c r="S861" t="s">
        <v>747</v>
      </c>
      <c r="T861" t="s">
        <v>748</v>
      </c>
      <c r="U861" t="s">
        <v>441</v>
      </c>
      <c r="V861" t="s">
        <v>23</v>
      </c>
      <c r="W861" t="s">
        <v>137</v>
      </c>
      <c r="X861" t="s">
        <v>9</v>
      </c>
    </row>
    <row r="862" spans="1:24">
      <c r="A862" t="s">
        <v>1757</v>
      </c>
      <c r="B862" s="8">
        <v>45822</v>
      </c>
      <c r="C862" t="s">
        <v>268</v>
      </c>
      <c r="D862" t="s">
        <v>769</v>
      </c>
      <c r="E862">
        <v>1</v>
      </c>
      <c r="F862">
        <v>100000</v>
      </c>
      <c r="G862">
        <v>100000</v>
      </c>
      <c r="H862" t="s">
        <v>879</v>
      </c>
      <c r="I862">
        <v>20000</v>
      </c>
      <c r="J862">
        <v>25000</v>
      </c>
      <c r="K862">
        <v>105000</v>
      </c>
      <c r="L862" t="s">
        <v>889</v>
      </c>
      <c r="M862" t="s">
        <v>901</v>
      </c>
      <c r="N862" t="s">
        <v>890</v>
      </c>
      <c r="O862" s="9">
        <v>45809</v>
      </c>
      <c r="P862" t="s">
        <v>892</v>
      </c>
      <c r="Q862">
        <v>80000</v>
      </c>
      <c r="R862" t="s">
        <v>770</v>
      </c>
      <c r="S862" t="s">
        <v>743</v>
      </c>
      <c r="T862" t="s">
        <v>744</v>
      </c>
      <c r="U862" t="s">
        <v>269</v>
      </c>
      <c r="V862" t="s">
        <v>7</v>
      </c>
      <c r="W862" t="s">
        <v>8</v>
      </c>
      <c r="X862" t="s">
        <v>9</v>
      </c>
    </row>
    <row r="863" spans="1:24">
      <c r="A863" t="s">
        <v>1758</v>
      </c>
      <c r="B863" s="8">
        <v>45739</v>
      </c>
      <c r="C863" t="s">
        <v>422</v>
      </c>
      <c r="D863" t="s">
        <v>783</v>
      </c>
      <c r="E863">
        <v>2</v>
      </c>
      <c r="F863">
        <v>500000</v>
      </c>
      <c r="G863">
        <v>1000000</v>
      </c>
      <c r="H863" t="s">
        <v>872</v>
      </c>
      <c r="I863">
        <v>0</v>
      </c>
      <c r="J863">
        <v>20000</v>
      </c>
      <c r="K863">
        <v>1020000</v>
      </c>
      <c r="L863" t="s">
        <v>873</v>
      </c>
      <c r="M863" t="s">
        <v>901</v>
      </c>
      <c r="N863" t="s">
        <v>875</v>
      </c>
      <c r="O863" s="9">
        <v>45717</v>
      </c>
      <c r="P863" t="s">
        <v>877</v>
      </c>
      <c r="Q863">
        <v>1000000</v>
      </c>
      <c r="R863" t="s">
        <v>784</v>
      </c>
      <c r="S863" t="s">
        <v>747</v>
      </c>
      <c r="T863" t="s">
        <v>748</v>
      </c>
      <c r="U863" t="s">
        <v>423</v>
      </c>
      <c r="V863" t="s">
        <v>23</v>
      </c>
      <c r="W863" t="s">
        <v>20</v>
      </c>
      <c r="X863" t="s">
        <v>9</v>
      </c>
    </row>
    <row r="864" spans="1:24">
      <c r="A864" t="s">
        <v>1759</v>
      </c>
      <c r="B864" s="8">
        <v>45745</v>
      </c>
      <c r="C864" t="s">
        <v>406</v>
      </c>
      <c r="D864" t="s">
        <v>831</v>
      </c>
      <c r="E864">
        <v>1</v>
      </c>
      <c r="F864">
        <v>300000</v>
      </c>
      <c r="G864">
        <v>300000</v>
      </c>
      <c r="H864" t="s">
        <v>883</v>
      </c>
      <c r="I864">
        <v>30000</v>
      </c>
      <c r="J864">
        <v>30000</v>
      </c>
      <c r="K864">
        <v>300000</v>
      </c>
      <c r="L864" t="s">
        <v>873</v>
      </c>
      <c r="M864" t="s">
        <v>881</v>
      </c>
      <c r="N864" t="s">
        <v>890</v>
      </c>
      <c r="O864" s="9">
        <v>45717</v>
      </c>
      <c r="P864" t="s">
        <v>892</v>
      </c>
      <c r="Q864">
        <v>270000</v>
      </c>
      <c r="R864" t="s">
        <v>832</v>
      </c>
      <c r="S864" t="s">
        <v>747</v>
      </c>
      <c r="T864" t="s">
        <v>748</v>
      </c>
      <c r="U864" t="s">
        <v>407</v>
      </c>
      <c r="V864" t="s">
        <v>7</v>
      </c>
      <c r="W864" t="s">
        <v>39</v>
      </c>
      <c r="X864" t="s">
        <v>15</v>
      </c>
    </row>
    <row r="865" spans="1:24">
      <c r="A865" t="s">
        <v>1760</v>
      </c>
      <c r="B865" s="8">
        <v>45795</v>
      </c>
      <c r="C865" t="s">
        <v>660</v>
      </c>
      <c r="D865" t="s">
        <v>819</v>
      </c>
      <c r="E865">
        <v>2</v>
      </c>
      <c r="F865">
        <v>300000</v>
      </c>
      <c r="G865">
        <v>600000</v>
      </c>
      <c r="H865" t="s">
        <v>872</v>
      </c>
      <c r="I865">
        <v>0</v>
      </c>
      <c r="J865">
        <v>10000</v>
      </c>
      <c r="K865">
        <v>610000</v>
      </c>
      <c r="L865" t="s">
        <v>873</v>
      </c>
      <c r="M865" t="s">
        <v>881</v>
      </c>
      <c r="N865" t="s">
        <v>875</v>
      </c>
      <c r="O865" s="9">
        <v>45778</v>
      </c>
      <c r="P865" t="s">
        <v>877</v>
      </c>
      <c r="Q865">
        <v>600000</v>
      </c>
      <c r="R865" t="s">
        <v>820</v>
      </c>
      <c r="S865" t="s">
        <v>747</v>
      </c>
      <c r="T865" t="s">
        <v>748</v>
      </c>
      <c r="U865" t="s">
        <v>661</v>
      </c>
      <c r="V865" t="s">
        <v>23</v>
      </c>
      <c r="W865" t="s">
        <v>56</v>
      </c>
      <c r="X865" t="s">
        <v>15</v>
      </c>
    </row>
    <row r="866" spans="1:24">
      <c r="A866" t="s">
        <v>1761</v>
      </c>
      <c r="B866" s="8">
        <v>45807</v>
      </c>
      <c r="C866" t="s">
        <v>658</v>
      </c>
      <c r="D866" t="s">
        <v>817</v>
      </c>
      <c r="E866">
        <v>4</v>
      </c>
      <c r="F866">
        <v>75000</v>
      </c>
      <c r="G866">
        <v>300000</v>
      </c>
      <c r="H866" t="s">
        <v>872</v>
      </c>
      <c r="I866">
        <v>0</v>
      </c>
      <c r="J866">
        <v>15000</v>
      </c>
      <c r="K866">
        <v>315000</v>
      </c>
      <c r="L866" t="s">
        <v>889</v>
      </c>
      <c r="M866" t="s">
        <v>901</v>
      </c>
      <c r="N866" t="s">
        <v>875</v>
      </c>
      <c r="O866" s="9">
        <v>45778</v>
      </c>
      <c r="P866" t="s">
        <v>877</v>
      </c>
      <c r="Q866">
        <v>300000</v>
      </c>
      <c r="R866" t="s">
        <v>818</v>
      </c>
      <c r="S866" t="s">
        <v>743</v>
      </c>
      <c r="T866" t="s">
        <v>744</v>
      </c>
      <c r="U866" t="s">
        <v>659</v>
      </c>
      <c r="V866" t="s">
        <v>7</v>
      </c>
      <c r="W866" t="s">
        <v>12</v>
      </c>
      <c r="X866" t="s">
        <v>24</v>
      </c>
    </row>
    <row r="867" spans="1:24">
      <c r="A867" t="s">
        <v>1762</v>
      </c>
      <c r="B867" s="8">
        <v>45666</v>
      </c>
      <c r="C867" t="s">
        <v>138</v>
      </c>
      <c r="D867" t="s">
        <v>833</v>
      </c>
      <c r="E867">
        <v>1</v>
      </c>
      <c r="F867">
        <v>200000</v>
      </c>
      <c r="G867">
        <v>200000</v>
      </c>
      <c r="H867" t="s">
        <v>879</v>
      </c>
      <c r="I867">
        <v>40000</v>
      </c>
      <c r="J867">
        <v>30000</v>
      </c>
      <c r="K867">
        <v>190000</v>
      </c>
      <c r="L867" t="s">
        <v>889</v>
      </c>
      <c r="M867" t="s">
        <v>881</v>
      </c>
      <c r="N867" t="s">
        <v>875</v>
      </c>
      <c r="O867" s="9">
        <v>45658</v>
      </c>
      <c r="P867" t="s">
        <v>877</v>
      </c>
      <c r="Q867">
        <v>160000</v>
      </c>
      <c r="R867" t="s">
        <v>834</v>
      </c>
      <c r="S867" t="s">
        <v>727</v>
      </c>
      <c r="T867" t="s">
        <v>728</v>
      </c>
      <c r="U867" t="s">
        <v>139</v>
      </c>
      <c r="V867" t="s">
        <v>7</v>
      </c>
      <c r="W867" t="s">
        <v>29</v>
      </c>
      <c r="X867" t="s">
        <v>9</v>
      </c>
    </row>
    <row r="868" spans="1:24">
      <c r="A868" t="s">
        <v>1763</v>
      </c>
      <c r="B868" s="8">
        <v>45671</v>
      </c>
      <c r="C868" t="s">
        <v>346</v>
      </c>
      <c r="D868" t="s">
        <v>807</v>
      </c>
      <c r="E868">
        <v>2</v>
      </c>
      <c r="F868">
        <v>150000</v>
      </c>
      <c r="G868">
        <v>300000</v>
      </c>
      <c r="H868" t="s">
        <v>886</v>
      </c>
      <c r="I868">
        <v>30000</v>
      </c>
      <c r="J868">
        <v>25000</v>
      </c>
      <c r="K868">
        <v>295000</v>
      </c>
      <c r="L868" t="s">
        <v>884</v>
      </c>
      <c r="M868" t="s">
        <v>874</v>
      </c>
      <c r="N868" t="s">
        <v>911</v>
      </c>
      <c r="O868" s="9">
        <v>45658</v>
      </c>
      <c r="P868" t="s">
        <v>892</v>
      </c>
      <c r="Q868">
        <v>270000</v>
      </c>
      <c r="R868" t="s">
        <v>808</v>
      </c>
      <c r="S868" t="s">
        <v>747</v>
      </c>
      <c r="T868" t="s">
        <v>748</v>
      </c>
      <c r="U868" t="s">
        <v>347</v>
      </c>
      <c r="V868" t="s">
        <v>23</v>
      </c>
      <c r="W868" t="s">
        <v>46</v>
      </c>
      <c r="X868" t="s">
        <v>9</v>
      </c>
    </row>
    <row r="869" spans="1:24">
      <c r="A869" t="s">
        <v>1764</v>
      </c>
      <c r="B869" s="8">
        <v>45708</v>
      </c>
      <c r="C869" t="s">
        <v>226</v>
      </c>
      <c r="D869" t="s">
        <v>811</v>
      </c>
      <c r="E869">
        <v>1</v>
      </c>
      <c r="F869">
        <v>35000</v>
      </c>
      <c r="G869">
        <v>35000</v>
      </c>
      <c r="H869" t="s">
        <v>872</v>
      </c>
      <c r="I869">
        <v>0</v>
      </c>
      <c r="J869">
        <v>15000</v>
      </c>
      <c r="K869">
        <v>50000</v>
      </c>
      <c r="L869" t="s">
        <v>884</v>
      </c>
      <c r="M869" t="s">
        <v>903</v>
      </c>
      <c r="N869" t="s">
        <v>875</v>
      </c>
      <c r="O869" s="9">
        <v>45689</v>
      </c>
      <c r="P869" t="s">
        <v>877</v>
      </c>
      <c r="Q869">
        <v>35000</v>
      </c>
      <c r="R869" t="s">
        <v>812</v>
      </c>
      <c r="S869" t="s">
        <v>731</v>
      </c>
      <c r="T869" t="s">
        <v>732</v>
      </c>
      <c r="U869" t="s">
        <v>227</v>
      </c>
      <c r="V869" t="s">
        <v>23</v>
      </c>
      <c r="W869" t="s">
        <v>29</v>
      </c>
      <c r="X869" t="s">
        <v>9</v>
      </c>
    </row>
    <row r="870" spans="1:24">
      <c r="A870" t="s">
        <v>1765</v>
      </c>
      <c r="B870" s="8">
        <v>45658</v>
      </c>
      <c r="C870" t="s">
        <v>608</v>
      </c>
      <c r="D870" t="s">
        <v>777</v>
      </c>
      <c r="E870">
        <v>1</v>
      </c>
      <c r="F870">
        <v>200000</v>
      </c>
      <c r="G870">
        <v>200000</v>
      </c>
      <c r="H870" t="s">
        <v>883</v>
      </c>
      <c r="I870">
        <v>20000</v>
      </c>
      <c r="J870">
        <v>10000</v>
      </c>
      <c r="K870">
        <v>190000</v>
      </c>
      <c r="L870" t="s">
        <v>884</v>
      </c>
      <c r="M870" t="s">
        <v>874</v>
      </c>
      <c r="N870" t="s">
        <v>875</v>
      </c>
      <c r="O870" s="9">
        <v>45658</v>
      </c>
      <c r="P870" t="s">
        <v>877</v>
      </c>
      <c r="Q870">
        <v>180000</v>
      </c>
      <c r="R870" t="s">
        <v>778</v>
      </c>
      <c r="S870" t="s">
        <v>735</v>
      </c>
      <c r="T870" t="s">
        <v>736</v>
      </c>
      <c r="U870" t="s">
        <v>609</v>
      </c>
      <c r="V870" t="s">
        <v>23</v>
      </c>
      <c r="W870" t="s">
        <v>46</v>
      </c>
      <c r="X870" t="s">
        <v>24</v>
      </c>
    </row>
    <row r="871" spans="1:24">
      <c r="A871" t="s">
        <v>1766</v>
      </c>
      <c r="B871" s="8">
        <v>45691</v>
      </c>
      <c r="C871" t="s">
        <v>238</v>
      </c>
      <c r="D871" t="s">
        <v>831</v>
      </c>
      <c r="E871">
        <v>1</v>
      </c>
      <c r="F871">
        <v>300000</v>
      </c>
      <c r="G871">
        <v>300000</v>
      </c>
      <c r="H871" t="s">
        <v>872</v>
      </c>
      <c r="I871">
        <v>0</v>
      </c>
      <c r="J871">
        <v>30000</v>
      </c>
      <c r="K871">
        <v>330000</v>
      </c>
      <c r="L871" t="s">
        <v>880</v>
      </c>
      <c r="M871" t="s">
        <v>903</v>
      </c>
      <c r="N871" t="s">
        <v>875</v>
      </c>
      <c r="O871" s="9">
        <v>45689</v>
      </c>
      <c r="P871" t="s">
        <v>877</v>
      </c>
      <c r="Q871">
        <v>300000</v>
      </c>
      <c r="R871" t="s">
        <v>832</v>
      </c>
      <c r="S871" t="s">
        <v>747</v>
      </c>
      <c r="T871" t="s">
        <v>748</v>
      </c>
      <c r="U871" t="s">
        <v>239</v>
      </c>
      <c r="V871" t="s">
        <v>23</v>
      </c>
      <c r="W871" t="s">
        <v>46</v>
      </c>
      <c r="X871" t="s">
        <v>9</v>
      </c>
    </row>
    <row r="872" spans="1:24">
      <c r="A872" t="s">
        <v>1767</v>
      </c>
      <c r="B872" s="8">
        <v>45658</v>
      </c>
      <c r="C872" t="s">
        <v>284</v>
      </c>
      <c r="D872" t="s">
        <v>767</v>
      </c>
      <c r="E872">
        <v>4</v>
      </c>
      <c r="F872">
        <v>150000</v>
      </c>
      <c r="G872">
        <v>600000</v>
      </c>
      <c r="H872" t="s">
        <v>872</v>
      </c>
      <c r="I872">
        <v>0</v>
      </c>
      <c r="J872">
        <v>10000</v>
      </c>
      <c r="K872">
        <v>610000</v>
      </c>
      <c r="L872" t="s">
        <v>880</v>
      </c>
      <c r="M872" t="s">
        <v>874</v>
      </c>
      <c r="N872" t="s">
        <v>875</v>
      </c>
      <c r="O872" s="9">
        <v>45658</v>
      </c>
      <c r="P872" t="s">
        <v>877</v>
      </c>
      <c r="Q872">
        <v>600000</v>
      </c>
      <c r="R872" t="s">
        <v>768</v>
      </c>
      <c r="S872" t="s">
        <v>739</v>
      </c>
      <c r="T872" t="s">
        <v>740</v>
      </c>
      <c r="U872" t="s">
        <v>285</v>
      </c>
      <c r="V872" t="s">
        <v>7</v>
      </c>
      <c r="W872" t="s">
        <v>137</v>
      </c>
      <c r="X872" t="s">
        <v>24</v>
      </c>
    </row>
    <row r="873" spans="1:24">
      <c r="A873" t="s">
        <v>1768</v>
      </c>
      <c r="B873" s="8">
        <v>45770</v>
      </c>
      <c r="C873" t="s">
        <v>296</v>
      </c>
      <c r="D873" t="s">
        <v>791</v>
      </c>
      <c r="E873">
        <v>1</v>
      </c>
      <c r="F873">
        <v>50000</v>
      </c>
      <c r="G873">
        <v>50000</v>
      </c>
      <c r="H873" t="s">
        <v>895</v>
      </c>
      <c r="I873">
        <v>7500</v>
      </c>
      <c r="J873">
        <v>10000</v>
      </c>
      <c r="K873">
        <v>52500</v>
      </c>
      <c r="L873" t="s">
        <v>884</v>
      </c>
      <c r="M873" t="s">
        <v>874</v>
      </c>
      <c r="N873" t="s">
        <v>875</v>
      </c>
      <c r="O873" s="9">
        <v>45748</v>
      </c>
      <c r="P873" t="s">
        <v>877</v>
      </c>
      <c r="Q873">
        <v>42500</v>
      </c>
      <c r="R873" t="s">
        <v>792</v>
      </c>
      <c r="S873" t="s">
        <v>739</v>
      </c>
      <c r="T873" t="s">
        <v>740</v>
      </c>
      <c r="U873" t="s">
        <v>297</v>
      </c>
      <c r="V873" t="s">
        <v>7</v>
      </c>
      <c r="W873" t="s">
        <v>137</v>
      </c>
      <c r="X873" t="s">
        <v>24</v>
      </c>
    </row>
    <row r="874" spans="1:24">
      <c r="A874" t="s">
        <v>1769</v>
      </c>
      <c r="B874" s="8">
        <v>45667</v>
      </c>
      <c r="C874" t="s">
        <v>27</v>
      </c>
      <c r="D874" t="s">
        <v>777</v>
      </c>
      <c r="E874">
        <v>2</v>
      </c>
      <c r="F874">
        <v>200000</v>
      </c>
      <c r="G874">
        <v>400000</v>
      </c>
      <c r="H874" t="s">
        <v>872</v>
      </c>
      <c r="I874">
        <v>0</v>
      </c>
      <c r="J874">
        <v>20000</v>
      </c>
      <c r="K874">
        <v>420000</v>
      </c>
      <c r="L874" t="s">
        <v>873</v>
      </c>
      <c r="M874" t="s">
        <v>903</v>
      </c>
      <c r="N874" t="s">
        <v>875</v>
      </c>
      <c r="O874" s="9">
        <v>45658</v>
      </c>
      <c r="P874" t="s">
        <v>877</v>
      </c>
      <c r="Q874">
        <v>400000</v>
      </c>
      <c r="R874" t="s">
        <v>778</v>
      </c>
      <c r="S874" t="s">
        <v>735</v>
      </c>
      <c r="T874" t="s">
        <v>736</v>
      </c>
      <c r="U874" t="s">
        <v>28</v>
      </c>
      <c r="V874" t="s">
        <v>7</v>
      </c>
      <c r="W874" t="s">
        <v>29</v>
      </c>
      <c r="X874" t="s">
        <v>9</v>
      </c>
    </row>
    <row r="875" spans="1:24">
      <c r="A875" t="s">
        <v>1770</v>
      </c>
      <c r="B875" s="8">
        <v>45677</v>
      </c>
      <c r="C875" t="s">
        <v>113</v>
      </c>
      <c r="D875" t="s">
        <v>753</v>
      </c>
      <c r="E875">
        <v>1</v>
      </c>
      <c r="F875">
        <v>300000</v>
      </c>
      <c r="G875">
        <v>300000</v>
      </c>
      <c r="H875" t="s">
        <v>879</v>
      </c>
      <c r="I875">
        <v>60000</v>
      </c>
      <c r="J875">
        <v>20000</v>
      </c>
      <c r="K875">
        <v>260000</v>
      </c>
      <c r="L875" t="s">
        <v>889</v>
      </c>
      <c r="M875" t="s">
        <v>903</v>
      </c>
      <c r="N875" t="s">
        <v>875</v>
      </c>
      <c r="O875" s="9">
        <v>45658</v>
      </c>
      <c r="P875" t="s">
        <v>877</v>
      </c>
      <c r="Q875">
        <v>240000</v>
      </c>
      <c r="R875" t="s">
        <v>754</v>
      </c>
      <c r="S875" t="s">
        <v>735</v>
      </c>
      <c r="T875" t="s">
        <v>736</v>
      </c>
      <c r="U875" t="s">
        <v>114</v>
      </c>
      <c r="V875" t="s">
        <v>23</v>
      </c>
      <c r="W875" t="s">
        <v>39</v>
      </c>
      <c r="X875" t="s">
        <v>24</v>
      </c>
    </row>
    <row r="876" spans="1:24">
      <c r="A876" t="s">
        <v>1771</v>
      </c>
      <c r="B876" s="8">
        <v>45666</v>
      </c>
      <c r="C876" t="s">
        <v>448</v>
      </c>
      <c r="D876" t="s">
        <v>759</v>
      </c>
      <c r="E876">
        <v>1</v>
      </c>
      <c r="F876">
        <v>300000</v>
      </c>
      <c r="G876">
        <v>300000</v>
      </c>
      <c r="H876" t="s">
        <v>872</v>
      </c>
      <c r="I876">
        <v>0</v>
      </c>
      <c r="J876">
        <v>15000</v>
      </c>
      <c r="K876">
        <v>315000</v>
      </c>
      <c r="L876" t="s">
        <v>873</v>
      </c>
      <c r="M876" t="s">
        <v>903</v>
      </c>
      <c r="N876" t="s">
        <v>911</v>
      </c>
      <c r="O876" s="9">
        <v>45658</v>
      </c>
      <c r="P876" t="s">
        <v>892</v>
      </c>
      <c r="Q876">
        <v>300000</v>
      </c>
      <c r="R876" t="s">
        <v>760</v>
      </c>
      <c r="S876" t="s">
        <v>747</v>
      </c>
      <c r="T876" t="s">
        <v>748</v>
      </c>
      <c r="U876" t="s">
        <v>449</v>
      </c>
      <c r="V876" t="s">
        <v>7</v>
      </c>
      <c r="W876" t="s">
        <v>12</v>
      </c>
      <c r="X876" t="s">
        <v>9</v>
      </c>
    </row>
    <row r="877" spans="1:24">
      <c r="A877" t="s">
        <v>1772</v>
      </c>
      <c r="B877" s="8">
        <v>45751</v>
      </c>
      <c r="C877" t="s">
        <v>406</v>
      </c>
      <c r="D877" t="s">
        <v>799</v>
      </c>
      <c r="E877">
        <v>1</v>
      </c>
      <c r="F877">
        <v>35000</v>
      </c>
      <c r="G877">
        <v>35000</v>
      </c>
      <c r="H877" t="s">
        <v>879</v>
      </c>
      <c r="I877">
        <v>7000</v>
      </c>
      <c r="J877">
        <v>30000</v>
      </c>
      <c r="K877">
        <v>58000</v>
      </c>
      <c r="L877" t="s">
        <v>880</v>
      </c>
      <c r="M877" t="s">
        <v>874</v>
      </c>
      <c r="N877" t="s">
        <v>875</v>
      </c>
      <c r="O877" s="9">
        <v>45748</v>
      </c>
      <c r="P877" t="s">
        <v>877</v>
      </c>
      <c r="Q877">
        <v>28000</v>
      </c>
      <c r="R877" t="s">
        <v>800</v>
      </c>
      <c r="S877" t="s">
        <v>731</v>
      </c>
      <c r="T877" t="s">
        <v>732</v>
      </c>
      <c r="U877" t="s">
        <v>407</v>
      </c>
      <c r="V877" t="s">
        <v>7</v>
      </c>
      <c r="W877" t="s">
        <v>39</v>
      </c>
      <c r="X877" t="s">
        <v>15</v>
      </c>
    </row>
    <row r="878" spans="1:24">
      <c r="A878" t="s">
        <v>1773</v>
      </c>
      <c r="B878" s="8">
        <v>45672</v>
      </c>
      <c r="C878" t="s">
        <v>123</v>
      </c>
      <c r="D878" t="s">
        <v>823</v>
      </c>
      <c r="E878">
        <v>1</v>
      </c>
      <c r="F878">
        <v>500000</v>
      </c>
      <c r="G878">
        <v>500000</v>
      </c>
      <c r="H878" t="s">
        <v>872</v>
      </c>
      <c r="I878">
        <v>0</v>
      </c>
      <c r="J878">
        <v>20000</v>
      </c>
      <c r="K878">
        <v>520000</v>
      </c>
      <c r="L878" t="s">
        <v>889</v>
      </c>
      <c r="M878" t="s">
        <v>881</v>
      </c>
      <c r="N878" t="s">
        <v>911</v>
      </c>
      <c r="O878" s="9">
        <v>45658</v>
      </c>
      <c r="P878" t="s">
        <v>892</v>
      </c>
      <c r="Q878">
        <v>500000</v>
      </c>
      <c r="R878" t="s">
        <v>824</v>
      </c>
      <c r="S878" t="s">
        <v>731</v>
      </c>
      <c r="T878" t="s">
        <v>732</v>
      </c>
      <c r="U878" t="s">
        <v>124</v>
      </c>
      <c r="V878" t="s">
        <v>23</v>
      </c>
      <c r="W878" t="s">
        <v>46</v>
      </c>
      <c r="X878" t="s">
        <v>9</v>
      </c>
    </row>
    <row r="879" spans="1:24">
      <c r="A879" t="s">
        <v>1774</v>
      </c>
      <c r="B879" s="8">
        <v>45774</v>
      </c>
      <c r="C879" t="s">
        <v>616</v>
      </c>
      <c r="D879" t="s">
        <v>775</v>
      </c>
      <c r="E879">
        <v>2</v>
      </c>
      <c r="F879">
        <v>75000</v>
      </c>
      <c r="G879">
        <v>150000</v>
      </c>
      <c r="H879" t="s">
        <v>895</v>
      </c>
      <c r="I879">
        <v>22500</v>
      </c>
      <c r="J879">
        <v>10000</v>
      </c>
      <c r="K879">
        <v>137500</v>
      </c>
      <c r="L879" t="s">
        <v>889</v>
      </c>
      <c r="M879" t="s">
        <v>903</v>
      </c>
      <c r="N879" t="s">
        <v>911</v>
      </c>
      <c r="O879" s="9">
        <v>45748</v>
      </c>
      <c r="P879" t="s">
        <v>892</v>
      </c>
      <c r="Q879">
        <v>127500</v>
      </c>
      <c r="R879" t="s">
        <v>776</v>
      </c>
      <c r="S879" t="s">
        <v>731</v>
      </c>
      <c r="T879" t="s">
        <v>732</v>
      </c>
      <c r="U879" t="s">
        <v>617</v>
      </c>
      <c r="V879" t="s">
        <v>7</v>
      </c>
      <c r="W879" t="s">
        <v>39</v>
      </c>
      <c r="X879" t="s">
        <v>9</v>
      </c>
    </row>
    <row r="880" spans="1:24">
      <c r="A880" t="s">
        <v>1775</v>
      </c>
      <c r="B880" s="8">
        <v>45767</v>
      </c>
      <c r="C880" t="s">
        <v>248</v>
      </c>
      <c r="D880" t="s">
        <v>797</v>
      </c>
      <c r="E880">
        <v>1</v>
      </c>
      <c r="F880">
        <v>150000</v>
      </c>
      <c r="G880">
        <v>150000</v>
      </c>
      <c r="H880" t="s">
        <v>872</v>
      </c>
      <c r="I880">
        <v>0</v>
      </c>
      <c r="J880">
        <v>15000</v>
      </c>
      <c r="K880">
        <v>165000</v>
      </c>
      <c r="L880" t="s">
        <v>884</v>
      </c>
      <c r="M880" t="s">
        <v>903</v>
      </c>
      <c r="N880" t="s">
        <v>875</v>
      </c>
      <c r="O880" s="9">
        <v>45748</v>
      </c>
      <c r="P880" t="s">
        <v>877</v>
      </c>
      <c r="Q880">
        <v>150000</v>
      </c>
      <c r="R880" t="s">
        <v>798</v>
      </c>
      <c r="S880" t="s">
        <v>727</v>
      </c>
      <c r="T880" t="s">
        <v>728</v>
      </c>
      <c r="U880" t="s">
        <v>249</v>
      </c>
      <c r="V880" t="s">
        <v>23</v>
      </c>
      <c r="W880" t="s">
        <v>56</v>
      </c>
      <c r="X880" t="s">
        <v>9</v>
      </c>
    </row>
    <row r="881" spans="1:24">
      <c r="A881" t="s">
        <v>1776</v>
      </c>
      <c r="B881" s="8">
        <v>45768</v>
      </c>
      <c r="C881" t="s">
        <v>308</v>
      </c>
      <c r="D881" t="s">
        <v>773</v>
      </c>
      <c r="E881">
        <v>2</v>
      </c>
      <c r="F881">
        <v>500000</v>
      </c>
      <c r="G881">
        <v>1000000</v>
      </c>
      <c r="H881" t="s">
        <v>886</v>
      </c>
      <c r="I881">
        <v>100000</v>
      </c>
      <c r="J881">
        <v>10000</v>
      </c>
      <c r="K881">
        <v>910000</v>
      </c>
      <c r="L881" t="s">
        <v>889</v>
      </c>
      <c r="M881" t="s">
        <v>901</v>
      </c>
      <c r="N881" t="s">
        <v>875</v>
      </c>
      <c r="O881" s="9">
        <v>45748</v>
      </c>
      <c r="P881" t="s">
        <v>877</v>
      </c>
      <c r="Q881">
        <v>900000</v>
      </c>
      <c r="R881" t="s">
        <v>774</v>
      </c>
      <c r="S881" t="s">
        <v>727</v>
      </c>
      <c r="T881" t="s">
        <v>728</v>
      </c>
      <c r="U881" t="s">
        <v>309</v>
      </c>
      <c r="V881" t="s">
        <v>23</v>
      </c>
      <c r="W881" t="s">
        <v>51</v>
      </c>
      <c r="X881" t="s">
        <v>24</v>
      </c>
    </row>
    <row r="882" spans="1:24">
      <c r="A882" t="s">
        <v>1777</v>
      </c>
      <c r="B882" s="8">
        <v>45761</v>
      </c>
      <c r="C882" t="s">
        <v>168</v>
      </c>
      <c r="D882" t="s">
        <v>749</v>
      </c>
      <c r="E882">
        <v>1</v>
      </c>
      <c r="F882">
        <v>150000</v>
      </c>
      <c r="G882">
        <v>150000</v>
      </c>
      <c r="H882" t="s">
        <v>872</v>
      </c>
      <c r="I882">
        <v>0</v>
      </c>
      <c r="J882">
        <v>10000</v>
      </c>
      <c r="K882">
        <v>160000</v>
      </c>
      <c r="L882" t="s">
        <v>880</v>
      </c>
      <c r="M882" t="s">
        <v>881</v>
      </c>
      <c r="N882" t="s">
        <v>875</v>
      </c>
      <c r="O882" s="9">
        <v>45748</v>
      </c>
      <c r="P882" t="s">
        <v>877</v>
      </c>
      <c r="Q882">
        <v>150000</v>
      </c>
      <c r="R882" t="s">
        <v>750</v>
      </c>
      <c r="S882" t="s">
        <v>727</v>
      </c>
      <c r="T882" t="s">
        <v>728</v>
      </c>
      <c r="U882" t="s">
        <v>169</v>
      </c>
      <c r="V882" t="s">
        <v>7</v>
      </c>
      <c r="W882" t="s">
        <v>12</v>
      </c>
      <c r="X882" t="s">
        <v>24</v>
      </c>
    </row>
    <row r="883" spans="1:24">
      <c r="A883" t="s">
        <v>1778</v>
      </c>
      <c r="B883" s="8">
        <v>45680</v>
      </c>
      <c r="C883" t="s">
        <v>111</v>
      </c>
      <c r="D883" t="s">
        <v>761</v>
      </c>
      <c r="E883">
        <v>1</v>
      </c>
      <c r="F883">
        <v>75000</v>
      </c>
      <c r="G883">
        <v>75000</v>
      </c>
      <c r="H883" t="s">
        <v>872</v>
      </c>
      <c r="I883">
        <v>0</v>
      </c>
      <c r="J883">
        <v>10000</v>
      </c>
      <c r="K883">
        <v>85000</v>
      </c>
      <c r="L883" t="s">
        <v>884</v>
      </c>
      <c r="M883" t="s">
        <v>874</v>
      </c>
      <c r="N883" t="s">
        <v>875</v>
      </c>
      <c r="O883" s="9">
        <v>45658</v>
      </c>
      <c r="P883" t="s">
        <v>877</v>
      </c>
      <c r="Q883">
        <v>75000</v>
      </c>
      <c r="R883" t="s">
        <v>762</v>
      </c>
      <c r="S883" t="s">
        <v>727</v>
      </c>
      <c r="T883" t="s">
        <v>728</v>
      </c>
      <c r="U883" t="s">
        <v>112</v>
      </c>
      <c r="V883" t="s">
        <v>23</v>
      </c>
      <c r="W883" t="s">
        <v>51</v>
      </c>
      <c r="X883" t="s">
        <v>15</v>
      </c>
    </row>
    <row r="884" spans="1:24">
      <c r="A884" t="s">
        <v>1779</v>
      </c>
      <c r="B884" s="8">
        <v>45688</v>
      </c>
      <c r="C884" t="s">
        <v>188</v>
      </c>
      <c r="D884" t="s">
        <v>799</v>
      </c>
      <c r="E884">
        <v>3</v>
      </c>
      <c r="F884">
        <v>35000</v>
      </c>
      <c r="G884">
        <v>105000</v>
      </c>
      <c r="H884" t="s">
        <v>872</v>
      </c>
      <c r="I884">
        <v>0</v>
      </c>
      <c r="J884">
        <v>15000</v>
      </c>
      <c r="K884">
        <v>120000</v>
      </c>
      <c r="L884" t="s">
        <v>884</v>
      </c>
      <c r="M884" t="s">
        <v>874</v>
      </c>
      <c r="N884" t="s">
        <v>875</v>
      </c>
      <c r="O884" s="9">
        <v>45658</v>
      </c>
      <c r="P884" t="s">
        <v>877</v>
      </c>
      <c r="Q884">
        <v>105000</v>
      </c>
      <c r="R884" t="s">
        <v>800</v>
      </c>
      <c r="S884" t="s">
        <v>731</v>
      </c>
      <c r="T884" t="s">
        <v>732</v>
      </c>
      <c r="U884" t="s">
        <v>189</v>
      </c>
      <c r="V884" t="s">
        <v>23</v>
      </c>
      <c r="W884" t="s">
        <v>137</v>
      </c>
      <c r="X884" t="s">
        <v>9</v>
      </c>
    </row>
    <row r="885" spans="1:24">
      <c r="A885" t="s">
        <v>1780</v>
      </c>
      <c r="B885" s="8">
        <v>45813</v>
      </c>
      <c r="C885" t="s">
        <v>228</v>
      </c>
      <c r="D885" t="s">
        <v>725</v>
      </c>
      <c r="E885">
        <v>1</v>
      </c>
      <c r="F885">
        <v>300000</v>
      </c>
      <c r="G885">
        <v>300000</v>
      </c>
      <c r="H885" t="s">
        <v>879</v>
      </c>
      <c r="I885">
        <v>60000</v>
      </c>
      <c r="J885">
        <v>20000</v>
      </c>
      <c r="K885">
        <v>260000</v>
      </c>
      <c r="L885" t="s">
        <v>884</v>
      </c>
      <c r="M885" t="s">
        <v>903</v>
      </c>
      <c r="N885" t="s">
        <v>875</v>
      </c>
      <c r="O885" s="9">
        <v>45809</v>
      </c>
      <c r="P885" t="s">
        <v>877</v>
      </c>
      <c r="Q885">
        <v>240000</v>
      </c>
      <c r="R885" t="s">
        <v>726</v>
      </c>
      <c r="S885" t="s">
        <v>727</v>
      </c>
      <c r="T885" t="s">
        <v>728</v>
      </c>
      <c r="U885" t="s">
        <v>229</v>
      </c>
      <c r="V885" t="s">
        <v>23</v>
      </c>
      <c r="W885" t="s">
        <v>39</v>
      </c>
      <c r="X885" t="s">
        <v>9</v>
      </c>
    </row>
    <row r="886" spans="1:24">
      <c r="A886" t="s">
        <v>1781</v>
      </c>
      <c r="B886" s="8">
        <v>45671</v>
      </c>
      <c r="C886" t="s">
        <v>93</v>
      </c>
      <c r="D886" t="s">
        <v>759</v>
      </c>
      <c r="E886">
        <v>2</v>
      </c>
      <c r="F886">
        <v>300000</v>
      </c>
      <c r="G886">
        <v>600000</v>
      </c>
      <c r="H886" t="s">
        <v>886</v>
      </c>
      <c r="I886">
        <v>60000</v>
      </c>
      <c r="J886">
        <v>20000</v>
      </c>
      <c r="K886">
        <v>560000</v>
      </c>
      <c r="L886" t="s">
        <v>884</v>
      </c>
      <c r="M886" t="s">
        <v>881</v>
      </c>
      <c r="N886" t="s">
        <v>905</v>
      </c>
      <c r="O886" s="9">
        <v>45658</v>
      </c>
      <c r="P886" t="s">
        <v>892</v>
      </c>
      <c r="Q886">
        <v>540000</v>
      </c>
      <c r="R886" t="s">
        <v>760</v>
      </c>
      <c r="S886" t="s">
        <v>747</v>
      </c>
      <c r="T886" t="s">
        <v>748</v>
      </c>
      <c r="U886" t="s">
        <v>94</v>
      </c>
      <c r="V886" t="s">
        <v>23</v>
      </c>
      <c r="W886" t="s">
        <v>36</v>
      </c>
      <c r="X886" t="s">
        <v>24</v>
      </c>
    </row>
    <row r="887" spans="1:24">
      <c r="A887" t="s">
        <v>1782</v>
      </c>
      <c r="B887" s="8">
        <v>45686</v>
      </c>
      <c r="C887" t="s">
        <v>566</v>
      </c>
      <c r="D887" t="s">
        <v>775</v>
      </c>
      <c r="E887">
        <v>4</v>
      </c>
      <c r="F887">
        <v>75000</v>
      </c>
      <c r="G887">
        <v>300000</v>
      </c>
      <c r="H887" t="s">
        <v>883</v>
      </c>
      <c r="I887">
        <v>30000</v>
      </c>
      <c r="J887">
        <v>15000</v>
      </c>
      <c r="K887">
        <v>285000</v>
      </c>
      <c r="L887" t="s">
        <v>884</v>
      </c>
      <c r="M887" t="s">
        <v>881</v>
      </c>
      <c r="N887" t="s">
        <v>890</v>
      </c>
      <c r="O887" s="9">
        <v>45658</v>
      </c>
      <c r="P887" t="s">
        <v>892</v>
      </c>
      <c r="Q887">
        <v>270000</v>
      </c>
      <c r="R887" t="s">
        <v>776</v>
      </c>
      <c r="S887" t="s">
        <v>731</v>
      </c>
      <c r="T887" t="s">
        <v>732</v>
      </c>
      <c r="U887" t="s">
        <v>567</v>
      </c>
      <c r="V887" t="s">
        <v>7</v>
      </c>
      <c r="W887" t="s">
        <v>137</v>
      </c>
      <c r="X887" t="s">
        <v>24</v>
      </c>
    </row>
    <row r="888" spans="1:24">
      <c r="A888" t="s">
        <v>1783</v>
      </c>
      <c r="B888" s="8">
        <v>45785</v>
      </c>
      <c r="C888" t="s">
        <v>438</v>
      </c>
      <c r="D888" t="s">
        <v>795</v>
      </c>
      <c r="E888">
        <v>1</v>
      </c>
      <c r="F888">
        <v>100000</v>
      </c>
      <c r="G888">
        <v>100000</v>
      </c>
      <c r="H888" t="s">
        <v>886</v>
      </c>
      <c r="I888">
        <v>10000</v>
      </c>
      <c r="J888">
        <v>20000</v>
      </c>
      <c r="K888">
        <v>110000</v>
      </c>
      <c r="L888" t="s">
        <v>889</v>
      </c>
      <c r="M888" t="s">
        <v>874</v>
      </c>
      <c r="N888" t="s">
        <v>875</v>
      </c>
      <c r="O888" s="9">
        <v>45778</v>
      </c>
      <c r="P888" t="s">
        <v>877</v>
      </c>
      <c r="Q888">
        <v>90000</v>
      </c>
      <c r="R888" t="s">
        <v>796</v>
      </c>
      <c r="S888" t="s">
        <v>747</v>
      </c>
      <c r="T888" t="s">
        <v>748</v>
      </c>
      <c r="U888" t="s">
        <v>439</v>
      </c>
      <c r="V888" t="s">
        <v>7</v>
      </c>
      <c r="W888" t="s">
        <v>137</v>
      </c>
      <c r="X888" t="s">
        <v>24</v>
      </c>
    </row>
    <row r="889" spans="1:24">
      <c r="A889" t="s">
        <v>1784</v>
      </c>
      <c r="B889" s="8">
        <v>45743</v>
      </c>
      <c r="C889" t="s">
        <v>474</v>
      </c>
      <c r="D889" t="s">
        <v>769</v>
      </c>
      <c r="E889">
        <v>3</v>
      </c>
      <c r="F889">
        <v>100000</v>
      </c>
      <c r="G889">
        <v>300000</v>
      </c>
      <c r="H889" t="s">
        <v>872</v>
      </c>
      <c r="I889">
        <v>0</v>
      </c>
      <c r="J889">
        <v>20000</v>
      </c>
      <c r="K889">
        <v>320000</v>
      </c>
      <c r="L889" t="s">
        <v>884</v>
      </c>
      <c r="M889" t="s">
        <v>901</v>
      </c>
      <c r="N889" t="s">
        <v>905</v>
      </c>
      <c r="O889" s="9">
        <v>45717</v>
      </c>
      <c r="P889" t="s">
        <v>892</v>
      </c>
      <c r="Q889">
        <v>300000</v>
      </c>
      <c r="R889" t="s">
        <v>770</v>
      </c>
      <c r="S889" t="s">
        <v>743</v>
      </c>
      <c r="T889" t="s">
        <v>744</v>
      </c>
      <c r="U889" t="s">
        <v>475</v>
      </c>
      <c r="V889" t="s">
        <v>7</v>
      </c>
      <c r="W889" t="s">
        <v>46</v>
      </c>
      <c r="X889" t="s">
        <v>9</v>
      </c>
    </row>
    <row r="890" spans="1:24">
      <c r="A890" t="s">
        <v>1785</v>
      </c>
      <c r="B890" s="8">
        <v>45677</v>
      </c>
      <c r="C890" t="s">
        <v>600</v>
      </c>
      <c r="D890" t="s">
        <v>841</v>
      </c>
      <c r="E890">
        <v>4</v>
      </c>
      <c r="F890">
        <v>75000</v>
      </c>
      <c r="G890">
        <v>300000</v>
      </c>
      <c r="H890" t="s">
        <v>879</v>
      </c>
      <c r="I890">
        <v>60000</v>
      </c>
      <c r="J890">
        <v>25000</v>
      </c>
      <c r="K890">
        <v>265000</v>
      </c>
      <c r="L890" t="s">
        <v>873</v>
      </c>
      <c r="M890" t="s">
        <v>874</v>
      </c>
      <c r="N890" t="s">
        <v>875</v>
      </c>
      <c r="O890" s="9">
        <v>45658</v>
      </c>
      <c r="P890" t="s">
        <v>877</v>
      </c>
      <c r="Q890">
        <v>240000</v>
      </c>
      <c r="R890" t="s">
        <v>842</v>
      </c>
      <c r="S890" t="s">
        <v>743</v>
      </c>
      <c r="T890" t="s">
        <v>744</v>
      </c>
      <c r="U890" t="s">
        <v>601</v>
      </c>
      <c r="V890" t="s">
        <v>23</v>
      </c>
      <c r="W890" t="s">
        <v>20</v>
      </c>
      <c r="X890" t="s">
        <v>9</v>
      </c>
    </row>
    <row r="891" spans="1:24">
      <c r="A891" t="s">
        <v>1786</v>
      </c>
      <c r="B891" s="8">
        <v>45705</v>
      </c>
      <c r="C891" t="s">
        <v>498</v>
      </c>
      <c r="D891" t="s">
        <v>789</v>
      </c>
      <c r="E891">
        <v>2</v>
      </c>
      <c r="F891">
        <v>200000</v>
      </c>
      <c r="G891">
        <v>400000</v>
      </c>
      <c r="H891" t="s">
        <v>872</v>
      </c>
      <c r="I891">
        <v>0</v>
      </c>
      <c r="J891">
        <v>10000</v>
      </c>
      <c r="K891">
        <v>410000</v>
      </c>
      <c r="L891" t="s">
        <v>880</v>
      </c>
      <c r="M891" t="s">
        <v>881</v>
      </c>
      <c r="N891" t="s">
        <v>905</v>
      </c>
      <c r="O891" s="9">
        <v>45689</v>
      </c>
      <c r="P891" t="s">
        <v>892</v>
      </c>
      <c r="Q891">
        <v>400000</v>
      </c>
      <c r="R891" t="s">
        <v>790</v>
      </c>
      <c r="S891" t="s">
        <v>735</v>
      </c>
      <c r="T891" t="s">
        <v>736</v>
      </c>
      <c r="U891" t="s">
        <v>499</v>
      </c>
      <c r="V891" t="s">
        <v>23</v>
      </c>
      <c r="W891" t="s">
        <v>46</v>
      </c>
      <c r="X891" t="s">
        <v>24</v>
      </c>
    </row>
    <row r="892" spans="1:24">
      <c r="A892" t="s">
        <v>1787</v>
      </c>
      <c r="B892" s="8">
        <v>45661</v>
      </c>
      <c r="C892" t="s">
        <v>170</v>
      </c>
      <c r="D892" t="s">
        <v>753</v>
      </c>
      <c r="E892">
        <v>2</v>
      </c>
      <c r="F892">
        <v>300000</v>
      </c>
      <c r="G892">
        <v>600000</v>
      </c>
      <c r="I892">
        <v>0</v>
      </c>
      <c r="J892">
        <v>25000</v>
      </c>
      <c r="K892">
        <v>625000</v>
      </c>
      <c r="L892" t="s">
        <v>880</v>
      </c>
      <c r="M892" t="s">
        <v>903</v>
      </c>
      <c r="N892" t="s">
        <v>890</v>
      </c>
      <c r="O892" s="9">
        <v>45658</v>
      </c>
      <c r="P892" t="s">
        <v>892</v>
      </c>
      <c r="Q892">
        <v>600000</v>
      </c>
      <c r="R892" t="s">
        <v>754</v>
      </c>
      <c r="S892" t="s">
        <v>735</v>
      </c>
      <c r="T892" t="s">
        <v>736</v>
      </c>
      <c r="U892" t="s">
        <v>171</v>
      </c>
      <c r="V892" t="s">
        <v>7</v>
      </c>
      <c r="W892" t="s">
        <v>29</v>
      </c>
      <c r="X892" t="s">
        <v>9</v>
      </c>
    </row>
    <row r="893" spans="1:24">
      <c r="A893" t="s">
        <v>1788</v>
      </c>
      <c r="B893" s="8">
        <v>45715</v>
      </c>
      <c r="C893" t="s">
        <v>568</v>
      </c>
      <c r="D893" t="s">
        <v>783</v>
      </c>
      <c r="E893">
        <v>1</v>
      </c>
      <c r="F893">
        <v>500000</v>
      </c>
      <c r="G893">
        <v>500000</v>
      </c>
      <c r="H893" t="s">
        <v>895</v>
      </c>
      <c r="I893">
        <v>75000</v>
      </c>
      <c r="J893">
        <v>15000</v>
      </c>
      <c r="K893">
        <v>440000</v>
      </c>
      <c r="L893" t="s">
        <v>889</v>
      </c>
      <c r="M893" t="s">
        <v>874</v>
      </c>
      <c r="N893" t="s">
        <v>875</v>
      </c>
      <c r="O893" s="9">
        <v>45689</v>
      </c>
      <c r="P893" t="s">
        <v>877</v>
      </c>
      <c r="Q893">
        <v>425000</v>
      </c>
      <c r="R893" t="s">
        <v>784</v>
      </c>
      <c r="S893" t="s">
        <v>747</v>
      </c>
      <c r="T893" t="s">
        <v>748</v>
      </c>
      <c r="U893" t="s">
        <v>569</v>
      </c>
      <c r="V893" t="s">
        <v>23</v>
      </c>
      <c r="W893" t="s">
        <v>137</v>
      </c>
      <c r="X893" t="s">
        <v>9</v>
      </c>
    </row>
    <row r="894" spans="1:24">
      <c r="A894" t="s">
        <v>1789</v>
      </c>
      <c r="B894" s="8">
        <v>45783</v>
      </c>
      <c r="C894" t="s">
        <v>428</v>
      </c>
      <c r="D894" t="s">
        <v>851</v>
      </c>
      <c r="E894">
        <v>1</v>
      </c>
      <c r="F894">
        <v>35000</v>
      </c>
      <c r="G894">
        <v>35000</v>
      </c>
      <c r="H894" t="s">
        <v>872</v>
      </c>
      <c r="I894">
        <v>0</v>
      </c>
      <c r="J894">
        <v>10000</v>
      </c>
      <c r="K894">
        <v>45000</v>
      </c>
      <c r="L894" t="s">
        <v>873</v>
      </c>
      <c r="M894" t="s">
        <v>874</v>
      </c>
      <c r="N894" t="s">
        <v>905</v>
      </c>
      <c r="O894" s="9">
        <v>45778</v>
      </c>
      <c r="P894" t="s">
        <v>892</v>
      </c>
      <c r="Q894">
        <v>35000</v>
      </c>
      <c r="R894" t="s">
        <v>852</v>
      </c>
      <c r="S894" t="s">
        <v>739</v>
      </c>
      <c r="T894" t="s">
        <v>740</v>
      </c>
      <c r="U894" t="s">
        <v>429</v>
      </c>
      <c r="V894" t="s">
        <v>7</v>
      </c>
      <c r="W894" t="s">
        <v>8</v>
      </c>
      <c r="X894" t="s">
        <v>9</v>
      </c>
    </row>
    <row r="895" spans="1:24">
      <c r="A895" t="s">
        <v>1790</v>
      </c>
      <c r="B895" s="8">
        <v>45802</v>
      </c>
      <c r="C895" t="s">
        <v>322</v>
      </c>
      <c r="D895" t="s">
        <v>795</v>
      </c>
      <c r="E895">
        <v>3</v>
      </c>
      <c r="F895">
        <v>100000</v>
      </c>
      <c r="G895">
        <v>300000</v>
      </c>
      <c r="H895" t="s">
        <v>895</v>
      </c>
      <c r="I895">
        <v>45000</v>
      </c>
      <c r="J895">
        <v>10000</v>
      </c>
      <c r="K895">
        <v>265000</v>
      </c>
      <c r="L895" t="s">
        <v>880</v>
      </c>
      <c r="M895" t="s">
        <v>874</v>
      </c>
      <c r="N895" t="s">
        <v>875</v>
      </c>
      <c r="O895" s="9">
        <v>45778</v>
      </c>
      <c r="P895" t="s">
        <v>877</v>
      </c>
      <c r="Q895">
        <v>255000</v>
      </c>
      <c r="R895" t="s">
        <v>796</v>
      </c>
      <c r="S895" t="s">
        <v>747</v>
      </c>
      <c r="T895" t="s">
        <v>748</v>
      </c>
      <c r="U895" t="s">
        <v>323</v>
      </c>
      <c r="V895" t="s">
        <v>7</v>
      </c>
      <c r="W895" t="s">
        <v>8</v>
      </c>
      <c r="X895" t="s">
        <v>9</v>
      </c>
    </row>
    <row r="896" spans="1:24">
      <c r="A896" t="s">
        <v>1791</v>
      </c>
      <c r="B896" s="8">
        <v>45700</v>
      </c>
      <c r="C896" t="s">
        <v>546</v>
      </c>
      <c r="D896" t="s">
        <v>839</v>
      </c>
      <c r="E896">
        <v>1</v>
      </c>
      <c r="F896">
        <v>200000</v>
      </c>
      <c r="G896">
        <v>200000</v>
      </c>
      <c r="H896" t="s">
        <v>886</v>
      </c>
      <c r="I896">
        <v>20000</v>
      </c>
      <c r="J896">
        <v>30000</v>
      </c>
      <c r="K896">
        <v>210000</v>
      </c>
      <c r="L896" t="s">
        <v>880</v>
      </c>
      <c r="M896" t="s">
        <v>903</v>
      </c>
      <c r="N896" t="s">
        <v>875</v>
      </c>
      <c r="O896" s="9">
        <v>45689</v>
      </c>
      <c r="P896" t="s">
        <v>877</v>
      </c>
      <c r="Q896">
        <v>180000</v>
      </c>
      <c r="R896" t="s">
        <v>840</v>
      </c>
      <c r="S896" t="s">
        <v>739</v>
      </c>
      <c r="T896" t="s">
        <v>740</v>
      </c>
      <c r="U896" t="s">
        <v>547</v>
      </c>
      <c r="V896" t="s">
        <v>23</v>
      </c>
      <c r="W896" t="s">
        <v>8</v>
      </c>
      <c r="X896" t="s">
        <v>24</v>
      </c>
    </row>
    <row r="897" spans="1:24">
      <c r="A897" t="s">
        <v>1792</v>
      </c>
      <c r="B897" s="8">
        <v>45834</v>
      </c>
      <c r="C897" t="s">
        <v>144</v>
      </c>
      <c r="D897" t="s">
        <v>821</v>
      </c>
      <c r="E897">
        <v>1</v>
      </c>
      <c r="F897">
        <v>50000</v>
      </c>
      <c r="G897">
        <v>50000</v>
      </c>
      <c r="H897" t="s">
        <v>879</v>
      </c>
      <c r="I897">
        <v>10000</v>
      </c>
      <c r="J897">
        <v>15000</v>
      </c>
      <c r="K897">
        <v>55000</v>
      </c>
      <c r="L897" t="s">
        <v>884</v>
      </c>
      <c r="M897" t="s">
        <v>881</v>
      </c>
      <c r="N897" t="s">
        <v>875</v>
      </c>
      <c r="O897" s="9">
        <v>45809</v>
      </c>
      <c r="P897" t="s">
        <v>877</v>
      </c>
      <c r="Q897">
        <v>40000</v>
      </c>
      <c r="R897" t="s">
        <v>822</v>
      </c>
      <c r="S897" t="s">
        <v>727</v>
      </c>
      <c r="T897" t="s">
        <v>728</v>
      </c>
      <c r="U897" t="s">
        <v>145</v>
      </c>
      <c r="V897" t="s">
        <v>23</v>
      </c>
      <c r="W897" t="s">
        <v>51</v>
      </c>
      <c r="X897" t="s">
        <v>9</v>
      </c>
    </row>
    <row r="898" spans="1:24">
      <c r="A898" t="s">
        <v>1793</v>
      </c>
      <c r="B898" s="8">
        <v>45749</v>
      </c>
      <c r="C898" t="s">
        <v>576</v>
      </c>
      <c r="D898" t="s">
        <v>763</v>
      </c>
      <c r="E898">
        <v>3</v>
      </c>
      <c r="F898">
        <v>75000</v>
      </c>
      <c r="G898">
        <v>225000</v>
      </c>
      <c r="H898" t="s">
        <v>872</v>
      </c>
      <c r="I898">
        <v>0</v>
      </c>
      <c r="J898">
        <v>15000</v>
      </c>
      <c r="K898">
        <v>240000</v>
      </c>
      <c r="L898" t="s">
        <v>873</v>
      </c>
      <c r="M898" t="s">
        <v>881</v>
      </c>
      <c r="N898" t="s">
        <v>875</v>
      </c>
      <c r="O898" s="9">
        <v>45748</v>
      </c>
      <c r="P898" t="s">
        <v>877</v>
      </c>
      <c r="Q898">
        <v>225000</v>
      </c>
      <c r="R898" t="s">
        <v>764</v>
      </c>
      <c r="S898" t="s">
        <v>731</v>
      </c>
      <c r="T898" t="s">
        <v>732</v>
      </c>
      <c r="U898" t="s">
        <v>577</v>
      </c>
      <c r="V898" t="s">
        <v>23</v>
      </c>
      <c r="W898" t="s">
        <v>8</v>
      </c>
      <c r="X898" t="s">
        <v>9</v>
      </c>
    </row>
    <row r="899" spans="1:24">
      <c r="A899" t="s">
        <v>1794</v>
      </c>
      <c r="B899" s="8">
        <v>45703</v>
      </c>
      <c r="C899" t="s">
        <v>146</v>
      </c>
      <c r="D899" t="s">
        <v>811</v>
      </c>
      <c r="E899">
        <v>3</v>
      </c>
      <c r="F899">
        <v>35000</v>
      </c>
      <c r="G899">
        <v>105000</v>
      </c>
      <c r="H899" t="s">
        <v>872</v>
      </c>
      <c r="I899">
        <v>0</v>
      </c>
      <c r="J899">
        <v>10000</v>
      </c>
      <c r="K899">
        <v>115000</v>
      </c>
      <c r="L899" t="s">
        <v>884</v>
      </c>
      <c r="M899" t="s">
        <v>881</v>
      </c>
      <c r="N899" t="s">
        <v>875</v>
      </c>
      <c r="O899" s="9">
        <v>45689</v>
      </c>
      <c r="P899" t="s">
        <v>877</v>
      </c>
      <c r="Q899">
        <v>105000</v>
      </c>
      <c r="R899" t="s">
        <v>812</v>
      </c>
      <c r="S899" t="s">
        <v>731</v>
      </c>
      <c r="T899" t="s">
        <v>732</v>
      </c>
      <c r="U899" t="s">
        <v>147</v>
      </c>
      <c r="V899" t="s">
        <v>7</v>
      </c>
      <c r="W899" t="s">
        <v>51</v>
      </c>
      <c r="X899" t="s">
        <v>24</v>
      </c>
    </row>
    <row r="900" spans="1:24">
      <c r="A900" t="s">
        <v>1795</v>
      </c>
      <c r="B900" s="8">
        <v>45709</v>
      </c>
      <c r="C900" t="s">
        <v>194</v>
      </c>
      <c r="D900" t="s">
        <v>849</v>
      </c>
      <c r="E900">
        <v>1</v>
      </c>
      <c r="F900">
        <v>500000</v>
      </c>
      <c r="G900">
        <v>500000</v>
      </c>
      <c r="H900" t="s">
        <v>872</v>
      </c>
      <c r="I900">
        <v>0</v>
      </c>
      <c r="J900">
        <v>10000</v>
      </c>
      <c r="K900">
        <v>510000</v>
      </c>
      <c r="L900" t="s">
        <v>884</v>
      </c>
      <c r="M900" t="s">
        <v>874</v>
      </c>
      <c r="N900" t="s">
        <v>875</v>
      </c>
      <c r="O900" s="9">
        <v>45689</v>
      </c>
      <c r="P900" t="s">
        <v>877</v>
      </c>
      <c r="Q900">
        <v>500000</v>
      </c>
      <c r="R900" t="s">
        <v>850</v>
      </c>
      <c r="S900" t="s">
        <v>735</v>
      </c>
      <c r="T900" t="s">
        <v>736</v>
      </c>
      <c r="U900" t="s">
        <v>195</v>
      </c>
      <c r="V900" t="s">
        <v>7</v>
      </c>
      <c r="W900" t="s">
        <v>36</v>
      </c>
      <c r="X900" t="s">
        <v>24</v>
      </c>
    </row>
    <row r="901" spans="1:24">
      <c r="A901" t="s">
        <v>1796</v>
      </c>
      <c r="B901" s="8">
        <v>45755</v>
      </c>
      <c r="C901" t="s">
        <v>644</v>
      </c>
      <c r="D901" t="s">
        <v>781</v>
      </c>
      <c r="E901">
        <v>2</v>
      </c>
      <c r="F901">
        <v>50000</v>
      </c>
      <c r="G901">
        <v>100000</v>
      </c>
      <c r="H901" t="s">
        <v>872</v>
      </c>
      <c r="I901">
        <v>0</v>
      </c>
      <c r="J901">
        <v>30000</v>
      </c>
      <c r="K901">
        <v>130000</v>
      </c>
      <c r="L901" t="s">
        <v>884</v>
      </c>
      <c r="M901" t="s">
        <v>874</v>
      </c>
      <c r="N901" t="s">
        <v>875</v>
      </c>
      <c r="O901" s="9">
        <v>45748</v>
      </c>
      <c r="P901" t="s">
        <v>877</v>
      </c>
      <c r="Q901">
        <v>100000</v>
      </c>
      <c r="R901" t="s">
        <v>782</v>
      </c>
      <c r="S901" t="s">
        <v>743</v>
      </c>
      <c r="T901" t="s">
        <v>744</v>
      </c>
      <c r="U901" t="s">
        <v>645</v>
      </c>
      <c r="V901" t="s">
        <v>23</v>
      </c>
      <c r="W901" t="s">
        <v>8</v>
      </c>
      <c r="X901" t="s">
        <v>24</v>
      </c>
    </row>
    <row r="902" spans="1:24">
      <c r="A902" t="s">
        <v>1797</v>
      </c>
      <c r="B902" s="8">
        <v>45773</v>
      </c>
      <c r="C902" t="s">
        <v>652</v>
      </c>
      <c r="D902" t="s">
        <v>765</v>
      </c>
      <c r="E902">
        <v>1</v>
      </c>
      <c r="F902">
        <v>500000</v>
      </c>
      <c r="G902">
        <v>500000</v>
      </c>
      <c r="H902" t="s">
        <v>883</v>
      </c>
      <c r="I902">
        <v>50000</v>
      </c>
      <c r="J902">
        <v>10000</v>
      </c>
      <c r="K902">
        <v>460000</v>
      </c>
      <c r="L902" t="s">
        <v>889</v>
      </c>
      <c r="M902" t="s">
        <v>903</v>
      </c>
      <c r="N902" t="s">
        <v>875</v>
      </c>
      <c r="O902" s="9">
        <v>45748</v>
      </c>
      <c r="P902" t="s">
        <v>877</v>
      </c>
      <c r="Q902">
        <v>450000</v>
      </c>
      <c r="R902" t="s">
        <v>766</v>
      </c>
      <c r="S902" t="s">
        <v>735</v>
      </c>
      <c r="T902" t="s">
        <v>736</v>
      </c>
      <c r="U902" t="s">
        <v>653</v>
      </c>
      <c r="V902" t="s">
        <v>23</v>
      </c>
      <c r="W902" t="s">
        <v>137</v>
      </c>
      <c r="X902" t="s">
        <v>24</v>
      </c>
    </row>
    <row r="903" spans="1:24">
      <c r="A903" t="s">
        <v>1798</v>
      </c>
      <c r="B903" s="8">
        <v>45739</v>
      </c>
      <c r="C903" t="s">
        <v>152</v>
      </c>
      <c r="D903" t="s">
        <v>755</v>
      </c>
      <c r="E903">
        <v>1</v>
      </c>
      <c r="F903">
        <v>50000</v>
      </c>
      <c r="G903">
        <v>50000</v>
      </c>
      <c r="H903" t="s">
        <v>872</v>
      </c>
      <c r="I903">
        <v>0</v>
      </c>
      <c r="J903">
        <v>10000</v>
      </c>
      <c r="K903">
        <v>60000</v>
      </c>
      <c r="L903" t="s">
        <v>889</v>
      </c>
      <c r="M903" t="s">
        <v>901</v>
      </c>
      <c r="N903" t="s">
        <v>905</v>
      </c>
      <c r="O903" s="9">
        <v>45717</v>
      </c>
      <c r="P903" t="s">
        <v>892</v>
      </c>
      <c r="Q903">
        <v>50000</v>
      </c>
      <c r="R903" t="s">
        <v>756</v>
      </c>
      <c r="S903" t="s">
        <v>739</v>
      </c>
      <c r="T903" t="s">
        <v>740</v>
      </c>
      <c r="U903" t="s">
        <v>153</v>
      </c>
      <c r="V903" t="s">
        <v>23</v>
      </c>
      <c r="W903" t="s">
        <v>56</v>
      </c>
      <c r="X903" t="s">
        <v>24</v>
      </c>
    </row>
    <row r="904" spans="1:24">
      <c r="A904" t="s">
        <v>1799</v>
      </c>
      <c r="B904" s="8">
        <v>45790</v>
      </c>
      <c r="C904" t="s">
        <v>160</v>
      </c>
      <c r="D904" t="s">
        <v>773</v>
      </c>
      <c r="E904">
        <v>1</v>
      </c>
      <c r="F904">
        <v>500000</v>
      </c>
      <c r="G904">
        <v>500000</v>
      </c>
      <c r="H904" t="s">
        <v>872</v>
      </c>
      <c r="I904">
        <v>0</v>
      </c>
      <c r="J904">
        <v>25000</v>
      </c>
      <c r="K904">
        <v>525000</v>
      </c>
      <c r="L904" t="s">
        <v>884</v>
      </c>
      <c r="M904" t="s">
        <v>881</v>
      </c>
      <c r="N904" t="s">
        <v>875</v>
      </c>
      <c r="O904" s="9">
        <v>45778</v>
      </c>
      <c r="P904" t="s">
        <v>877</v>
      </c>
      <c r="Q904">
        <v>500000</v>
      </c>
      <c r="R904" t="s">
        <v>774</v>
      </c>
      <c r="S904" t="s">
        <v>727</v>
      </c>
      <c r="T904" t="s">
        <v>728</v>
      </c>
      <c r="U904" t="s">
        <v>161</v>
      </c>
      <c r="V904" t="s">
        <v>23</v>
      </c>
      <c r="W904" t="s">
        <v>137</v>
      </c>
      <c r="X904" t="s">
        <v>9</v>
      </c>
    </row>
    <row r="905" spans="1:24">
      <c r="A905" t="s">
        <v>1800</v>
      </c>
      <c r="B905" s="8">
        <v>45815</v>
      </c>
      <c r="C905" t="s">
        <v>57</v>
      </c>
      <c r="D905" t="s">
        <v>809</v>
      </c>
      <c r="E905">
        <v>1</v>
      </c>
      <c r="F905">
        <v>100000</v>
      </c>
      <c r="G905">
        <v>100000</v>
      </c>
      <c r="H905" t="s">
        <v>872</v>
      </c>
      <c r="I905">
        <v>0</v>
      </c>
      <c r="J905">
        <v>20000</v>
      </c>
      <c r="K905">
        <v>120000</v>
      </c>
      <c r="L905" t="s">
        <v>889</v>
      </c>
      <c r="M905" t="s">
        <v>903</v>
      </c>
      <c r="N905" t="s">
        <v>875</v>
      </c>
      <c r="O905" s="9">
        <v>45809</v>
      </c>
      <c r="P905" t="s">
        <v>877</v>
      </c>
      <c r="Q905">
        <v>100000</v>
      </c>
      <c r="R905" t="s">
        <v>810</v>
      </c>
      <c r="S905" t="s">
        <v>727</v>
      </c>
      <c r="T905" t="s">
        <v>728</v>
      </c>
      <c r="U905" t="s">
        <v>58</v>
      </c>
      <c r="V905" t="s">
        <v>23</v>
      </c>
      <c r="W905" t="s">
        <v>8</v>
      </c>
      <c r="X905" t="s">
        <v>9</v>
      </c>
    </row>
    <row r="906" spans="1:24">
      <c r="A906" t="s">
        <v>1801</v>
      </c>
      <c r="B906" s="8">
        <v>45801</v>
      </c>
      <c r="C906" t="s">
        <v>30</v>
      </c>
      <c r="D906" t="s">
        <v>761</v>
      </c>
      <c r="E906">
        <v>2</v>
      </c>
      <c r="F906">
        <v>75000</v>
      </c>
      <c r="G906">
        <v>150000</v>
      </c>
      <c r="I906">
        <v>15000</v>
      </c>
      <c r="J906">
        <v>10000</v>
      </c>
      <c r="K906">
        <v>145000</v>
      </c>
      <c r="L906" t="s">
        <v>880</v>
      </c>
      <c r="M906" t="s">
        <v>901</v>
      </c>
      <c r="N906" t="s">
        <v>875</v>
      </c>
      <c r="O906" s="9">
        <v>45778</v>
      </c>
      <c r="P906" t="s">
        <v>877</v>
      </c>
      <c r="Q906">
        <v>135000</v>
      </c>
      <c r="R906" t="s">
        <v>762</v>
      </c>
      <c r="S906" t="s">
        <v>727</v>
      </c>
      <c r="T906" t="s">
        <v>728</v>
      </c>
      <c r="U906" t="s">
        <v>31</v>
      </c>
      <c r="V906" t="s">
        <v>23</v>
      </c>
      <c r="W906" t="s">
        <v>8</v>
      </c>
      <c r="X906" t="s">
        <v>9</v>
      </c>
    </row>
    <row r="907" spans="1:24">
      <c r="A907" t="s">
        <v>1802</v>
      </c>
      <c r="B907" s="8">
        <v>45803</v>
      </c>
      <c r="C907" t="s">
        <v>400</v>
      </c>
      <c r="D907" t="s">
        <v>837</v>
      </c>
      <c r="E907">
        <v>1</v>
      </c>
      <c r="F907">
        <v>300000</v>
      </c>
      <c r="G907">
        <v>300000</v>
      </c>
      <c r="H907" t="s">
        <v>872</v>
      </c>
      <c r="I907">
        <v>0</v>
      </c>
      <c r="J907">
        <v>25000</v>
      </c>
      <c r="K907">
        <v>325000</v>
      </c>
      <c r="L907" t="s">
        <v>884</v>
      </c>
      <c r="M907" t="s">
        <v>881</v>
      </c>
      <c r="N907" t="s">
        <v>890</v>
      </c>
      <c r="O907" s="9">
        <v>45778</v>
      </c>
      <c r="P907" t="s">
        <v>892</v>
      </c>
      <c r="Q907">
        <v>300000</v>
      </c>
      <c r="R907" t="s">
        <v>838</v>
      </c>
      <c r="S907" t="s">
        <v>735</v>
      </c>
      <c r="T907" t="s">
        <v>736</v>
      </c>
      <c r="U907" t="s">
        <v>401</v>
      </c>
      <c r="V907" t="s">
        <v>23</v>
      </c>
      <c r="W907" t="s">
        <v>20</v>
      </c>
      <c r="X907" t="s">
        <v>9</v>
      </c>
    </row>
    <row r="908" spans="1:24">
      <c r="A908" t="s">
        <v>1803</v>
      </c>
      <c r="B908" s="8">
        <v>45818</v>
      </c>
      <c r="C908" t="s">
        <v>322</v>
      </c>
      <c r="D908" t="s">
        <v>807</v>
      </c>
      <c r="E908">
        <v>1</v>
      </c>
      <c r="F908">
        <v>150000</v>
      </c>
      <c r="G908">
        <v>150000</v>
      </c>
      <c r="H908" t="s">
        <v>886</v>
      </c>
      <c r="I908">
        <v>15000</v>
      </c>
      <c r="J908">
        <v>30000</v>
      </c>
      <c r="K908">
        <v>165000</v>
      </c>
      <c r="L908" t="s">
        <v>884</v>
      </c>
      <c r="M908" t="s">
        <v>874</v>
      </c>
      <c r="N908" t="s">
        <v>875</v>
      </c>
      <c r="O908" s="9">
        <v>45809</v>
      </c>
      <c r="P908" t="s">
        <v>877</v>
      </c>
      <c r="Q908">
        <v>135000</v>
      </c>
      <c r="R908" t="s">
        <v>808</v>
      </c>
      <c r="S908" t="s">
        <v>747</v>
      </c>
      <c r="T908" t="s">
        <v>748</v>
      </c>
      <c r="U908" t="s">
        <v>323</v>
      </c>
      <c r="V908" t="s">
        <v>7</v>
      </c>
      <c r="W908" t="s">
        <v>8</v>
      </c>
      <c r="X908" t="s">
        <v>9</v>
      </c>
    </row>
    <row r="909" spans="1:24">
      <c r="A909" t="s">
        <v>1804</v>
      </c>
      <c r="B909" s="8">
        <v>45765</v>
      </c>
      <c r="C909" t="s">
        <v>298</v>
      </c>
      <c r="D909" t="s">
        <v>771</v>
      </c>
      <c r="E909">
        <v>3</v>
      </c>
      <c r="F909">
        <v>500000</v>
      </c>
      <c r="G909">
        <v>1500000</v>
      </c>
      <c r="H909" t="s">
        <v>872</v>
      </c>
      <c r="I909">
        <v>0</v>
      </c>
      <c r="J909">
        <v>30000</v>
      </c>
      <c r="K909">
        <v>1530000</v>
      </c>
      <c r="L909" t="s">
        <v>884</v>
      </c>
      <c r="M909" t="s">
        <v>874</v>
      </c>
      <c r="N909" t="s">
        <v>875</v>
      </c>
      <c r="O909" s="9">
        <v>45748</v>
      </c>
      <c r="P909" t="s">
        <v>877</v>
      </c>
      <c r="Q909">
        <v>1500000</v>
      </c>
      <c r="R909" t="s">
        <v>772</v>
      </c>
      <c r="S909" t="s">
        <v>747</v>
      </c>
      <c r="T909" t="s">
        <v>748</v>
      </c>
      <c r="U909" t="s">
        <v>299</v>
      </c>
      <c r="V909" t="s">
        <v>7</v>
      </c>
      <c r="W909" t="s">
        <v>137</v>
      </c>
      <c r="X909" t="s">
        <v>9</v>
      </c>
    </row>
    <row r="910" spans="1:24">
      <c r="A910" t="s">
        <v>1805</v>
      </c>
      <c r="B910" s="8">
        <v>45682</v>
      </c>
      <c r="C910" t="s">
        <v>34</v>
      </c>
      <c r="D910" t="s">
        <v>753</v>
      </c>
      <c r="E910">
        <v>3</v>
      </c>
      <c r="F910">
        <v>300000</v>
      </c>
      <c r="G910">
        <v>900000</v>
      </c>
      <c r="H910" t="s">
        <v>895</v>
      </c>
      <c r="I910">
        <v>135000</v>
      </c>
      <c r="J910">
        <v>10000</v>
      </c>
      <c r="K910">
        <v>775000</v>
      </c>
      <c r="L910" t="s">
        <v>889</v>
      </c>
      <c r="M910" t="s">
        <v>881</v>
      </c>
      <c r="N910" t="s">
        <v>911</v>
      </c>
      <c r="O910" s="9">
        <v>45658</v>
      </c>
      <c r="P910" t="s">
        <v>892</v>
      </c>
      <c r="Q910">
        <v>765000</v>
      </c>
      <c r="R910" t="s">
        <v>754</v>
      </c>
      <c r="S910" t="s">
        <v>735</v>
      </c>
      <c r="T910" t="s">
        <v>736</v>
      </c>
      <c r="U910" t="s">
        <v>35</v>
      </c>
      <c r="V910" t="s">
        <v>23</v>
      </c>
      <c r="W910" t="s">
        <v>36</v>
      </c>
      <c r="X910" t="s">
        <v>24</v>
      </c>
    </row>
    <row r="911" spans="1:24">
      <c r="A911" t="s">
        <v>1806</v>
      </c>
      <c r="B911" s="8">
        <v>45671</v>
      </c>
      <c r="C911" t="s">
        <v>532</v>
      </c>
      <c r="D911" t="s">
        <v>769</v>
      </c>
      <c r="E911">
        <v>1</v>
      </c>
      <c r="F911">
        <v>100000</v>
      </c>
      <c r="G911">
        <v>100000</v>
      </c>
      <c r="H911" t="s">
        <v>879</v>
      </c>
      <c r="I911">
        <v>20000</v>
      </c>
      <c r="J911">
        <v>10000</v>
      </c>
      <c r="K911">
        <v>90000</v>
      </c>
      <c r="L911" t="s">
        <v>880</v>
      </c>
      <c r="M911" t="s">
        <v>901</v>
      </c>
      <c r="N911" t="s">
        <v>875</v>
      </c>
      <c r="O911" s="9">
        <v>45658</v>
      </c>
      <c r="P911" t="s">
        <v>877</v>
      </c>
      <c r="Q911">
        <v>80000</v>
      </c>
      <c r="R911" t="s">
        <v>770</v>
      </c>
      <c r="S911" t="s">
        <v>743</v>
      </c>
      <c r="T911" t="s">
        <v>744</v>
      </c>
      <c r="U911" t="s">
        <v>533</v>
      </c>
      <c r="V911" t="s">
        <v>7</v>
      </c>
      <c r="W911" t="s">
        <v>12</v>
      </c>
      <c r="X911" t="s">
        <v>24</v>
      </c>
    </row>
    <row r="912" spans="1:24">
      <c r="A912" t="s">
        <v>1807</v>
      </c>
      <c r="B912" s="8">
        <v>45775</v>
      </c>
      <c r="C912" t="s">
        <v>206</v>
      </c>
      <c r="D912" t="s">
        <v>835</v>
      </c>
      <c r="E912">
        <v>1</v>
      </c>
      <c r="F912">
        <v>200000</v>
      </c>
      <c r="G912">
        <v>200000</v>
      </c>
      <c r="H912" t="s">
        <v>879</v>
      </c>
      <c r="I912">
        <v>40000</v>
      </c>
      <c r="J912">
        <v>15000</v>
      </c>
      <c r="K912">
        <v>175000</v>
      </c>
      <c r="L912" t="s">
        <v>884</v>
      </c>
      <c r="M912" t="s">
        <v>903</v>
      </c>
      <c r="N912" t="s">
        <v>875</v>
      </c>
      <c r="O912" s="9">
        <v>45748</v>
      </c>
      <c r="P912" t="s">
        <v>877</v>
      </c>
      <c r="Q912">
        <v>160000</v>
      </c>
      <c r="R912" t="s">
        <v>836</v>
      </c>
      <c r="S912" t="s">
        <v>731</v>
      </c>
      <c r="T912" t="s">
        <v>732</v>
      </c>
      <c r="U912" t="s">
        <v>207</v>
      </c>
      <c r="V912" t="s">
        <v>7</v>
      </c>
      <c r="W912" t="s">
        <v>20</v>
      </c>
      <c r="X912" t="s">
        <v>9</v>
      </c>
    </row>
    <row r="913" spans="1:24">
      <c r="A913" t="s">
        <v>1808</v>
      </c>
      <c r="B913" s="8">
        <v>45832</v>
      </c>
      <c r="C913" t="s">
        <v>362</v>
      </c>
      <c r="D913" t="s">
        <v>767</v>
      </c>
      <c r="E913">
        <v>3</v>
      </c>
      <c r="F913">
        <v>150000</v>
      </c>
      <c r="G913">
        <v>450000</v>
      </c>
      <c r="H913" t="s">
        <v>872</v>
      </c>
      <c r="I913">
        <v>0</v>
      </c>
      <c r="J913">
        <v>15000</v>
      </c>
      <c r="K913">
        <v>465000</v>
      </c>
      <c r="L913" t="s">
        <v>884</v>
      </c>
      <c r="M913" t="s">
        <v>881</v>
      </c>
      <c r="N913" t="s">
        <v>875</v>
      </c>
      <c r="O913" s="9">
        <v>45809</v>
      </c>
      <c r="P913" t="s">
        <v>877</v>
      </c>
      <c r="Q913">
        <v>450000</v>
      </c>
      <c r="R913" t="s">
        <v>768</v>
      </c>
      <c r="S913" t="s">
        <v>739</v>
      </c>
      <c r="T913" t="s">
        <v>740</v>
      </c>
      <c r="U913" t="s">
        <v>363</v>
      </c>
      <c r="V913" t="s">
        <v>23</v>
      </c>
      <c r="W913" t="s">
        <v>29</v>
      </c>
      <c r="X913" t="s">
        <v>9</v>
      </c>
    </row>
    <row r="914" spans="1:24">
      <c r="A914" t="s">
        <v>1809</v>
      </c>
      <c r="B914" s="8">
        <v>45787</v>
      </c>
      <c r="C914" t="s">
        <v>584</v>
      </c>
      <c r="D914" t="s">
        <v>755</v>
      </c>
      <c r="E914">
        <v>1</v>
      </c>
      <c r="F914">
        <v>50000</v>
      </c>
      <c r="G914">
        <v>50000</v>
      </c>
      <c r="H914" t="s">
        <v>886</v>
      </c>
      <c r="I914">
        <v>5000</v>
      </c>
      <c r="J914">
        <v>30000</v>
      </c>
      <c r="K914">
        <v>75000</v>
      </c>
      <c r="L914" t="s">
        <v>889</v>
      </c>
      <c r="M914" t="s">
        <v>881</v>
      </c>
      <c r="N914" t="s">
        <v>875</v>
      </c>
      <c r="O914" s="9">
        <v>45778</v>
      </c>
      <c r="P914" t="s">
        <v>877</v>
      </c>
      <c r="Q914">
        <v>45000</v>
      </c>
      <c r="R914" t="s">
        <v>756</v>
      </c>
      <c r="S914" t="s">
        <v>739</v>
      </c>
      <c r="T914" t="s">
        <v>740</v>
      </c>
      <c r="U914" t="s">
        <v>585</v>
      </c>
      <c r="V914" t="s">
        <v>7</v>
      </c>
      <c r="W914" t="s">
        <v>137</v>
      </c>
      <c r="X914" t="s">
        <v>9</v>
      </c>
    </row>
    <row r="915" spans="1:24">
      <c r="A915" t="s">
        <v>1810</v>
      </c>
      <c r="B915" s="8">
        <v>45763</v>
      </c>
      <c r="C915" t="s">
        <v>204</v>
      </c>
      <c r="D915" t="s">
        <v>725</v>
      </c>
      <c r="E915">
        <v>2</v>
      </c>
      <c r="F915">
        <v>300000</v>
      </c>
      <c r="G915">
        <v>600000</v>
      </c>
      <c r="H915" t="s">
        <v>886</v>
      </c>
      <c r="I915">
        <v>60000</v>
      </c>
      <c r="J915">
        <v>25000</v>
      </c>
      <c r="K915">
        <v>565000</v>
      </c>
      <c r="L915" t="s">
        <v>873</v>
      </c>
      <c r="M915" t="s">
        <v>901</v>
      </c>
      <c r="N915" t="s">
        <v>875</v>
      </c>
      <c r="O915" s="9">
        <v>45748</v>
      </c>
      <c r="P915" t="s">
        <v>877</v>
      </c>
      <c r="Q915">
        <v>540000</v>
      </c>
      <c r="R915" t="s">
        <v>726</v>
      </c>
      <c r="S915" t="s">
        <v>727</v>
      </c>
      <c r="T915" t="s">
        <v>728</v>
      </c>
      <c r="U915" t="s">
        <v>205</v>
      </c>
      <c r="V915" t="s">
        <v>7</v>
      </c>
      <c r="W915" t="s">
        <v>56</v>
      </c>
      <c r="X915" t="s">
        <v>9</v>
      </c>
    </row>
    <row r="916" spans="1:24">
      <c r="A916" t="s">
        <v>1811</v>
      </c>
      <c r="B916" s="8">
        <v>45670</v>
      </c>
      <c r="C916" t="s">
        <v>406</v>
      </c>
      <c r="D916" t="s">
        <v>855</v>
      </c>
      <c r="E916">
        <v>1</v>
      </c>
      <c r="F916">
        <v>150000</v>
      </c>
      <c r="G916">
        <v>150000</v>
      </c>
      <c r="H916" t="s">
        <v>872</v>
      </c>
      <c r="I916">
        <v>0</v>
      </c>
      <c r="J916">
        <v>15000</v>
      </c>
      <c r="K916">
        <v>165000</v>
      </c>
      <c r="L916" t="s">
        <v>873</v>
      </c>
      <c r="M916" t="s">
        <v>881</v>
      </c>
      <c r="N916" t="s">
        <v>875</v>
      </c>
      <c r="O916" s="9">
        <v>45658</v>
      </c>
      <c r="P916" t="s">
        <v>877</v>
      </c>
      <c r="Q916">
        <v>150000</v>
      </c>
      <c r="R916" t="s">
        <v>856</v>
      </c>
      <c r="S916" t="s">
        <v>747</v>
      </c>
      <c r="T916" t="s">
        <v>748</v>
      </c>
      <c r="U916" t="s">
        <v>407</v>
      </c>
      <c r="V916" t="s">
        <v>7</v>
      </c>
      <c r="W916" t="s">
        <v>39</v>
      </c>
      <c r="X916" t="s">
        <v>15</v>
      </c>
    </row>
    <row r="917" spans="1:24">
      <c r="A917" t="s">
        <v>1812</v>
      </c>
      <c r="B917" s="8">
        <v>45698</v>
      </c>
      <c r="C917" t="s">
        <v>164</v>
      </c>
      <c r="D917" t="s">
        <v>839</v>
      </c>
      <c r="E917">
        <v>2</v>
      </c>
      <c r="F917">
        <v>200000</v>
      </c>
      <c r="G917">
        <v>400000</v>
      </c>
      <c r="H917" t="s">
        <v>886</v>
      </c>
      <c r="I917">
        <v>40000</v>
      </c>
      <c r="J917">
        <v>30000</v>
      </c>
      <c r="K917">
        <v>390000</v>
      </c>
      <c r="L917" t="s">
        <v>889</v>
      </c>
      <c r="M917" t="s">
        <v>903</v>
      </c>
      <c r="N917" t="s">
        <v>875</v>
      </c>
      <c r="O917" s="9">
        <v>45689</v>
      </c>
      <c r="P917" t="s">
        <v>877</v>
      </c>
      <c r="Q917">
        <v>360000</v>
      </c>
      <c r="R917" t="s">
        <v>840</v>
      </c>
      <c r="S917" t="s">
        <v>739</v>
      </c>
      <c r="T917" t="s">
        <v>740</v>
      </c>
      <c r="U917" t="s">
        <v>165</v>
      </c>
      <c r="V917" t="s">
        <v>7</v>
      </c>
      <c r="W917" t="s">
        <v>51</v>
      </c>
      <c r="X917" t="s">
        <v>24</v>
      </c>
    </row>
    <row r="918" spans="1:24">
      <c r="A918" t="s">
        <v>1813</v>
      </c>
      <c r="B918" s="8">
        <v>45832</v>
      </c>
      <c r="C918" t="s">
        <v>606</v>
      </c>
      <c r="D918" t="s">
        <v>813</v>
      </c>
      <c r="E918">
        <v>1</v>
      </c>
      <c r="F918">
        <v>35000</v>
      </c>
      <c r="G918">
        <v>35000</v>
      </c>
      <c r="H918" t="s">
        <v>879</v>
      </c>
      <c r="I918">
        <v>7000</v>
      </c>
      <c r="J918">
        <v>15000</v>
      </c>
      <c r="K918">
        <v>43000</v>
      </c>
      <c r="L918" t="s">
        <v>884</v>
      </c>
      <c r="M918" t="s">
        <v>903</v>
      </c>
      <c r="N918" t="s">
        <v>921</v>
      </c>
      <c r="O918" s="9">
        <v>45809</v>
      </c>
      <c r="P918" t="s">
        <v>892</v>
      </c>
      <c r="Q918">
        <v>28000</v>
      </c>
      <c r="R918" t="s">
        <v>814</v>
      </c>
      <c r="S918" t="s">
        <v>735</v>
      </c>
      <c r="T918" t="s">
        <v>736</v>
      </c>
      <c r="U918" t="s">
        <v>607</v>
      </c>
      <c r="V918" t="s">
        <v>23</v>
      </c>
      <c r="W918" t="s">
        <v>46</v>
      </c>
      <c r="X918" t="s">
        <v>24</v>
      </c>
    </row>
    <row r="919" spans="1:24">
      <c r="A919" t="s">
        <v>1814</v>
      </c>
      <c r="B919" s="8">
        <v>45711</v>
      </c>
      <c r="C919" t="s">
        <v>570</v>
      </c>
      <c r="D919" t="s">
        <v>765</v>
      </c>
      <c r="E919">
        <v>4</v>
      </c>
      <c r="F919">
        <v>500000</v>
      </c>
      <c r="G919">
        <v>2000000</v>
      </c>
      <c r="H919" t="s">
        <v>883</v>
      </c>
      <c r="I919">
        <v>200000</v>
      </c>
      <c r="J919">
        <v>25000</v>
      </c>
      <c r="K919">
        <v>1825000</v>
      </c>
      <c r="L919" t="s">
        <v>873</v>
      </c>
      <c r="M919" t="s">
        <v>903</v>
      </c>
      <c r="N919" t="s">
        <v>875</v>
      </c>
      <c r="O919" s="9">
        <v>45689</v>
      </c>
      <c r="P919" t="s">
        <v>877</v>
      </c>
      <c r="Q919">
        <v>1800000</v>
      </c>
      <c r="R919" t="s">
        <v>766</v>
      </c>
      <c r="S919" t="s">
        <v>735</v>
      </c>
      <c r="T919" t="s">
        <v>736</v>
      </c>
      <c r="U919" t="s">
        <v>571</v>
      </c>
      <c r="V919" t="s">
        <v>23</v>
      </c>
      <c r="W919" t="s">
        <v>56</v>
      </c>
      <c r="X919" t="s">
        <v>9</v>
      </c>
    </row>
    <row r="920" spans="1:24">
      <c r="A920" t="s">
        <v>1815</v>
      </c>
      <c r="B920" s="8">
        <v>45815</v>
      </c>
      <c r="C920" t="s">
        <v>91</v>
      </c>
      <c r="D920" t="s">
        <v>845</v>
      </c>
      <c r="E920">
        <v>1</v>
      </c>
      <c r="F920">
        <v>300000</v>
      </c>
      <c r="G920">
        <v>300000</v>
      </c>
      <c r="H920" t="s">
        <v>895</v>
      </c>
      <c r="I920">
        <v>45000</v>
      </c>
      <c r="J920">
        <v>25000</v>
      </c>
      <c r="K920">
        <v>280000</v>
      </c>
      <c r="L920" t="s">
        <v>889</v>
      </c>
      <c r="M920" t="s">
        <v>874</v>
      </c>
      <c r="N920" t="s">
        <v>875</v>
      </c>
      <c r="O920" s="9">
        <v>45809</v>
      </c>
      <c r="P920" t="s">
        <v>877</v>
      </c>
      <c r="Q920">
        <v>255000</v>
      </c>
      <c r="R920" t="s">
        <v>846</v>
      </c>
      <c r="S920" t="s">
        <v>727</v>
      </c>
      <c r="T920" t="s">
        <v>728</v>
      </c>
      <c r="U920" t="s">
        <v>92</v>
      </c>
      <c r="V920" t="s">
        <v>23</v>
      </c>
      <c r="W920" t="s">
        <v>8</v>
      </c>
      <c r="X920" t="s">
        <v>15</v>
      </c>
    </row>
    <row r="921" spans="1:24">
      <c r="A921" t="s">
        <v>1816</v>
      </c>
      <c r="B921" s="8">
        <v>45725</v>
      </c>
      <c r="C921" t="s">
        <v>496</v>
      </c>
      <c r="D921" t="s">
        <v>753</v>
      </c>
      <c r="E921">
        <v>4</v>
      </c>
      <c r="F921">
        <v>300000</v>
      </c>
      <c r="G921">
        <v>1200000</v>
      </c>
      <c r="H921" t="s">
        <v>895</v>
      </c>
      <c r="I921">
        <v>180000</v>
      </c>
      <c r="J921">
        <v>25000</v>
      </c>
      <c r="K921">
        <v>1045000</v>
      </c>
      <c r="L921" t="s">
        <v>884</v>
      </c>
      <c r="M921" t="s">
        <v>881</v>
      </c>
      <c r="N921" t="s">
        <v>890</v>
      </c>
      <c r="O921" s="9">
        <v>45717</v>
      </c>
      <c r="P921" t="s">
        <v>892</v>
      </c>
      <c r="Q921">
        <v>1020000</v>
      </c>
      <c r="R921" t="s">
        <v>754</v>
      </c>
      <c r="S921" t="s">
        <v>735</v>
      </c>
      <c r="T921" t="s">
        <v>736</v>
      </c>
      <c r="U921" t="s">
        <v>497</v>
      </c>
      <c r="V921" t="s">
        <v>7</v>
      </c>
      <c r="W921" t="s">
        <v>56</v>
      </c>
      <c r="X921" t="s">
        <v>24</v>
      </c>
    </row>
    <row r="922" spans="1:24">
      <c r="A922" t="s">
        <v>1817</v>
      </c>
      <c r="B922" s="8">
        <v>45809</v>
      </c>
      <c r="C922" t="s">
        <v>454</v>
      </c>
      <c r="D922" t="s">
        <v>795</v>
      </c>
      <c r="E922">
        <v>1</v>
      </c>
      <c r="F922">
        <v>100000</v>
      </c>
      <c r="G922">
        <v>100000</v>
      </c>
      <c r="H922" t="s">
        <v>872</v>
      </c>
      <c r="I922">
        <v>0</v>
      </c>
      <c r="J922">
        <v>15000</v>
      </c>
      <c r="K922">
        <v>115000</v>
      </c>
      <c r="L922" t="s">
        <v>884</v>
      </c>
      <c r="M922" t="s">
        <v>903</v>
      </c>
      <c r="N922" t="s">
        <v>875</v>
      </c>
      <c r="O922" s="9">
        <v>45809</v>
      </c>
      <c r="P922" t="s">
        <v>877</v>
      </c>
      <c r="Q922">
        <v>100000</v>
      </c>
      <c r="R922" t="s">
        <v>796</v>
      </c>
      <c r="S922" t="s">
        <v>747</v>
      </c>
      <c r="T922" t="s">
        <v>748</v>
      </c>
      <c r="U922" t="s">
        <v>455</v>
      </c>
      <c r="V922" t="s">
        <v>23</v>
      </c>
      <c r="W922" t="s">
        <v>137</v>
      </c>
      <c r="X922" t="s">
        <v>9</v>
      </c>
    </row>
    <row r="923" spans="1:24">
      <c r="A923" t="s">
        <v>1818</v>
      </c>
      <c r="B923" s="8">
        <v>45728</v>
      </c>
      <c r="C923" t="s">
        <v>502</v>
      </c>
      <c r="D923" t="s">
        <v>787</v>
      </c>
      <c r="E923">
        <v>3</v>
      </c>
      <c r="F923">
        <v>200000</v>
      </c>
      <c r="G923">
        <v>600000</v>
      </c>
      <c r="H923" t="s">
        <v>895</v>
      </c>
      <c r="I923">
        <v>90000</v>
      </c>
      <c r="J923">
        <v>10000</v>
      </c>
      <c r="K923">
        <v>520000</v>
      </c>
      <c r="L923" t="s">
        <v>873</v>
      </c>
      <c r="M923" t="s">
        <v>903</v>
      </c>
      <c r="N923" t="s">
        <v>875</v>
      </c>
      <c r="O923" s="9">
        <v>45717</v>
      </c>
      <c r="P923" t="s">
        <v>877</v>
      </c>
      <c r="Q923">
        <v>510000</v>
      </c>
      <c r="R923" t="s">
        <v>788</v>
      </c>
      <c r="S923" t="s">
        <v>731</v>
      </c>
      <c r="T923" t="s">
        <v>732</v>
      </c>
      <c r="U923" t="s">
        <v>503</v>
      </c>
      <c r="V923" t="s">
        <v>7</v>
      </c>
      <c r="W923" t="s">
        <v>56</v>
      </c>
      <c r="X923" t="s">
        <v>24</v>
      </c>
    </row>
    <row r="924" spans="1:24">
      <c r="A924" t="s">
        <v>1819</v>
      </c>
      <c r="B924" s="8">
        <v>45766</v>
      </c>
      <c r="C924" t="s">
        <v>548</v>
      </c>
      <c r="D924" t="s">
        <v>797</v>
      </c>
      <c r="E924">
        <v>4</v>
      </c>
      <c r="F924">
        <v>150000</v>
      </c>
      <c r="G924">
        <v>600000</v>
      </c>
      <c r="H924" t="s">
        <v>872</v>
      </c>
      <c r="I924">
        <v>0</v>
      </c>
      <c r="J924">
        <v>25000</v>
      </c>
      <c r="K924">
        <v>625000</v>
      </c>
      <c r="L924" t="s">
        <v>873</v>
      </c>
      <c r="M924" t="s">
        <v>881</v>
      </c>
      <c r="N924" t="s">
        <v>890</v>
      </c>
      <c r="O924" s="9">
        <v>45748</v>
      </c>
      <c r="P924" t="s">
        <v>892</v>
      </c>
      <c r="Q924">
        <v>600000</v>
      </c>
      <c r="R924" t="s">
        <v>798</v>
      </c>
      <c r="S924" t="s">
        <v>727</v>
      </c>
      <c r="T924" t="s">
        <v>728</v>
      </c>
      <c r="U924" t="s">
        <v>549</v>
      </c>
      <c r="V924" t="s">
        <v>23</v>
      </c>
      <c r="W924" t="s">
        <v>12</v>
      </c>
      <c r="X924" t="s">
        <v>9</v>
      </c>
    </row>
    <row r="925" spans="1:24">
      <c r="A925" t="s">
        <v>1820</v>
      </c>
      <c r="B925" s="8">
        <v>45691</v>
      </c>
      <c r="C925" t="s">
        <v>344</v>
      </c>
      <c r="D925" t="s">
        <v>765</v>
      </c>
      <c r="E925">
        <v>3</v>
      </c>
      <c r="F925">
        <v>500000</v>
      </c>
      <c r="G925">
        <v>1500000</v>
      </c>
      <c r="H925" t="s">
        <v>895</v>
      </c>
      <c r="I925">
        <v>225000</v>
      </c>
      <c r="J925">
        <v>10000</v>
      </c>
      <c r="K925">
        <v>1285000</v>
      </c>
      <c r="L925" t="s">
        <v>889</v>
      </c>
      <c r="M925" t="s">
        <v>874</v>
      </c>
      <c r="N925" t="s">
        <v>875</v>
      </c>
      <c r="O925" s="9">
        <v>45689</v>
      </c>
      <c r="P925" t="s">
        <v>877</v>
      </c>
      <c r="Q925">
        <v>1275000</v>
      </c>
      <c r="R925" t="s">
        <v>766</v>
      </c>
      <c r="S925" t="s">
        <v>735</v>
      </c>
      <c r="T925" t="s">
        <v>736</v>
      </c>
      <c r="U925" t="s">
        <v>345</v>
      </c>
      <c r="V925" t="s">
        <v>23</v>
      </c>
      <c r="W925" t="s">
        <v>137</v>
      </c>
      <c r="X925" t="s">
        <v>24</v>
      </c>
    </row>
    <row r="926" spans="1:24">
      <c r="A926" t="s">
        <v>1821</v>
      </c>
      <c r="B926" s="8">
        <v>45813</v>
      </c>
      <c r="C926" t="s">
        <v>464</v>
      </c>
      <c r="D926" t="s">
        <v>777</v>
      </c>
      <c r="E926">
        <v>3</v>
      </c>
      <c r="F926">
        <v>200000</v>
      </c>
      <c r="G926">
        <v>600000</v>
      </c>
      <c r="H926" t="s">
        <v>886</v>
      </c>
      <c r="I926">
        <v>60000</v>
      </c>
      <c r="J926">
        <v>25000</v>
      </c>
      <c r="K926">
        <v>565000</v>
      </c>
      <c r="L926" t="s">
        <v>884</v>
      </c>
      <c r="M926" t="s">
        <v>881</v>
      </c>
      <c r="N926" t="s">
        <v>905</v>
      </c>
      <c r="O926" s="9">
        <v>45809</v>
      </c>
      <c r="P926" t="s">
        <v>892</v>
      </c>
      <c r="Q926">
        <v>540000</v>
      </c>
      <c r="R926" t="s">
        <v>778</v>
      </c>
      <c r="S926" t="s">
        <v>735</v>
      </c>
      <c r="T926" t="s">
        <v>736</v>
      </c>
      <c r="U926" t="s">
        <v>465</v>
      </c>
      <c r="V926" t="s">
        <v>23</v>
      </c>
      <c r="W926" t="s">
        <v>12</v>
      </c>
      <c r="X926" t="s">
        <v>9</v>
      </c>
    </row>
    <row r="927" spans="1:24">
      <c r="A927" t="s">
        <v>1822</v>
      </c>
      <c r="B927" s="8">
        <v>45730</v>
      </c>
      <c r="C927" t="s">
        <v>69</v>
      </c>
      <c r="D927" t="s">
        <v>771</v>
      </c>
      <c r="E927">
        <v>2</v>
      </c>
      <c r="F927">
        <v>500000</v>
      </c>
      <c r="G927">
        <v>1000000</v>
      </c>
      <c r="H927" t="s">
        <v>872</v>
      </c>
      <c r="I927">
        <v>0</v>
      </c>
      <c r="J927">
        <v>20000</v>
      </c>
      <c r="K927">
        <v>1020000</v>
      </c>
      <c r="L927" t="s">
        <v>884</v>
      </c>
      <c r="M927" t="s">
        <v>874</v>
      </c>
      <c r="N927" t="s">
        <v>875</v>
      </c>
      <c r="O927" s="9">
        <v>45717</v>
      </c>
      <c r="P927" t="s">
        <v>877</v>
      </c>
      <c r="Q927">
        <v>1000000</v>
      </c>
      <c r="R927" t="s">
        <v>772</v>
      </c>
      <c r="S927" t="s">
        <v>747</v>
      </c>
      <c r="T927" t="s">
        <v>748</v>
      </c>
      <c r="U927" t="s">
        <v>70</v>
      </c>
      <c r="V927" t="s">
        <v>7</v>
      </c>
      <c r="W927" t="s">
        <v>29</v>
      </c>
      <c r="X927" t="s">
        <v>9</v>
      </c>
    </row>
    <row r="928" spans="1:24">
      <c r="A928" t="s">
        <v>1823</v>
      </c>
      <c r="B928" s="8">
        <v>45735</v>
      </c>
      <c r="C928" t="s">
        <v>714</v>
      </c>
      <c r="D928" t="s">
        <v>851</v>
      </c>
      <c r="E928">
        <v>2</v>
      </c>
      <c r="F928">
        <v>35000</v>
      </c>
      <c r="G928">
        <v>70000</v>
      </c>
      <c r="H928" t="s">
        <v>883</v>
      </c>
      <c r="I928">
        <v>7000</v>
      </c>
      <c r="J928">
        <v>15000</v>
      </c>
      <c r="K928">
        <v>78000</v>
      </c>
      <c r="L928" t="s">
        <v>880</v>
      </c>
      <c r="M928" t="s">
        <v>881</v>
      </c>
      <c r="N928" t="s">
        <v>875</v>
      </c>
      <c r="O928" s="9">
        <v>45717</v>
      </c>
      <c r="P928" t="s">
        <v>877</v>
      </c>
      <c r="Q928">
        <v>63000</v>
      </c>
      <c r="R928" t="s">
        <v>852</v>
      </c>
      <c r="S928" t="s">
        <v>739</v>
      </c>
      <c r="T928" t="s">
        <v>740</v>
      </c>
      <c r="U928" t="s">
        <v>715</v>
      </c>
      <c r="V928" t="s">
        <v>23</v>
      </c>
      <c r="W928" t="s">
        <v>29</v>
      </c>
      <c r="X928" t="s">
        <v>9</v>
      </c>
    </row>
    <row r="929" spans="1:24">
      <c r="A929" t="s">
        <v>1824</v>
      </c>
      <c r="B929" s="8">
        <v>45681</v>
      </c>
      <c r="C929" t="s">
        <v>69</v>
      </c>
      <c r="D929" t="s">
        <v>825</v>
      </c>
      <c r="E929">
        <v>2</v>
      </c>
      <c r="F929">
        <v>100000</v>
      </c>
      <c r="G929">
        <v>200000</v>
      </c>
      <c r="H929" t="s">
        <v>886</v>
      </c>
      <c r="I929">
        <v>20000</v>
      </c>
      <c r="J929">
        <v>10000</v>
      </c>
      <c r="K929">
        <v>190000</v>
      </c>
      <c r="L929" t="s">
        <v>884</v>
      </c>
      <c r="M929" t="s">
        <v>874</v>
      </c>
      <c r="N929" t="s">
        <v>875</v>
      </c>
      <c r="O929" s="9">
        <v>45658</v>
      </c>
      <c r="P929" t="s">
        <v>877</v>
      </c>
      <c r="Q929">
        <v>180000</v>
      </c>
      <c r="R929" t="s">
        <v>826</v>
      </c>
      <c r="S929" t="s">
        <v>735</v>
      </c>
      <c r="T929" t="s">
        <v>736</v>
      </c>
      <c r="U929" t="s">
        <v>70</v>
      </c>
      <c r="V929" t="s">
        <v>7</v>
      </c>
      <c r="W929" t="s">
        <v>29</v>
      </c>
      <c r="X929" t="s">
        <v>9</v>
      </c>
    </row>
    <row r="930" spans="1:24">
      <c r="A930" t="s">
        <v>1825</v>
      </c>
      <c r="B930" s="8">
        <v>45725</v>
      </c>
      <c r="C930" t="s">
        <v>105</v>
      </c>
      <c r="D930" t="s">
        <v>825</v>
      </c>
      <c r="E930">
        <v>2</v>
      </c>
      <c r="F930">
        <v>100000</v>
      </c>
      <c r="G930">
        <v>200000</v>
      </c>
      <c r="H930" t="s">
        <v>879</v>
      </c>
      <c r="I930">
        <v>40000</v>
      </c>
      <c r="J930">
        <v>15000</v>
      </c>
      <c r="K930">
        <v>175000</v>
      </c>
      <c r="L930" t="s">
        <v>884</v>
      </c>
      <c r="M930" t="s">
        <v>901</v>
      </c>
      <c r="N930" t="s">
        <v>875</v>
      </c>
      <c r="O930" s="9">
        <v>45717</v>
      </c>
      <c r="P930" t="s">
        <v>877</v>
      </c>
      <c r="Q930">
        <v>160000</v>
      </c>
      <c r="R930" t="s">
        <v>826</v>
      </c>
      <c r="S930" t="s">
        <v>735</v>
      </c>
      <c r="T930" t="s">
        <v>736</v>
      </c>
      <c r="U930" t="s">
        <v>106</v>
      </c>
      <c r="V930" t="s">
        <v>23</v>
      </c>
      <c r="W930" t="s">
        <v>8</v>
      </c>
      <c r="X930" t="s">
        <v>15</v>
      </c>
    </row>
    <row r="931" spans="1:24">
      <c r="A931" t="s">
        <v>1826</v>
      </c>
      <c r="B931" s="8">
        <v>45746</v>
      </c>
      <c r="C931" t="s">
        <v>414</v>
      </c>
      <c r="D931" t="s">
        <v>787</v>
      </c>
      <c r="E931">
        <v>1</v>
      </c>
      <c r="F931">
        <v>200000</v>
      </c>
      <c r="G931">
        <v>200000</v>
      </c>
      <c r="H931" t="s">
        <v>872</v>
      </c>
      <c r="I931">
        <v>0</v>
      </c>
      <c r="J931">
        <v>20000</v>
      </c>
      <c r="K931">
        <v>220000</v>
      </c>
      <c r="L931" t="s">
        <v>873</v>
      </c>
      <c r="M931" t="s">
        <v>901</v>
      </c>
      <c r="N931" t="s">
        <v>875</v>
      </c>
      <c r="O931" s="9">
        <v>45717</v>
      </c>
      <c r="P931" t="s">
        <v>877</v>
      </c>
      <c r="Q931">
        <v>200000</v>
      </c>
      <c r="R931" t="s">
        <v>788</v>
      </c>
      <c r="S931" t="s">
        <v>731</v>
      </c>
      <c r="T931" t="s">
        <v>732</v>
      </c>
      <c r="U931" t="s">
        <v>415</v>
      </c>
      <c r="V931" t="s">
        <v>23</v>
      </c>
      <c r="W931" t="s">
        <v>39</v>
      </c>
      <c r="X931" t="s">
        <v>24</v>
      </c>
    </row>
    <row r="932" spans="1:24">
      <c r="A932" t="s">
        <v>1827</v>
      </c>
      <c r="B932" s="8">
        <v>45698</v>
      </c>
      <c r="C932" t="s">
        <v>348</v>
      </c>
      <c r="D932" t="s">
        <v>837</v>
      </c>
      <c r="E932">
        <v>4</v>
      </c>
      <c r="F932">
        <v>300000</v>
      </c>
      <c r="G932">
        <v>1200000</v>
      </c>
      <c r="H932" t="s">
        <v>886</v>
      </c>
      <c r="I932">
        <v>120000</v>
      </c>
      <c r="J932">
        <v>15000</v>
      </c>
      <c r="K932">
        <v>1095000</v>
      </c>
      <c r="L932" t="s">
        <v>880</v>
      </c>
      <c r="M932" t="s">
        <v>874</v>
      </c>
      <c r="N932" t="s">
        <v>911</v>
      </c>
      <c r="O932" s="9">
        <v>45689</v>
      </c>
      <c r="P932" t="s">
        <v>892</v>
      </c>
      <c r="Q932">
        <v>1080000</v>
      </c>
      <c r="R932" t="s">
        <v>838</v>
      </c>
      <c r="S932" t="s">
        <v>735</v>
      </c>
      <c r="T932" t="s">
        <v>736</v>
      </c>
      <c r="U932" t="s">
        <v>349</v>
      </c>
      <c r="V932" t="s">
        <v>23</v>
      </c>
      <c r="W932" t="s">
        <v>56</v>
      </c>
      <c r="X932" t="s">
        <v>9</v>
      </c>
    </row>
    <row r="933" spans="1:24">
      <c r="A933" t="s">
        <v>1828</v>
      </c>
      <c r="B933" s="8">
        <v>45759</v>
      </c>
      <c r="C933" t="s">
        <v>686</v>
      </c>
      <c r="D933" t="s">
        <v>833</v>
      </c>
      <c r="E933">
        <v>1</v>
      </c>
      <c r="F933">
        <v>200000</v>
      </c>
      <c r="G933">
        <v>200000</v>
      </c>
      <c r="H933" t="s">
        <v>872</v>
      </c>
      <c r="I933">
        <v>0</v>
      </c>
      <c r="J933">
        <v>25000</v>
      </c>
      <c r="K933">
        <v>225000</v>
      </c>
      <c r="L933" t="s">
        <v>884</v>
      </c>
      <c r="M933" t="s">
        <v>881</v>
      </c>
      <c r="N933" t="s">
        <v>875</v>
      </c>
      <c r="O933" s="9">
        <v>45748</v>
      </c>
      <c r="P933" t="s">
        <v>877</v>
      </c>
      <c r="Q933">
        <v>200000</v>
      </c>
      <c r="R933" t="s">
        <v>834</v>
      </c>
      <c r="S933" t="s">
        <v>727</v>
      </c>
      <c r="T933" t="s">
        <v>728</v>
      </c>
      <c r="U933" t="s">
        <v>687</v>
      </c>
      <c r="V933" t="s">
        <v>23</v>
      </c>
      <c r="W933" t="s">
        <v>29</v>
      </c>
      <c r="X933" t="s">
        <v>9</v>
      </c>
    </row>
    <row r="934" spans="1:24">
      <c r="A934" t="s">
        <v>1829</v>
      </c>
      <c r="B934" s="8">
        <v>45680</v>
      </c>
      <c r="C934" t="s">
        <v>113</v>
      </c>
      <c r="D934" t="s">
        <v>825</v>
      </c>
      <c r="E934">
        <v>3</v>
      </c>
      <c r="F934">
        <v>100000</v>
      </c>
      <c r="G934">
        <v>300000</v>
      </c>
      <c r="H934" t="s">
        <v>872</v>
      </c>
      <c r="I934">
        <v>0</v>
      </c>
      <c r="J934">
        <v>10000</v>
      </c>
      <c r="K934">
        <v>310000</v>
      </c>
      <c r="L934" t="s">
        <v>873</v>
      </c>
      <c r="M934" t="s">
        <v>881</v>
      </c>
      <c r="N934" t="s">
        <v>875</v>
      </c>
      <c r="O934" s="9">
        <v>45658</v>
      </c>
      <c r="P934" t="s">
        <v>877</v>
      </c>
      <c r="Q934">
        <v>300000</v>
      </c>
      <c r="R934" t="s">
        <v>826</v>
      </c>
      <c r="S934" t="s">
        <v>735</v>
      </c>
      <c r="T934" t="s">
        <v>736</v>
      </c>
      <c r="U934" t="s">
        <v>114</v>
      </c>
      <c r="V934" t="s">
        <v>23</v>
      </c>
      <c r="W934" t="s">
        <v>39</v>
      </c>
      <c r="X934" t="s">
        <v>24</v>
      </c>
    </row>
    <row r="935" spans="1:24">
      <c r="A935" t="s">
        <v>1830</v>
      </c>
      <c r="B935" s="8">
        <v>45728</v>
      </c>
      <c r="C935" t="s">
        <v>111</v>
      </c>
      <c r="D935" t="s">
        <v>849</v>
      </c>
      <c r="E935">
        <v>4</v>
      </c>
      <c r="F935">
        <v>500000</v>
      </c>
      <c r="G935">
        <v>2000000</v>
      </c>
      <c r="H935" t="s">
        <v>879</v>
      </c>
      <c r="I935">
        <v>400000</v>
      </c>
      <c r="J935">
        <v>25000</v>
      </c>
      <c r="K935">
        <v>1625000</v>
      </c>
      <c r="L935" t="s">
        <v>889</v>
      </c>
      <c r="M935" t="s">
        <v>901</v>
      </c>
      <c r="N935" t="s">
        <v>875</v>
      </c>
      <c r="O935" s="9">
        <v>45717</v>
      </c>
      <c r="P935" t="s">
        <v>877</v>
      </c>
      <c r="Q935">
        <v>1600000</v>
      </c>
      <c r="R935" t="s">
        <v>850</v>
      </c>
      <c r="S935" t="s">
        <v>735</v>
      </c>
      <c r="T935" t="s">
        <v>736</v>
      </c>
      <c r="U935" t="s">
        <v>112</v>
      </c>
      <c r="V935" t="s">
        <v>23</v>
      </c>
      <c r="W935" t="s">
        <v>51</v>
      </c>
      <c r="X935" t="s">
        <v>15</v>
      </c>
    </row>
    <row r="936" spans="1:24">
      <c r="A936" t="s">
        <v>1831</v>
      </c>
      <c r="B936" s="8">
        <v>45681</v>
      </c>
      <c r="C936" t="s">
        <v>460</v>
      </c>
      <c r="D936" t="s">
        <v>753</v>
      </c>
      <c r="E936">
        <v>1</v>
      </c>
      <c r="F936">
        <v>300000</v>
      </c>
      <c r="G936">
        <v>300000</v>
      </c>
      <c r="H936" t="s">
        <v>886</v>
      </c>
      <c r="I936">
        <v>30000</v>
      </c>
      <c r="J936">
        <v>10000</v>
      </c>
      <c r="K936">
        <v>280000</v>
      </c>
      <c r="L936" t="s">
        <v>880</v>
      </c>
      <c r="M936" t="s">
        <v>903</v>
      </c>
      <c r="N936" t="s">
        <v>875</v>
      </c>
      <c r="O936" s="9">
        <v>45658</v>
      </c>
      <c r="P936" t="s">
        <v>877</v>
      </c>
      <c r="Q936">
        <v>270000</v>
      </c>
      <c r="R936" t="s">
        <v>754</v>
      </c>
      <c r="S936" t="s">
        <v>735</v>
      </c>
      <c r="T936" t="s">
        <v>736</v>
      </c>
      <c r="U936" t="s">
        <v>461</v>
      </c>
      <c r="V936" t="s">
        <v>23</v>
      </c>
      <c r="W936" t="s">
        <v>51</v>
      </c>
      <c r="X936" t="s">
        <v>9</v>
      </c>
    </row>
    <row r="937" spans="1:24">
      <c r="A937" t="s">
        <v>1832</v>
      </c>
      <c r="B937" s="8">
        <v>45750</v>
      </c>
      <c r="C937" t="s">
        <v>224</v>
      </c>
      <c r="D937" t="s">
        <v>855</v>
      </c>
      <c r="E937">
        <v>1</v>
      </c>
      <c r="F937">
        <v>150000</v>
      </c>
      <c r="G937">
        <v>150000</v>
      </c>
      <c r="H937" t="s">
        <v>872</v>
      </c>
      <c r="I937">
        <v>0</v>
      </c>
      <c r="J937">
        <v>15000</v>
      </c>
      <c r="K937">
        <v>165000</v>
      </c>
      <c r="L937" t="s">
        <v>884</v>
      </c>
      <c r="M937" t="s">
        <v>874</v>
      </c>
      <c r="N937" t="s">
        <v>875</v>
      </c>
      <c r="O937" s="9">
        <v>45748</v>
      </c>
      <c r="P937" t="s">
        <v>877</v>
      </c>
      <c r="Q937">
        <v>150000</v>
      </c>
      <c r="R937" t="s">
        <v>856</v>
      </c>
      <c r="S937" t="s">
        <v>747</v>
      </c>
      <c r="T937" t="s">
        <v>748</v>
      </c>
      <c r="U937" t="s">
        <v>225</v>
      </c>
      <c r="V937" t="s">
        <v>23</v>
      </c>
      <c r="W937" t="s">
        <v>137</v>
      </c>
      <c r="X937" t="s">
        <v>9</v>
      </c>
    </row>
    <row r="938" spans="1:24">
      <c r="A938" t="s">
        <v>1833</v>
      </c>
      <c r="B938" s="8">
        <v>45800</v>
      </c>
      <c r="C938" t="s">
        <v>10</v>
      </c>
      <c r="D938" t="s">
        <v>783</v>
      </c>
      <c r="E938">
        <v>3</v>
      </c>
      <c r="F938">
        <v>500000</v>
      </c>
      <c r="G938">
        <v>1500000</v>
      </c>
      <c r="H938" t="s">
        <v>895</v>
      </c>
      <c r="I938">
        <v>225000</v>
      </c>
      <c r="J938">
        <v>30000</v>
      </c>
      <c r="K938">
        <v>1305000</v>
      </c>
      <c r="L938" t="s">
        <v>889</v>
      </c>
      <c r="M938" t="s">
        <v>903</v>
      </c>
      <c r="N938" t="s">
        <v>911</v>
      </c>
      <c r="O938" s="9">
        <v>45778</v>
      </c>
      <c r="P938" t="s">
        <v>892</v>
      </c>
      <c r="Q938">
        <v>1275000</v>
      </c>
      <c r="R938" t="s">
        <v>784</v>
      </c>
      <c r="S938" t="s">
        <v>747</v>
      </c>
      <c r="T938" t="s">
        <v>748</v>
      </c>
      <c r="U938" t="s">
        <v>11</v>
      </c>
      <c r="V938" t="s">
        <v>7</v>
      </c>
      <c r="W938" t="s">
        <v>12</v>
      </c>
      <c r="X938" t="s">
        <v>9</v>
      </c>
    </row>
    <row r="939" spans="1:24">
      <c r="A939" t="s">
        <v>1834</v>
      </c>
      <c r="B939" s="8">
        <v>45748</v>
      </c>
      <c r="C939" t="s">
        <v>352</v>
      </c>
      <c r="D939" t="s">
        <v>765</v>
      </c>
      <c r="E939">
        <v>1</v>
      </c>
      <c r="F939">
        <v>500000</v>
      </c>
      <c r="G939">
        <v>500000</v>
      </c>
      <c r="H939" t="s">
        <v>879</v>
      </c>
      <c r="I939">
        <v>100000</v>
      </c>
      <c r="J939">
        <v>15000</v>
      </c>
      <c r="K939">
        <v>415000</v>
      </c>
      <c r="L939" t="s">
        <v>884</v>
      </c>
      <c r="M939" t="s">
        <v>901</v>
      </c>
      <c r="N939" t="s">
        <v>875</v>
      </c>
      <c r="O939" s="9">
        <v>45748</v>
      </c>
      <c r="P939" t="s">
        <v>877</v>
      </c>
      <c r="Q939">
        <v>400000</v>
      </c>
      <c r="R939" t="s">
        <v>766</v>
      </c>
      <c r="S939" t="s">
        <v>735</v>
      </c>
      <c r="T939" t="s">
        <v>736</v>
      </c>
      <c r="U939" t="s">
        <v>353</v>
      </c>
      <c r="V939" t="s">
        <v>7</v>
      </c>
      <c r="W939" t="s">
        <v>39</v>
      </c>
      <c r="X939" t="s">
        <v>24</v>
      </c>
    </row>
    <row r="940" spans="1:24">
      <c r="A940" t="s">
        <v>1835</v>
      </c>
      <c r="B940" s="8">
        <v>45767</v>
      </c>
      <c r="C940" t="s">
        <v>166</v>
      </c>
      <c r="D940" t="s">
        <v>853</v>
      </c>
      <c r="E940">
        <v>3</v>
      </c>
      <c r="F940">
        <v>75000</v>
      </c>
      <c r="G940">
        <v>225000</v>
      </c>
      <c r="H940" t="s">
        <v>895</v>
      </c>
      <c r="I940">
        <v>33750</v>
      </c>
      <c r="J940">
        <v>30000</v>
      </c>
      <c r="K940">
        <v>221250</v>
      </c>
      <c r="L940" t="s">
        <v>880</v>
      </c>
      <c r="M940" t="s">
        <v>903</v>
      </c>
      <c r="N940" t="s">
        <v>875</v>
      </c>
      <c r="O940" s="9">
        <v>45748</v>
      </c>
      <c r="P940" t="s">
        <v>877</v>
      </c>
      <c r="Q940">
        <v>191250</v>
      </c>
      <c r="R940" t="s">
        <v>854</v>
      </c>
      <c r="S940" t="s">
        <v>743</v>
      </c>
      <c r="T940" t="s">
        <v>744</v>
      </c>
      <c r="U940" t="s">
        <v>167</v>
      </c>
      <c r="V940" t="s">
        <v>7</v>
      </c>
      <c r="W940" t="s">
        <v>39</v>
      </c>
      <c r="X940" t="s">
        <v>24</v>
      </c>
    </row>
    <row r="941" spans="1:24">
      <c r="A941" t="s">
        <v>1836</v>
      </c>
      <c r="B941" s="8">
        <v>45666</v>
      </c>
      <c r="C941" t="s">
        <v>296</v>
      </c>
      <c r="D941" t="s">
        <v>757</v>
      </c>
      <c r="E941">
        <v>3</v>
      </c>
      <c r="F941">
        <v>75000</v>
      </c>
      <c r="G941">
        <v>225000</v>
      </c>
      <c r="H941" t="s">
        <v>883</v>
      </c>
      <c r="I941">
        <v>22500</v>
      </c>
      <c r="J941">
        <v>30000</v>
      </c>
      <c r="K941">
        <v>232500</v>
      </c>
      <c r="L941" t="s">
        <v>884</v>
      </c>
      <c r="M941" t="s">
        <v>903</v>
      </c>
      <c r="N941" t="s">
        <v>905</v>
      </c>
      <c r="O941" s="9">
        <v>45658</v>
      </c>
      <c r="P941" t="s">
        <v>892</v>
      </c>
      <c r="Q941">
        <v>202500</v>
      </c>
      <c r="R941" t="s">
        <v>758</v>
      </c>
      <c r="S941" t="s">
        <v>743</v>
      </c>
      <c r="T941" t="s">
        <v>744</v>
      </c>
      <c r="U941" t="s">
        <v>297</v>
      </c>
      <c r="V941" t="s">
        <v>7</v>
      </c>
      <c r="W941" t="s">
        <v>137</v>
      </c>
      <c r="X941" t="s">
        <v>24</v>
      </c>
    </row>
    <row r="942" spans="1:24">
      <c r="A942" t="s">
        <v>1837</v>
      </c>
      <c r="B942" s="8">
        <v>45832</v>
      </c>
      <c r="C942" t="s">
        <v>712</v>
      </c>
      <c r="D942" t="s">
        <v>835</v>
      </c>
      <c r="E942">
        <v>2</v>
      </c>
      <c r="F942">
        <v>200000</v>
      </c>
      <c r="G942">
        <v>400000</v>
      </c>
      <c r="H942" t="s">
        <v>872</v>
      </c>
      <c r="I942">
        <v>0</v>
      </c>
      <c r="J942">
        <v>15000</v>
      </c>
      <c r="K942">
        <v>415000</v>
      </c>
      <c r="L942" t="s">
        <v>884</v>
      </c>
      <c r="M942" t="s">
        <v>901</v>
      </c>
      <c r="N942" t="s">
        <v>875</v>
      </c>
      <c r="O942" s="9">
        <v>45809</v>
      </c>
      <c r="P942" t="s">
        <v>877</v>
      </c>
      <c r="Q942">
        <v>400000</v>
      </c>
      <c r="R942" t="s">
        <v>836</v>
      </c>
      <c r="S942" t="s">
        <v>731</v>
      </c>
      <c r="T942" t="s">
        <v>732</v>
      </c>
      <c r="U942" t="s">
        <v>713</v>
      </c>
      <c r="V942" t="s">
        <v>23</v>
      </c>
      <c r="W942" t="s">
        <v>29</v>
      </c>
      <c r="X942" t="s">
        <v>9</v>
      </c>
    </row>
    <row r="943" spans="1:24">
      <c r="A943" t="s">
        <v>1838</v>
      </c>
      <c r="B943" s="8">
        <v>45721</v>
      </c>
      <c r="C943" t="s">
        <v>113</v>
      </c>
      <c r="D943" t="s">
        <v>755</v>
      </c>
      <c r="E943">
        <v>1</v>
      </c>
      <c r="F943">
        <v>50000</v>
      </c>
      <c r="G943">
        <v>50000</v>
      </c>
      <c r="H943" t="s">
        <v>895</v>
      </c>
      <c r="I943">
        <v>7500</v>
      </c>
      <c r="J943">
        <v>10000</v>
      </c>
      <c r="K943">
        <v>52500</v>
      </c>
      <c r="L943" t="s">
        <v>884</v>
      </c>
      <c r="M943" t="s">
        <v>901</v>
      </c>
      <c r="N943" t="s">
        <v>875</v>
      </c>
      <c r="O943" s="9">
        <v>45717</v>
      </c>
      <c r="P943" t="s">
        <v>877</v>
      </c>
      <c r="Q943">
        <v>42500</v>
      </c>
      <c r="R943" t="s">
        <v>756</v>
      </c>
      <c r="S943" t="s">
        <v>739</v>
      </c>
      <c r="T943" t="s">
        <v>740</v>
      </c>
      <c r="U943" t="s">
        <v>114</v>
      </c>
      <c r="V943" t="s">
        <v>23</v>
      </c>
      <c r="W943" t="s">
        <v>39</v>
      </c>
      <c r="X943" t="s">
        <v>24</v>
      </c>
    </row>
    <row r="944" spans="1:24">
      <c r="A944" t="s">
        <v>1839</v>
      </c>
      <c r="B944" s="8">
        <v>45695</v>
      </c>
      <c r="C944" t="s">
        <v>67</v>
      </c>
      <c r="D944" t="s">
        <v>787</v>
      </c>
      <c r="E944">
        <v>2</v>
      </c>
      <c r="F944">
        <v>200000</v>
      </c>
      <c r="G944">
        <v>400000</v>
      </c>
      <c r="H944" t="s">
        <v>883</v>
      </c>
      <c r="I944">
        <v>40000</v>
      </c>
      <c r="J944">
        <v>10000</v>
      </c>
      <c r="K944">
        <v>370000</v>
      </c>
      <c r="L944" t="s">
        <v>873</v>
      </c>
      <c r="M944" t="s">
        <v>881</v>
      </c>
      <c r="N944" t="s">
        <v>875</v>
      </c>
      <c r="O944" s="9">
        <v>45689</v>
      </c>
      <c r="P944" t="s">
        <v>877</v>
      </c>
      <c r="Q944">
        <v>360000</v>
      </c>
      <c r="R944" t="s">
        <v>788</v>
      </c>
      <c r="S944" t="s">
        <v>731</v>
      </c>
      <c r="T944" t="s">
        <v>732</v>
      </c>
      <c r="U944" t="s">
        <v>68</v>
      </c>
      <c r="V944" t="s">
        <v>7</v>
      </c>
      <c r="W944" t="s">
        <v>56</v>
      </c>
      <c r="X944" t="s">
        <v>24</v>
      </c>
    </row>
    <row r="945" spans="1:24">
      <c r="A945" t="s">
        <v>1840</v>
      </c>
      <c r="B945" s="8">
        <v>45834</v>
      </c>
      <c r="C945" t="s">
        <v>113</v>
      </c>
      <c r="D945" t="s">
        <v>751</v>
      </c>
      <c r="E945">
        <v>1</v>
      </c>
      <c r="F945">
        <v>150000</v>
      </c>
      <c r="G945">
        <v>150000</v>
      </c>
      <c r="H945" t="s">
        <v>879</v>
      </c>
      <c r="I945">
        <v>30000</v>
      </c>
      <c r="J945">
        <v>10000</v>
      </c>
      <c r="K945">
        <v>130000</v>
      </c>
      <c r="L945" t="s">
        <v>880</v>
      </c>
      <c r="M945" t="s">
        <v>901</v>
      </c>
      <c r="N945" t="s">
        <v>911</v>
      </c>
      <c r="O945" s="9">
        <v>45809</v>
      </c>
      <c r="P945" t="s">
        <v>892</v>
      </c>
      <c r="Q945">
        <v>120000</v>
      </c>
      <c r="R945" t="s">
        <v>752</v>
      </c>
      <c r="S945" t="s">
        <v>731</v>
      </c>
      <c r="T945" t="s">
        <v>732</v>
      </c>
      <c r="U945" t="s">
        <v>114</v>
      </c>
      <c r="V945" t="s">
        <v>23</v>
      </c>
      <c r="W945" t="s">
        <v>39</v>
      </c>
      <c r="X945" t="s">
        <v>24</v>
      </c>
    </row>
    <row r="946" spans="1:24">
      <c r="A946" t="s">
        <v>1841</v>
      </c>
      <c r="B946" s="8">
        <v>45682</v>
      </c>
      <c r="C946" t="s">
        <v>532</v>
      </c>
      <c r="D946" t="s">
        <v>799</v>
      </c>
      <c r="E946">
        <v>1</v>
      </c>
      <c r="F946">
        <v>35000</v>
      </c>
      <c r="G946">
        <v>35000</v>
      </c>
      <c r="H946" t="s">
        <v>872</v>
      </c>
      <c r="I946">
        <v>0</v>
      </c>
      <c r="J946">
        <v>15000</v>
      </c>
      <c r="K946">
        <v>50000</v>
      </c>
      <c r="L946" t="s">
        <v>889</v>
      </c>
      <c r="M946" t="s">
        <v>874</v>
      </c>
      <c r="N946" t="s">
        <v>921</v>
      </c>
      <c r="O946" s="9">
        <v>45658</v>
      </c>
      <c r="P946" t="s">
        <v>892</v>
      </c>
      <c r="Q946">
        <v>35000</v>
      </c>
      <c r="R946" t="s">
        <v>800</v>
      </c>
      <c r="S946" t="s">
        <v>731</v>
      </c>
      <c r="T946" t="s">
        <v>732</v>
      </c>
      <c r="U946" t="s">
        <v>533</v>
      </c>
      <c r="V946" t="s">
        <v>7</v>
      </c>
      <c r="W946" t="s">
        <v>12</v>
      </c>
      <c r="X946" t="s">
        <v>24</v>
      </c>
    </row>
    <row r="947" spans="1:24">
      <c r="A947" t="s">
        <v>1842</v>
      </c>
      <c r="B947" s="8">
        <v>45659</v>
      </c>
      <c r="C947" t="s">
        <v>676</v>
      </c>
      <c r="D947" t="s">
        <v>847</v>
      </c>
      <c r="E947">
        <v>1</v>
      </c>
      <c r="F947">
        <v>100000</v>
      </c>
      <c r="G947">
        <v>100000</v>
      </c>
      <c r="H947" t="s">
        <v>895</v>
      </c>
      <c r="I947">
        <v>15000</v>
      </c>
      <c r="J947">
        <v>25000</v>
      </c>
      <c r="K947">
        <v>110000</v>
      </c>
      <c r="L947" t="s">
        <v>884</v>
      </c>
      <c r="M947" t="s">
        <v>901</v>
      </c>
      <c r="N947" t="s">
        <v>875</v>
      </c>
      <c r="O947" s="9">
        <v>45658</v>
      </c>
      <c r="P947" t="s">
        <v>877</v>
      </c>
      <c r="Q947">
        <v>85000</v>
      </c>
      <c r="R947" t="s">
        <v>848</v>
      </c>
      <c r="S947" t="s">
        <v>731</v>
      </c>
      <c r="T947" t="s">
        <v>732</v>
      </c>
      <c r="U947" t="s">
        <v>677</v>
      </c>
      <c r="V947" t="s">
        <v>7</v>
      </c>
      <c r="W947" t="s">
        <v>29</v>
      </c>
      <c r="X947" t="s">
        <v>15</v>
      </c>
    </row>
    <row r="948" spans="1:24">
      <c r="A948" t="s">
        <v>1843</v>
      </c>
      <c r="B948" s="8">
        <v>45805</v>
      </c>
      <c r="C948" t="s">
        <v>280</v>
      </c>
      <c r="D948" t="s">
        <v>821</v>
      </c>
      <c r="E948">
        <v>1</v>
      </c>
      <c r="F948">
        <v>50000</v>
      </c>
      <c r="G948">
        <v>50000</v>
      </c>
      <c r="H948" t="s">
        <v>879</v>
      </c>
      <c r="I948">
        <v>10000</v>
      </c>
      <c r="J948">
        <v>10000</v>
      </c>
      <c r="K948">
        <v>50000</v>
      </c>
      <c r="L948" t="s">
        <v>884</v>
      </c>
      <c r="M948" t="s">
        <v>901</v>
      </c>
      <c r="N948" t="s">
        <v>875</v>
      </c>
      <c r="O948" s="9">
        <v>45778</v>
      </c>
      <c r="P948" t="s">
        <v>877</v>
      </c>
      <c r="Q948">
        <v>40000</v>
      </c>
      <c r="R948" t="s">
        <v>822</v>
      </c>
      <c r="S948" t="s">
        <v>727</v>
      </c>
      <c r="T948" t="s">
        <v>728</v>
      </c>
      <c r="U948" t="s">
        <v>281</v>
      </c>
      <c r="V948" t="s">
        <v>7</v>
      </c>
      <c r="W948" t="s">
        <v>137</v>
      </c>
      <c r="X948" t="s">
        <v>9</v>
      </c>
    </row>
    <row r="949" spans="1:24">
      <c r="A949" t="s">
        <v>1844</v>
      </c>
      <c r="B949" s="8">
        <v>45737</v>
      </c>
      <c r="C949" t="s">
        <v>296</v>
      </c>
      <c r="D949" t="s">
        <v>845</v>
      </c>
      <c r="E949">
        <v>2</v>
      </c>
      <c r="F949">
        <v>300000</v>
      </c>
      <c r="G949">
        <v>600000</v>
      </c>
      <c r="H949" t="s">
        <v>886</v>
      </c>
      <c r="I949">
        <v>60000</v>
      </c>
      <c r="J949">
        <v>15000</v>
      </c>
      <c r="K949">
        <v>555000</v>
      </c>
      <c r="L949" t="s">
        <v>880</v>
      </c>
      <c r="M949" t="s">
        <v>903</v>
      </c>
      <c r="N949" t="s">
        <v>875</v>
      </c>
      <c r="O949" s="9">
        <v>45717</v>
      </c>
      <c r="P949" t="s">
        <v>877</v>
      </c>
      <c r="Q949">
        <v>540000</v>
      </c>
      <c r="R949" t="s">
        <v>846</v>
      </c>
      <c r="S949" t="s">
        <v>727</v>
      </c>
      <c r="T949" t="s">
        <v>728</v>
      </c>
      <c r="U949" t="s">
        <v>297</v>
      </c>
      <c r="V949" t="s">
        <v>7</v>
      </c>
      <c r="W949" t="s">
        <v>137</v>
      </c>
      <c r="X949" t="s">
        <v>24</v>
      </c>
    </row>
    <row r="950" spans="1:24">
      <c r="A950" t="s">
        <v>1845</v>
      </c>
      <c r="B950" s="8">
        <v>45722</v>
      </c>
      <c r="C950" t="s">
        <v>194</v>
      </c>
      <c r="D950" t="s">
        <v>783</v>
      </c>
      <c r="E950">
        <v>1</v>
      </c>
      <c r="F950">
        <v>500000</v>
      </c>
      <c r="G950">
        <v>500000</v>
      </c>
      <c r="H950" t="s">
        <v>872</v>
      </c>
      <c r="I950">
        <v>0</v>
      </c>
      <c r="J950">
        <v>20000</v>
      </c>
      <c r="K950">
        <v>520000</v>
      </c>
      <c r="L950" t="s">
        <v>884</v>
      </c>
      <c r="M950" t="s">
        <v>901</v>
      </c>
      <c r="N950" t="s">
        <v>875</v>
      </c>
      <c r="O950" s="9">
        <v>45717</v>
      </c>
      <c r="P950" t="s">
        <v>877</v>
      </c>
      <c r="Q950">
        <v>500000</v>
      </c>
      <c r="R950" t="s">
        <v>784</v>
      </c>
      <c r="S950" t="s">
        <v>747</v>
      </c>
      <c r="T950" t="s">
        <v>748</v>
      </c>
      <c r="U950" t="s">
        <v>195</v>
      </c>
      <c r="V950" t="s">
        <v>7</v>
      </c>
      <c r="W950" t="s">
        <v>36</v>
      </c>
      <c r="X950" t="s">
        <v>24</v>
      </c>
    </row>
    <row r="951" spans="1:24">
      <c r="A951" t="s">
        <v>1846</v>
      </c>
      <c r="B951" s="8">
        <v>45684</v>
      </c>
      <c r="C951" t="s">
        <v>446</v>
      </c>
      <c r="D951" t="s">
        <v>755</v>
      </c>
      <c r="E951">
        <v>2</v>
      </c>
      <c r="F951">
        <v>50000</v>
      </c>
      <c r="G951">
        <v>100000</v>
      </c>
      <c r="H951" t="s">
        <v>886</v>
      </c>
      <c r="I951">
        <v>10000</v>
      </c>
      <c r="J951">
        <v>10000</v>
      </c>
      <c r="K951">
        <v>100000</v>
      </c>
      <c r="L951" t="s">
        <v>889</v>
      </c>
      <c r="M951" t="s">
        <v>903</v>
      </c>
      <c r="N951" t="s">
        <v>890</v>
      </c>
      <c r="O951" s="9">
        <v>45658</v>
      </c>
      <c r="P951" t="s">
        <v>892</v>
      </c>
      <c r="Q951">
        <v>90000</v>
      </c>
      <c r="R951" t="s">
        <v>756</v>
      </c>
      <c r="S951" t="s">
        <v>739</v>
      </c>
      <c r="T951" t="s">
        <v>740</v>
      </c>
      <c r="U951" t="s">
        <v>447</v>
      </c>
      <c r="V951" t="s">
        <v>23</v>
      </c>
      <c r="W951" t="s">
        <v>8</v>
      </c>
      <c r="X951" t="s">
        <v>9</v>
      </c>
    </row>
    <row r="952" spans="1:24">
      <c r="A952" t="s">
        <v>1847</v>
      </c>
      <c r="B952" s="8">
        <v>45838</v>
      </c>
      <c r="C952" t="s">
        <v>652</v>
      </c>
      <c r="D952" t="s">
        <v>827</v>
      </c>
      <c r="E952">
        <v>2</v>
      </c>
      <c r="F952">
        <v>100000</v>
      </c>
      <c r="G952">
        <v>200000</v>
      </c>
      <c r="H952" t="s">
        <v>872</v>
      </c>
      <c r="I952">
        <v>0</v>
      </c>
      <c r="J952">
        <v>10000</v>
      </c>
      <c r="K952">
        <v>210000</v>
      </c>
      <c r="L952" t="s">
        <v>889</v>
      </c>
      <c r="M952" t="s">
        <v>881</v>
      </c>
      <c r="N952" t="s">
        <v>875</v>
      </c>
      <c r="O952" s="9">
        <v>45809</v>
      </c>
      <c r="P952" t="s">
        <v>877</v>
      </c>
      <c r="Q952">
        <v>200000</v>
      </c>
      <c r="R952" t="s">
        <v>828</v>
      </c>
      <c r="S952" t="s">
        <v>739</v>
      </c>
      <c r="T952" t="s">
        <v>740</v>
      </c>
      <c r="U952" t="s">
        <v>653</v>
      </c>
      <c r="V952" t="s">
        <v>23</v>
      </c>
      <c r="W952" t="s">
        <v>137</v>
      </c>
      <c r="X952" t="s">
        <v>24</v>
      </c>
    </row>
    <row r="953" spans="1:24">
      <c r="A953" t="s">
        <v>1848</v>
      </c>
      <c r="B953" s="8">
        <v>45816</v>
      </c>
      <c r="C953" t="s">
        <v>424</v>
      </c>
      <c r="D953" t="s">
        <v>831</v>
      </c>
      <c r="E953">
        <v>2</v>
      </c>
      <c r="F953">
        <v>300000</v>
      </c>
      <c r="G953">
        <v>600000</v>
      </c>
      <c r="H953" t="s">
        <v>872</v>
      </c>
      <c r="I953">
        <v>0</v>
      </c>
      <c r="J953">
        <v>20000</v>
      </c>
      <c r="K953">
        <v>620000</v>
      </c>
      <c r="L953" t="s">
        <v>873</v>
      </c>
      <c r="M953" t="s">
        <v>881</v>
      </c>
      <c r="N953" t="s">
        <v>875</v>
      </c>
      <c r="O953" s="9">
        <v>45809</v>
      </c>
      <c r="P953" t="s">
        <v>877</v>
      </c>
      <c r="Q953">
        <v>600000</v>
      </c>
      <c r="R953" t="s">
        <v>832</v>
      </c>
      <c r="S953" t="s">
        <v>747</v>
      </c>
      <c r="T953" t="s">
        <v>748</v>
      </c>
      <c r="U953" t="s">
        <v>425</v>
      </c>
      <c r="V953" t="s">
        <v>7</v>
      </c>
      <c r="W953" t="s">
        <v>8</v>
      </c>
      <c r="X953" t="s">
        <v>24</v>
      </c>
    </row>
    <row r="954" spans="1:24">
      <c r="A954" t="s">
        <v>1849</v>
      </c>
      <c r="B954" s="8">
        <v>45815</v>
      </c>
      <c r="C954" t="s">
        <v>472</v>
      </c>
      <c r="D954" t="s">
        <v>817</v>
      </c>
      <c r="E954">
        <v>3</v>
      </c>
      <c r="F954">
        <v>75000</v>
      </c>
      <c r="G954">
        <v>225000</v>
      </c>
      <c r="H954" t="s">
        <v>886</v>
      </c>
      <c r="I954">
        <v>22500</v>
      </c>
      <c r="J954">
        <v>10000</v>
      </c>
      <c r="K954">
        <v>212500</v>
      </c>
      <c r="L954" t="s">
        <v>873</v>
      </c>
      <c r="M954" t="s">
        <v>881</v>
      </c>
      <c r="N954" t="s">
        <v>875</v>
      </c>
      <c r="O954" s="9">
        <v>45809</v>
      </c>
      <c r="P954" t="s">
        <v>877</v>
      </c>
      <c r="Q954">
        <v>202500</v>
      </c>
      <c r="R954" t="s">
        <v>818</v>
      </c>
      <c r="S954" t="s">
        <v>743</v>
      </c>
      <c r="T954" t="s">
        <v>744</v>
      </c>
      <c r="U954" t="s">
        <v>473</v>
      </c>
      <c r="V954" t="s">
        <v>7</v>
      </c>
      <c r="W954" t="s">
        <v>137</v>
      </c>
      <c r="X954" t="s">
        <v>9</v>
      </c>
    </row>
    <row r="955" spans="1:24">
      <c r="A955" t="s">
        <v>1850</v>
      </c>
      <c r="B955" s="8">
        <v>45692</v>
      </c>
      <c r="C955" t="s">
        <v>282</v>
      </c>
      <c r="D955" t="s">
        <v>767</v>
      </c>
      <c r="E955">
        <v>2</v>
      </c>
      <c r="F955">
        <v>150000</v>
      </c>
      <c r="G955">
        <v>300000</v>
      </c>
      <c r="H955" t="s">
        <v>872</v>
      </c>
      <c r="I955">
        <v>0</v>
      </c>
      <c r="J955">
        <v>15000</v>
      </c>
      <c r="K955">
        <v>315000</v>
      </c>
      <c r="L955" t="s">
        <v>873</v>
      </c>
      <c r="M955" t="s">
        <v>903</v>
      </c>
      <c r="N955" t="s">
        <v>875</v>
      </c>
      <c r="O955" s="9">
        <v>45689</v>
      </c>
      <c r="P955" t="s">
        <v>877</v>
      </c>
      <c r="Q955">
        <v>300000</v>
      </c>
      <c r="R955" t="s">
        <v>768</v>
      </c>
      <c r="S955" t="s">
        <v>739</v>
      </c>
      <c r="T955" t="s">
        <v>740</v>
      </c>
      <c r="U955" t="s">
        <v>283</v>
      </c>
      <c r="V955" t="s">
        <v>7</v>
      </c>
      <c r="W955" t="s">
        <v>46</v>
      </c>
      <c r="X955" t="s">
        <v>9</v>
      </c>
    </row>
    <row r="956" spans="1:24">
      <c r="A956" t="s">
        <v>1851</v>
      </c>
      <c r="B956" s="8">
        <v>45807</v>
      </c>
      <c r="C956" t="s">
        <v>133</v>
      </c>
      <c r="D956" t="s">
        <v>847</v>
      </c>
      <c r="E956">
        <v>2</v>
      </c>
      <c r="F956">
        <v>100000</v>
      </c>
      <c r="G956">
        <v>200000</v>
      </c>
      <c r="H956" t="s">
        <v>872</v>
      </c>
      <c r="I956">
        <v>0</v>
      </c>
      <c r="J956">
        <v>30000</v>
      </c>
      <c r="K956">
        <v>230000</v>
      </c>
      <c r="L956" t="s">
        <v>884</v>
      </c>
      <c r="M956" t="s">
        <v>901</v>
      </c>
      <c r="N956" t="s">
        <v>875</v>
      </c>
      <c r="O956" s="9">
        <v>45778</v>
      </c>
      <c r="P956" t="s">
        <v>877</v>
      </c>
      <c r="Q956">
        <v>200000</v>
      </c>
      <c r="R956" t="s">
        <v>848</v>
      </c>
      <c r="S956" t="s">
        <v>731</v>
      </c>
      <c r="T956" t="s">
        <v>732</v>
      </c>
      <c r="U956" t="s">
        <v>134</v>
      </c>
      <c r="V956" t="s">
        <v>23</v>
      </c>
      <c r="W956" t="s">
        <v>12</v>
      </c>
      <c r="X956" t="s">
        <v>24</v>
      </c>
    </row>
    <row r="957" spans="1:24">
      <c r="A957" t="s">
        <v>1852</v>
      </c>
      <c r="B957" s="8">
        <v>45794</v>
      </c>
      <c r="C957" t="s">
        <v>396</v>
      </c>
      <c r="D957" t="s">
        <v>767</v>
      </c>
      <c r="E957">
        <v>1</v>
      </c>
      <c r="F957">
        <v>150000</v>
      </c>
      <c r="G957">
        <v>150000</v>
      </c>
      <c r="H957" t="s">
        <v>872</v>
      </c>
      <c r="I957">
        <v>0</v>
      </c>
      <c r="J957">
        <v>30000</v>
      </c>
      <c r="K957">
        <v>180000</v>
      </c>
      <c r="L957" t="s">
        <v>873</v>
      </c>
      <c r="M957" t="s">
        <v>881</v>
      </c>
      <c r="N957" t="s">
        <v>875</v>
      </c>
      <c r="O957" s="9">
        <v>45778</v>
      </c>
      <c r="P957" t="s">
        <v>877</v>
      </c>
      <c r="Q957">
        <v>150000</v>
      </c>
      <c r="R957" t="s">
        <v>768</v>
      </c>
      <c r="S957" t="s">
        <v>739</v>
      </c>
      <c r="T957" t="s">
        <v>740</v>
      </c>
      <c r="U957" t="s">
        <v>397</v>
      </c>
      <c r="V957" t="s">
        <v>7</v>
      </c>
      <c r="W957" t="s">
        <v>36</v>
      </c>
      <c r="X957" t="s">
        <v>9</v>
      </c>
    </row>
    <row r="958" spans="1:24">
      <c r="A958" t="s">
        <v>1853</v>
      </c>
      <c r="B958" s="8">
        <v>45714</v>
      </c>
      <c r="C958" t="s">
        <v>692</v>
      </c>
      <c r="D958" t="s">
        <v>813</v>
      </c>
      <c r="E958">
        <v>1</v>
      </c>
      <c r="F958">
        <v>35000</v>
      </c>
      <c r="G958">
        <v>35000</v>
      </c>
      <c r="H958" t="s">
        <v>872</v>
      </c>
      <c r="I958">
        <v>0</v>
      </c>
      <c r="J958">
        <v>30000</v>
      </c>
      <c r="K958">
        <v>65000</v>
      </c>
      <c r="L958" t="s">
        <v>884</v>
      </c>
      <c r="M958" t="s">
        <v>881</v>
      </c>
      <c r="N958" t="s">
        <v>875</v>
      </c>
      <c r="O958" s="9">
        <v>45689</v>
      </c>
      <c r="P958" t="s">
        <v>877</v>
      </c>
      <c r="Q958">
        <v>35000</v>
      </c>
      <c r="R958" t="s">
        <v>814</v>
      </c>
      <c r="S958" t="s">
        <v>735</v>
      </c>
      <c r="T958" t="s">
        <v>736</v>
      </c>
      <c r="U958" t="s">
        <v>693</v>
      </c>
      <c r="V958" t="s">
        <v>23</v>
      </c>
      <c r="W958" t="s">
        <v>36</v>
      </c>
      <c r="X958" t="s">
        <v>9</v>
      </c>
    </row>
    <row r="959" spans="1:24">
      <c r="A959" t="s">
        <v>1854</v>
      </c>
      <c r="B959" s="8">
        <v>45711</v>
      </c>
      <c r="C959" t="s">
        <v>226</v>
      </c>
      <c r="D959" t="s">
        <v>779</v>
      </c>
      <c r="E959">
        <v>1</v>
      </c>
      <c r="F959">
        <v>150000</v>
      </c>
      <c r="G959">
        <v>150000</v>
      </c>
      <c r="H959" t="s">
        <v>872</v>
      </c>
      <c r="I959">
        <v>0</v>
      </c>
      <c r="J959">
        <v>10000</v>
      </c>
      <c r="K959">
        <v>160000</v>
      </c>
      <c r="L959" t="s">
        <v>884</v>
      </c>
      <c r="M959" t="s">
        <v>903</v>
      </c>
      <c r="N959" t="s">
        <v>905</v>
      </c>
      <c r="O959" s="9">
        <v>45689</v>
      </c>
      <c r="P959" t="s">
        <v>892</v>
      </c>
      <c r="Q959">
        <v>150000</v>
      </c>
      <c r="R959" t="s">
        <v>780</v>
      </c>
      <c r="S959" t="s">
        <v>739</v>
      </c>
      <c r="T959" t="s">
        <v>740</v>
      </c>
      <c r="U959" t="s">
        <v>227</v>
      </c>
      <c r="V959" t="s">
        <v>23</v>
      </c>
      <c r="W959" t="s">
        <v>29</v>
      </c>
      <c r="X959" t="s">
        <v>9</v>
      </c>
    </row>
    <row r="960" spans="1:24">
      <c r="A960" t="s">
        <v>1855</v>
      </c>
      <c r="B960" s="8">
        <v>45737</v>
      </c>
      <c r="C960" t="s">
        <v>34</v>
      </c>
      <c r="D960" t="s">
        <v>801</v>
      </c>
      <c r="E960">
        <v>3</v>
      </c>
      <c r="F960">
        <v>100000</v>
      </c>
      <c r="G960">
        <v>300000</v>
      </c>
      <c r="H960" t="s">
        <v>872</v>
      </c>
      <c r="I960">
        <v>0</v>
      </c>
      <c r="J960">
        <v>25000</v>
      </c>
      <c r="K960">
        <v>325000</v>
      </c>
      <c r="L960" t="s">
        <v>873</v>
      </c>
      <c r="M960" t="s">
        <v>901</v>
      </c>
      <c r="N960" t="s">
        <v>875</v>
      </c>
      <c r="O960" s="9">
        <v>45717</v>
      </c>
      <c r="P960" t="s">
        <v>877</v>
      </c>
      <c r="Q960">
        <v>300000</v>
      </c>
      <c r="R960" t="s">
        <v>802</v>
      </c>
      <c r="S960" t="s">
        <v>735</v>
      </c>
      <c r="T960" t="s">
        <v>736</v>
      </c>
      <c r="U960" t="s">
        <v>35</v>
      </c>
      <c r="V960" t="s">
        <v>23</v>
      </c>
      <c r="W960" t="s">
        <v>36</v>
      </c>
      <c r="X960" t="s">
        <v>24</v>
      </c>
    </row>
    <row r="961" spans="1:24">
      <c r="A961" t="s">
        <v>1856</v>
      </c>
      <c r="B961" s="8">
        <v>45838</v>
      </c>
      <c r="C961" t="s">
        <v>232</v>
      </c>
      <c r="D961" t="s">
        <v>767</v>
      </c>
      <c r="E961">
        <v>1</v>
      </c>
      <c r="F961">
        <v>150000</v>
      </c>
      <c r="G961">
        <v>150000</v>
      </c>
      <c r="H961" t="s">
        <v>872</v>
      </c>
      <c r="I961">
        <v>0</v>
      </c>
      <c r="J961">
        <v>15000</v>
      </c>
      <c r="K961">
        <v>165000</v>
      </c>
      <c r="L961" t="s">
        <v>889</v>
      </c>
      <c r="M961" t="s">
        <v>881</v>
      </c>
      <c r="N961" t="s">
        <v>875</v>
      </c>
      <c r="O961" s="9">
        <v>45809</v>
      </c>
      <c r="P961" t="s">
        <v>877</v>
      </c>
      <c r="Q961">
        <v>150000</v>
      </c>
      <c r="R961" t="s">
        <v>768</v>
      </c>
      <c r="S961" t="s">
        <v>739</v>
      </c>
      <c r="T961" t="s">
        <v>740</v>
      </c>
      <c r="U961" t="s">
        <v>233</v>
      </c>
      <c r="V961" t="s">
        <v>23</v>
      </c>
      <c r="W961" t="s">
        <v>137</v>
      </c>
      <c r="X961" t="s">
        <v>9</v>
      </c>
    </row>
    <row r="962" spans="1:24">
      <c r="A962" t="s">
        <v>1857</v>
      </c>
      <c r="B962" s="8">
        <v>45738</v>
      </c>
      <c r="C962" t="s">
        <v>208</v>
      </c>
      <c r="D962" t="s">
        <v>759</v>
      </c>
      <c r="E962">
        <v>4</v>
      </c>
      <c r="F962">
        <v>300000</v>
      </c>
      <c r="G962">
        <v>1200000</v>
      </c>
      <c r="H962" t="s">
        <v>872</v>
      </c>
      <c r="I962">
        <v>0</v>
      </c>
      <c r="J962">
        <v>25000</v>
      </c>
      <c r="K962">
        <v>1225000</v>
      </c>
      <c r="L962" t="s">
        <v>884</v>
      </c>
      <c r="M962" t="s">
        <v>881</v>
      </c>
      <c r="N962" t="s">
        <v>875</v>
      </c>
      <c r="O962" s="9">
        <v>45717</v>
      </c>
      <c r="P962" t="s">
        <v>877</v>
      </c>
      <c r="Q962">
        <v>1200000</v>
      </c>
      <c r="R962" t="s">
        <v>760</v>
      </c>
      <c r="S962" t="s">
        <v>747</v>
      </c>
      <c r="T962" t="s">
        <v>748</v>
      </c>
      <c r="U962" t="s">
        <v>209</v>
      </c>
      <c r="V962" t="s">
        <v>7</v>
      </c>
      <c r="W962" t="s">
        <v>20</v>
      </c>
      <c r="X962" t="s">
        <v>9</v>
      </c>
    </row>
    <row r="963" spans="1:24">
      <c r="A963" t="s">
        <v>1858</v>
      </c>
      <c r="B963" s="8">
        <v>45660</v>
      </c>
      <c r="C963" t="s">
        <v>646</v>
      </c>
      <c r="D963" t="s">
        <v>783</v>
      </c>
      <c r="E963">
        <v>4</v>
      </c>
      <c r="F963">
        <v>500000</v>
      </c>
      <c r="G963">
        <v>2000000</v>
      </c>
      <c r="H963" t="s">
        <v>872</v>
      </c>
      <c r="I963">
        <v>0</v>
      </c>
      <c r="J963">
        <v>25000</v>
      </c>
      <c r="K963">
        <v>2025000</v>
      </c>
      <c r="L963" t="s">
        <v>889</v>
      </c>
      <c r="M963" t="s">
        <v>874</v>
      </c>
      <c r="N963" t="s">
        <v>875</v>
      </c>
      <c r="O963" s="9">
        <v>45658</v>
      </c>
      <c r="P963" t="s">
        <v>877</v>
      </c>
      <c r="Q963">
        <v>2000000</v>
      </c>
      <c r="R963" t="s">
        <v>784</v>
      </c>
      <c r="S963" t="s">
        <v>747</v>
      </c>
      <c r="T963" t="s">
        <v>748</v>
      </c>
      <c r="U963" t="s">
        <v>647</v>
      </c>
      <c r="V963" t="s">
        <v>23</v>
      </c>
      <c r="W963" t="s">
        <v>56</v>
      </c>
      <c r="X963" t="s">
        <v>15</v>
      </c>
    </row>
    <row r="964" spans="1:24">
      <c r="A964" t="s">
        <v>1859</v>
      </c>
      <c r="B964" s="8">
        <v>45658</v>
      </c>
      <c r="C964" t="s">
        <v>59</v>
      </c>
      <c r="D964" t="s">
        <v>773</v>
      </c>
      <c r="E964">
        <v>2</v>
      </c>
      <c r="F964">
        <v>500000</v>
      </c>
      <c r="G964">
        <v>1000000</v>
      </c>
      <c r="H964" t="s">
        <v>872</v>
      </c>
      <c r="I964">
        <v>0</v>
      </c>
      <c r="J964">
        <v>25000</v>
      </c>
      <c r="K964">
        <v>1025000</v>
      </c>
      <c r="L964" t="s">
        <v>880</v>
      </c>
      <c r="M964" t="s">
        <v>881</v>
      </c>
      <c r="N964" t="s">
        <v>890</v>
      </c>
      <c r="O964" s="9">
        <v>45658</v>
      </c>
      <c r="P964" t="s">
        <v>892</v>
      </c>
      <c r="Q964">
        <v>1000000</v>
      </c>
      <c r="R964" t="s">
        <v>774</v>
      </c>
      <c r="S964" t="s">
        <v>727</v>
      </c>
      <c r="T964" t="s">
        <v>728</v>
      </c>
      <c r="U964" t="s">
        <v>60</v>
      </c>
      <c r="V964" t="s">
        <v>7</v>
      </c>
      <c r="W964" t="s">
        <v>39</v>
      </c>
      <c r="X964" t="s">
        <v>15</v>
      </c>
    </row>
    <row r="965" spans="1:24">
      <c r="A965" t="s">
        <v>1860</v>
      </c>
      <c r="B965" s="8">
        <v>45817</v>
      </c>
      <c r="C965" t="s">
        <v>550</v>
      </c>
      <c r="D965" t="s">
        <v>815</v>
      </c>
      <c r="E965">
        <v>4</v>
      </c>
      <c r="F965">
        <v>75000</v>
      </c>
      <c r="G965">
        <v>300000</v>
      </c>
      <c r="H965" t="s">
        <v>872</v>
      </c>
      <c r="I965">
        <v>0</v>
      </c>
      <c r="J965">
        <v>30000</v>
      </c>
      <c r="K965">
        <v>330000</v>
      </c>
      <c r="L965" t="s">
        <v>884</v>
      </c>
      <c r="M965" t="s">
        <v>901</v>
      </c>
      <c r="N965" t="s">
        <v>890</v>
      </c>
      <c r="O965" s="9">
        <v>45809</v>
      </c>
      <c r="P965" t="s">
        <v>892</v>
      </c>
      <c r="Q965">
        <v>300000</v>
      </c>
      <c r="R965" t="s">
        <v>816</v>
      </c>
      <c r="S965" t="s">
        <v>739</v>
      </c>
      <c r="T965" t="s">
        <v>740</v>
      </c>
      <c r="U965" t="s">
        <v>551</v>
      </c>
      <c r="V965" t="s">
        <v>23</v>
      </c>
      <c r="W965" t="s">
        <v>36</v>
      </c>
      <c r="X965" t="s">
        <v>15</v>
      </c>
    </row>
    <row r="966" spans="1:24">
      <c r="A966" t="s">
        <v>1861</v>
      </c>
      <c r="B966" s="8">
        <v>45661</v>
      </c>
      <c r="C966" t="s">
        <v>176</v>
      </c>
      <c r="D966" t="s">
        <v>769</v>
      </c>
      <c r="E966">
        <v>2</v>
      </c>
      <c r="F966">
        <v>100000</v>
      </c>
      <c r="G966">
        <v>200000</v>
      </c>
      <c r="H966" t="s">
        <v>895</v>
      </c>
      <c r="I966">
        <v>30000</v>
      </c>
      <c r="J966">
        <v>10000</v>
      </c>
      <c r="K966">
        <v>180000</v>
      </c>
      <c r="L966" t="s">
        <v>873</v>
      </c>
      <c r="M966" t="s">
        <v>874</v>
      </c>
      <c r="N966" t="s">
        <v>875</v>
      </c>
      <c r="O966" s="9">
        <v>45658</v>
      </c>
      <c r="P966" t="s">
        <v>877</v>
      </c>
      <c r="Q966">
        <v>170000</v>
      </c>
      <c r="R966" t="s">
        <v>770</v>
      </c>
      <c r="S966" t="s">
        <v>743</v>
      </c>
      <c r="T966" t="s">
        <v>744</v>
      </c>
      <c r="U966" t="s">
        <v>177</v>
      </c>
      <c r="V966" t="s">
        <v>7</v>
      </c>
      <c r="W966" t="s">
        <v>56</v>
      </c>
      <c r="X966" t="s">
        <v>9</v>
      </c>
    </row>
    <row r="967" spans="1:24">
      <c r="A967" t="s">
        <v>1862</v>
      </c>
      <c r="B967" s="8">
        <v>45692</v>
      </c>
      <c r="C967" t="s">
        <v>658</v>
      </c>
      <c r="D967" t="s">
        <v>841</v>
      </c>
      <c r="E967">
        <v>1</v>
      </c>
      <c r="F967">
        <v>75000</v>
      </c>
      <c r="G967">
        <v>75000</v>
      </c>
      <c r="H967" t="s">
        <v>886</v>
      </c>
      <c r="I967">
        <v>7500</v>
      </c>
      <c r="J967">
        <v>20000</v>
      </c>
      <c r="K967">
        <v>87500</v>
      </c>
      <c r="L967" t="s">
        <v>889</v>
      </c>
      <c r="M967" t="s">
        <v>881</v>
      </c>
      <c r="N967" t="s">
        <v>875</v>
      </c>
      <c r="O967" s="9">
        <v>45689</v>
      </c>
      <c r="P967" t="s">
        <v>877</v>
      </c>
      <c r="Q967">
        <v>67500</v>
      </c>
      <c r="R967" t="s">
        <v>842</v>
      </c>
      <c r="S967" t="s">
        <v>743</v>
      </c>
      <c r="T967" t="s">
        <v>744</v>
      </c>
      <c r="U967" t="s">
        <v>659</v>
      </c>
      <c r="V967" t="s">
        <v>7</v>
      </c>
      <c r="W967" t="s">
        <v>12</v>
      </c>
      <c r="X967" t="s">
        <v>24</v>
      </c>
    </row>
    <row r="968" spans="1:24">
      <c r="A968" t="s">
        <v>1863</v>
      </c>
      <c r="B968" s="8">
        <v>45686</v>
      </c>
      <c r="C968" t="s">
        <v>196</v>
      </c>
      <c r="D968" t="s">
        <v>801</v>
      </c>
      <c r="E968">
        <v>2</v>
      </c>
      <c r="F968">
        <v>100000</v>
      </c>
      <c r="G968">
        <v>200000</v>
      </c>
      <c r="H968" t="s">
        <v>886</v>
      </c>
      <c r="I968">
        <v>20000</v>
      </c>
      <c r="J968">
        <v>15000</v>
      </c>
      <c r="K968">
        <v>195000</v>
      </c>
      <c r="L968" t="s">
        <v>873</v>
      </c>
      <c r="M968" t="s">
        <v>874</v>
      </c>
      <c r="N968" t="s">
        <v>875</v>
      </c>
      <c r="O968" s="9">
        <v>45658</v>
      </c>
      <c r="P968" t="s">
        <v>877</v>
      </c>
      <c r="Q968">
        <v>180000</v>
      </c>
      <c r="R968" t="s">
        <v>802</v>
      </c>
      <c r="S968" t="s">
        <v>735</v>
      </c>
      <c r="T968" t="s">
        <v>736</v>
      </c>
      <c r="U968" t="s">
        <v>197</v>
      </c>
      <c r="V968" t="s">
        <v>7</v>
      </c>
      <c r="W968" t="s">
        <v>36</v>
      </c>
      <c r="X968" t="s">
        <v>15</v>
      </c>
    </row>
    <row r="969" spans="1:24">
      <c r="A969" t="s">
        <v>1864</v>
      </c>
      <c r="B969" s="8">
        <v>45818</v>
      </c>
      <c r="C969" t="s">
        <v>370</v>
      </c>
      <c r="D969" t="s">
        <v>733</v>
      </c>
      <c r="E969">
        <v>4</v>
      </c>
      <c r="F969">
        <v>150000</v>
      </c>
      <c r="G969">
        <v>600000</v>
      </c>
      <c r="H969" t="s">
        <v>883</v>
      </c>
      <c r="I969">
        <v>60000</v>
      </c>
      <c r="J969">
        <v>30000</v>
      </c>
      <c r="K969">
        <v>570000</v>
      </c>
      <c r="L969" t="s">
        <v>884</v>
      </c>
      <c r="M969" t="s">
        <v>901</v>
      </c>
      <c r="N969" t="s">
        <v>875</v>
      </c>
      <c r="O969" s="9">
        <v>45809</v>
      </c>
      <c r="P969" t="s">
        <v>877</v>
      </c>
      <c r="Q969">
        <v>540000</v>
      </c>
      <c r="R969" t="s">
        <v>734</v>
      </c>
      <c r="S969" t="s">
        <v>735</v>
      </c>
      <c r="T969" t="s">
        <v>736</v>
      </c>
      <c r="U969" t="s">
        <v>371</v>
      </c>
      <c r="V969" t="s">
        <v>23</v>
      </c>
      <c r="W969" t="s">
        <v>36</v>
      </c>
      <c r="X969" t="s">
        <v>15</v>
      </c>
    </row>
    <row r="970" spans="1:24">
      <c r="A970" t="s">
        <v>1865</v>
      </c>
      <c r="B970" s="8">
        <v>45683</v>
      </c>
      <c r="C970" t="s">
        <v>99</v>
      </c>
      <c r="D970" t="s">
        <v>851</v>
      </c>
      <c r="E970">
        <v>1</v>
      </c>
      <c r="F970">
        <v>35000</v>
      </c>
      <c r="G970">
        <v>35000</v>
      </c>
      <c r="H970" t="s">
        <v>879</v>
      </c>
      <c r="I970">
        <v>7000</v>
      </c>
      <c r="J970">
        <v>25000</v>
      </c>
      <c r="K970">
        <v>53000</v>
      </c>
      <c r="L970" t="s">
        <v>884</v>
      </c>
      <c r="M970" t="s">
        <v>901</v>
      </c>
      <c r="N970" t="s">
        <v>875</v>
      </c>
      <c r="O970" s="9">
        <v>45658</v>
      </c>
      <c r="P970" t="s">
        <v>877</v>
      </c>
      <c r="Q970">
        <v>28000</v>
      </c>
      <c r="R970" t="s">
        <v>852</v>
      </c>
      <c r="S970" t="s">
        <v>739</v>
      </c>
      <c r="T970" t="s">
        <v>740</v>
      </c>
      <c r="U970" t="s">
        <v>100</v>
      </c>
      <c r="V970" t="s">
        <v>7</v>
      </c>
      <c r="W970" t="s">
        <v>39</v>
      </c>
      <c r="X970" t="s">
        <v>9</v>
      </c>
    </row>
    <row r="971" spans="1:24">
      <c r="A971" t="s">
        <v>1866</v>
      </c>
      <c r="B971" s="8">
        <v>45718</v>
      </c>
      <c r="C971" t="s">
        <v>312</v>
      </c>
      <c r="D971" t="s">
        <v>827</v>
      </c>
      <c r="E971">
        <v>1</v>
      </c>
      <c r="F971">
        <v>100000</v>
      </c>
      <c r="G971">
        <v>100000</v>
      </c>
      <c r="H971" t="s">
        <v>872</v>
      </c>
      <c r="I971">
        <v>0</v>
      </c>
      <c r="J971">
        <v>10000</v>
      </c>
      <c r="K971">
        <v>110000</v>
      </c>
      <c r="L971" t="s">
        <v>873</v>
      </c>
      <c r="M971" t="s">
        <v>881</v>
      </c>
      <c r="N971" t="s">
        <v>905</v>
      </c>
      <c r="O971" s="9">
        <v>45717</v>
      </c>
      <c r="P971" t="s">
        <v>892</v>
      </c>
      <c r="Q971">
        <v>100000</v>
      </c>
      <c r="R971" t="s">
        <v>828</v>
      </c>
      <c r="S971" t="s">
        <v>739</v>
      </c>
      <c r="T971" t="s">
        <v>740</v>
      </c>
      <c r="U971" t="s">
        <v>313</v>
      </c>
      <c r="V971" t="s">
        <v>23</v>
      </c>
      <c r="W971" t="s">
        <v>39</v>
      </c>
      <c r="X971" t="s">
        <v>9</v>
      </c>
    </row>
    <row r="972" spans="1:24">
      <c r="A972" t="s">
        <v>1867</v>
      </c>
      <c r="B972" s="8">
        <v>45734</v>
      </c>
      <c r="C972" t="s">
        <v>127</v>
      </c>
      <c r="D972" t="s">
        <v>837</v>
      </c>
      <c r="E972">
        <v>3</v>
      </c>
      <c r="F972">
        <v>300000</v>
      </c>
      <c r="G972">
        <v>900000</v>
      </c>
      <c r="H972" t="s">
        <v>872</v>
      </c>
      <c r="I972">
        <v>0</v>
      </c>
      <c r="J972">
        <v>10000</v>
      </c>
      <c r="K972">
        <v>910000</v>
      </c>
      <c r="L972" t="s">
        <v>884</v>
      </c>
      <c r="M972" t="s">
        <v>901</v>
      </c>
      <c r="N972" t="s">
        <v>890</v>
      </c>
      <c r="O972" s="9">
        <v>45717</v>
      </c>
      <c r="P972" t="s">
        <v>892</v>
      </c>
      <c r="Q972">
        <v>900000</v>
      </c>
      <c r="R972" t="s">
        <v>838</v>
      </c>
      <c r="S972" t="s">
        <v>735</v>
      </c>
      <c r="T972" t="s">
        <v>736</v>
      </c>
      <c r="U972" t="s">
        <v>128</v>
      </c>
      <c r="V972" t="s">
        <v>7</v>
      </c>
      <c r="W972" t="s">
        <v>39</v>
      </c>
      <c r="X972" t="s">
        <v>15</v>
      </c>
    </row>
    <row r="973" spans="1:24">
      <c r="A973" t="s">
        <v>1868</v>
      </c>
      <c r="B973" s="8">
        <v>45769</v>
      </c>
      <c r="C973" t="s">
        <v>109</v>
      </c>
      <c r="D973" t="s">
        <v>801</v>
      </c>
      <c r="E973">
        <v>2</v>
      </c>
      <c r="F973">
        <v>100000</v>
      </c>
      <c r="G973">
        <v>200000</v>
      </c>
      <c r="H973" t="s">
        <v>883</v>
      </c>
      <c r="I973">
        <v>20000</v>
      </c>
      <c r="J973">
        <v>20000</v>
      </c>
      <c r="K973">
        <v>200000</v>
      </c>
      <c r="L973" t="s">
        <v>889</v>
      </c>
      <c r="M973" t="s">
        <v>901</v>
      </c>
      <c r="N973" t="s">
        <v>905</v>
      </c>
      <c r="O973" s="9">
        <v>45748</v>
      </c>
      <c r="P973" t="s">
        <v>892</v>
      </c>
      <c r="Q973">
        <v>180000</v>
      </c>
      <c r="R973" t="s">
        <v>802</v>
      </c>
      <c r="S973" t="s">
        <v>735</v>
      </c>
      <c r="T973" t="s">
        <v>736</v>
      </c>
      <c r="U973" t="s">
        <v>110</v>
      </c>
      <c r="V973" t="s">
        <v>23</v>
      </c>
      <c r="W973" t="s">
        <v>46</v>
      </c>
      <c r="X973" t="s">
        <v>15</v>
      </c>
    </row>
    <row r="974" spans="1:24">
      <c r="A974" t="s">
        <v>1869</v>
      </c>
      <c r="B974" s="8">
        <v>45771</v>
      </c>
      <c r="C974" t="s">
        <v>121</v>
      </c>
      <c r="D974" t="s">
        <v>803</v>
      </c>
      <c r="E974">
        <v>1</v>
      </c>
      <c r="F974">
        <v>50000</v>
      </c>
      <c r="G974">
        <v>50000</v>
      </c>
      <c r="H974" t="s">
        <v>872</v>
      </c>
      <c r="I974">
        <v>0</v>
      </c>
      <c r="J974">
        <v>15000</v>
      </c>
      <c r="K974">
        <v>65000</v>
      </c>
      <c r="L974" t="s">
        <v>884</v>
      </c>
      <c r="M974" t="s">
        <v>874</v>
      </c>
      <c r="N974" t="s">
        <v>875</v>
      </c>
      <c r="O974" s="9">
        <v>45748</v>
      </c>
      <c r="P974" t="s">
        <v>877</v>
      </c>
      <c r="Q974">
        <v>50000</v>
      </c>
      <c r="R974" t="s">
        <v>804</v>
      </c>
      <c r="S974" t="s">
        <v>739</v>
      </c>
      <c r="T974" t="s">
        <v>740</v>
      </c>
      <c r="U974" t="s">
        <v>122</v>
      </c>
      <c r="V974" t="s">
        <v>7</v>
      </c>
      <c r="W974" t="s">
        <v>36</v>
      </c>
      <c r="X974" t="s">
        <v>9</v>
      </c>
    </row>
    <row r="975" spans="1:24">
      <c r="A975" t="s">
        <v>1870</v>
      </c>
      <c r="B975" s="8">
        <v>45726</v>
      </c>
      <c r="C975" t="s">
        <v>258</v>
      </c>
      <c r="D975" t="s">
        <v>733</v>
      </c>
      <c r="E975">
        <v>2</v>
      </c>
      <c r="F975">
        <v>150000</v>
      </c>
      <c r="G975">
        <v>300000</v>
      </c>
      <c r="H975" t="s">
        <v>895</v>
      </c>
      <c r="I975">
        <v>45000</v>
      </c>
      <c r="J975">
        <v>25000</v>
      </c>
      <c r="K975">
        <v>280000</v>
      </c>
      <c r="L975" t="s">
        <v>889</v>
      </c>
      <c r="M975" t="s">
        <v>903</v>
      </c>
      <c r="N975" t="s">
        <v>905</v>
      </c>
      <c r="O975" s="9">
        <v>45717</v>
      </c>
      <c r="P975" t="s">
        <v>892</v>
      </c>
      <c r="Q975">
        <v>255000</v>
      </c>
      <c r="R975" t="s">
        <v>734</v>
      </c>
      <c r="S975" t="s">
        <v>735</v>
      </c>
      <c r="T975" t="s">
        <v>736</v>
      </c>
      <c r="U975" t="s">
        <v>259</v>
      </c>
      <c r="V975" t="s">
        <v>7</v>
      </c>
      <c r="W975" t="s">
        <v>56</v>
      </c>
      <c r="X975" t="s">
        <v>9</v>
      </c>
    </row>
    <row r="976" spans="1:24">
      <c r="A976" t="s">
        <v>1871</v>
      </c>
      <c r="B976" s="8">
        <v>45803</v>
      </c>
      <c r="C976" t="s">
        <v>210</v>
      </c>
      <c r="D976" t="s">
        <v>847</v>
      </c>
      <c r="E976">
        <v>2</v>
      </c>
      <c r="F976">
        <v>100000</v>
      </c>
      <c r="G976">
        <v>200000</v>
      </c>
      <c r="H976" t="s">
        <v>879</v>
      </c>
      <c r="I976">
        <v>40000</v>
      </c>
      <c r="J976">
        <v>25000</v>
      </c>
      <c r="K976">
        <v>185000</v>
      </c>
      <c r="L976" t="s">
        <v>880</v>
      </c>
      <c r="M976" t="s">
        <v>874</v>
      </c>
      <c r="N976" t="s">
        <v>875</v>
      </c>
      <c r="O976" s="9">
        <v>45778</v>
      </c>
      <c r="P976" t="s">
        <v>877</v>
      </c>
      <c r="Q976">
        <v>160000</v>
      </c>
      <c r="R976" t="s">
        <v>848</v>
      </c>
      <c r="S976" t="s">
        <v>731</v>
      </c>
      <c r="T976" t="s">
        <v>732</v>
      </c>
      <c r="U976" t="s">
        <v>211</v>
      </c>
      <c r="V976" t="s">
        <v>23</v>
      </c>
      <c r="W976" t="s">
        <v>56</v>
      </c>
      <c r="X976" t="s">
        <v>15</v>
      </c>
    </row>
    <row r="977" spans="1:24">
      <c r="A977" t="s">
        <v>1872</v>
      </c>
      <c r="B977" s="8">
        <v>45789</v>
      </c>
      <c r="C977" t="s">
        <v>260</v>
      </c>
      <c r="D977" t="s">
        <v>741</v>
      </c>
      <c r="E977">
        <v>3</v>
      </c>
      <c r="F977">
        <v>75000</v>
      </c>
      <c r="G977">
        <v>225000</v>
      </c>
      <c r="H977" t="s">
        <v>872</v>
      </c>
      <c r="I977">
        <v>0</v>
      </c>
      <c r="J977">
        <v>15000</v>
      </c>
      <c r="K977">
        <v>240000</v>
      </c>
      <c r="L977" t="s">
        <v>880</v>
      </c>
      <c r="M977" t="s">
        <v>874</v>
      </c>
      <c r="N977" t="s">
        <v>875</v>
      </c>
      <c r="O977" s="9">
        <v>45778</v>
      </c>
      <c r="P977" t="s">
        <v>877</v>
      </c>
      <c r="Q977">
        <v>225000</v>
      </c>
      <c r="R977" t="s">
        <v>742</v>
      </c>
      <c r="S977" t="s">
        <v>743</v>
      </c>
      <c r="T977" t="s">
        <v>744</v>
      </c>
      <c r="U977" t="s">
        <v>261</v>
      </c>
      <c r="V977" t="s">
        <v>7</v>
      </c>
      <c r="W977" t="s">
        <v>51</v>
      </c>
      <c r="X977" t="s">
        <v>9</v>
      </c>
    </row>
    <row r="978" spans="1:24">
      <c r="A978" t="s">
        <v>1873</v>
      </c>
      <c r="B978" s="8">
        <v>45818</v>
      </c>
      <c r="C978" t="s">
        <v>596</v>
      </c>
      <c r="D978" t="s">
        <v>751</v>
      </c>
      <c r="E978">
        <v>2</v>
      </c>
      <c r="F978">
        <v>150000</v>
      </c>
      <c r="G978">
        <v>300000</v>
      </c>
      <c r="H978" t="s">
        <v>872</v>
      </c>
      <c r="I978">
        <v>0</v>
      </c>
      <c r="J978">
        <v>15000</v>
      </c>
      <c r="K978">
        <v>315000</v>
      </c>
      <c r="L978" t="s">
        <v>884</v>
      </c>
      <c r="M978" t="s">
        <v>874</v>
      </c>
      <c r="N978" t="s">
        <v>875</v>
      </c>
      <c r="O978" s="9">
        <v>45809</v>
      </c>
      <c r="P978" t="s">
        <v>877</v>
      </c>
      <c r="Q978">
        <v>300000</v>
      </c>
      <c r="R978" t="s">
        <v>752</v>
      </c>
      <c r="S978" t="s">
        <v>731</v>
      </c>
      <c r="T978" t="s">
        <v>732</v>
      </c>
      <c r="U978" t="s">
        <v>597</v>
      </c>
      <c r="V978" t="s">
        <v>23</v>
      </c>
      <c r="W978" t="s">
        <v>137</v>
      </c>
      <c r="X978" t="s">
        <v>24</v>
      </c>
    </row>
    <row r="979" spans="1:24">
      <c r="A979" t="s">
        <v>1874</v>
      </c>
      <c r="B979" s="8">
        <v>45719</v>
      </c>
      <c r="C979" t="s">
        <v>592</v>
      </c>
      <c r="D979" t="s">
        <v>839</v>
      </c>
      <c r="E979">
        <v>1</v>
      </c>
      <c r="F979">
        <v>200000</v>
      </c>
      <c r="G979">
        <v>200000</v>
      </c>
      <c r="H979" t="s">
        <v>872</v>
      </c>
      <c r="I979">
        <v>0</v>
      </c>
      <c r="J979">
        <v>15000</v>
      </c>
      <c r="K979">
        <v>215000</v>
      </c>
      <c r="L979" t="s">
        <v>873</v>
      </c>
      <c r="N979" t="s">
        <v>875</v>
      </c>
      <c r="O979" s="9">
        <v>45717</v>
      </c>
      <c r="P979" t="s">
        <v>877</v>
      </c>
      <c r="Q979">
        <v>200000</v>
      </c>
      <c r="R979" t="s">
        <v>840</v>
      </c>
      <c r="S979" t="s">
        <v>739</v>
      </c>
      <c r="T979" t="s">
        <v>740</v>
      </c>
      <c r="U979" t="s">
        <v>593</v>
      </c>
      <c r="V979" t="s">
        <v>7</v>
      </c>
      <c r="W979" t="s">
        <v>56</v>
      </c>
      <c r="X979" t="s">
        <v>9</v>
      </c>
    </row>
    <row r="980" spans="1:24">
      <c r="A980" t="s">
        <v>1875</v>
      </c>
      <c r="B980" s="8">
        <v>45794</v>
      </c>
      <c r="C980" t="s">
        <v>230</v>
      </c>
      <c r="D980" t="s">
        <v>837</v>
      </c>
      <c r="E980">
        <v>1</v>
      </c>
      <c r="F980">
        <v>300000</v>
      </c>
      <c r="G980">
        <v>300000</v>
      </c>
      <c r="H980" t="s">
        <v>872</v>
      </c>
      <c r="I980">
        <v>0</v>
      </c>
      <c r="J980">
        <v>10000</v>
      </c>
      <c r="K980">
        <v>310000</v>
      </c>
      <c r="L980" t="s">
        <v>873</v>
      </c>
      <c r="M980" t="s">
        <v>901</v>
      </c>
      <c r="N980" t="s">
        <v>875</v>
      </c>
      <c r="O980" s="9">
        <v>45778</v>
      </c>
      <c r="P980" t="s">
        <v>877</v>
      </c>
      <c r="Q980">
        <v>300000</v>
      </c>
      <c r="R980" t="s">
        <v>838</v>
      </c>
      <c r="S980" t="s">
        <v>735</v>
      </c>
      <c r="T980" t="s">
        <v>736</v>
      </c>
      <c r="U980" t="s">
        <v>231</v>
      </c>
      <c r="V980" t="s">
        <v>7</v>
      </c>
      <c r="W980" t="s">
        <v>36</v>
      </c>
      <c r="X980" t="s">
        <v>24</v>
      </c>
    </row>
    <row r="981" spans="1:24">
      <c r="A981" t="s">
        <v>1876</v>
      </c>
      <c r="B981" s="8">
        <v>45798</v>
      </c>
      <c r="C981" t="s">
        <v>416</v>
      </c>
      <c r="D981" t="s">
        <v>831</v>
      </c>
      <c r="E981">
        <v>4</v>
      </c>
      <c r="F981">
        <v>300000</v>
      </c>
      <c r="G981">
        <v>1200000</v>
      </c>
      <c r="H981" t="s">
        <v>886</v>
      </c>
      <c r="I981">
        <v>120000</v>
      </c>
      <c r="J981">
        <v>30000</v>
      </c>
      <c r="K981">
        <v>1110000</v>
      </c>
      <c r="L981" t="s">
        <v>880</v>
      </c>
      <c r="M981" t="s">
        <v>903</v>
      </c>
      <c r="N981" t="s">
        <v>875</v>
      </c>
      <c r="O981" s="9">
        <v>45778</v>
      </c>
      <c r="P981" t="s">
        <v>877</v>
      </c>
      <c r="Q981">
        <v>1080000</v>
      </c>
      <c r="R981" t="s">
        <v>832</v>
      </c>
      <c r="S981" t="s">
        <v>747</v>
      </c>
      <c r="T981" t="s">
        <v>748</v>
      </c>
      <c r="U981" t="s">
        <v>417</v>
      </c>
      <c r="V981" t="s">
        <v>23</v>
      </c>
      <c r="W981" t="s">
        <v>39</v>
      </c>
      <c r="X981" t="s">
        <v>15</v>
      </c>
    </row>
    <row r="982" spans="1:24">
      <c r="A982" t="s">
        <v>1877</v>
      </c>
      <c r="B982" s="8">
        <v>45824</v>
      </c>
      <c r="C982" t="s">
        <v>162</v>
      </c>
      <c r="D982" t="s">
        <v>819</v>
      </c>
      <c r="E982">
        <v>2</v>
      </c>
      <c r="F982">
        <v>300000</v>
      </c>
      <c r="G982">
        <v>600000</v>
      </c>
      <c r="H982" t="s">
        <v>895</v>
      </c>
      <c r="I982">
        <v>90000</v>
      </c>
      <c r="J982">
        <v>25000</v>
      </c>
      <c r="K982">
        <v>535000</v>
      </c>
      <c r="L982" t="s">
        <v>889</v>
      </c>
      <c r="M982" t="s">
        <v>903</v>
      </c>
      <c r="N982" t="s">
        <v>875</v>
      </c>
      <c r="O982" s="9">
        <v>45809</v>
      </c>
      <c r="P982" t="s">
        <v>877</v>
      </c>
      <c r="Q982">
        <v>510000</v>
      </c>
      <c r="R982" t="s">
        <v>820</v>
      </c>
      <c r="S982" t="s">
        <v>747</v>
      </c>
      <c r="T982" t="s">
        <v>748</v>
      </c>
      <c r="U982" t="s">
        <v>163</v>
      </c>
      <c r="V982" t="s">
        <v>7</v>
      </c>
      <c r="W982" t="s">
        <v>39</v>
      </c>
      <c r="X982" t="s">
        <v>9</v>
      </c>
    </row>
    <row r="983" spans="1:24">
      <c r="A983" t="s">
        <v>1878</v>
      </c>
      <c r="B983" s="8">
        <v>45727</v>
      </c>
      <c r="C983" t="s">
        <v>49</v>
      </c>
      <c r="D983" t="s">
        <v>855</v>
      </c>
      <c r="E983">
        <v>1</v>
      </c>
      <c r="F983">
        <v>150000</v>
      </c>
      <c r="G983">
        <v>150000</v>
      </c>
      <c r="H983" t="s">
        <v>872</v>
      </c>
      <c r="I983">
        <v>0</v>
      </c>
      <c r="J983">
        <v>15000</v>
      </c>
      <c r="K983">
        <v>165000</v>
      </c>
      <c r="L983" t="s">
        <v>880</v>
      </c>
      <c r="M983" t="s">
        <v>881</v>
      </c>
      <c r="N983" t="s">
        <v>875</v>
      </c>
      <c r="O983" s="9">
        <v>45717</v>
      </c>
      <c r="P983" t="s">
        <v>877</v>
      </c>
      <c r="Q983">
        <v>150000</v>
      </c>
      <c r="R983" t="s">
        <v>856</v>
      </c>
      <c r="S983" t="s">
        <v>747</v>
      </c>
      <c r="T983" t="s">
        <v>748</v>
      </c>
      <c r="U983" t="s">
        <v>50</v>
      </c>
      <c r="V983" t="s">
        <v>23</v>
      </c>
      <c r="W983" t="s">
        <v>51</v>
      </c>
      <c r="X983" t="s">
        <v>9</v>
      </c>
    </row>
    <row r="984" spans="1:24">
      <c r="A984" t="s">
        <v>1879</v>
      </c>
      <c r="B984" s="8">
        <v>45811</v>
      </c>
      <c r="C984" t="s">
        <v>474</v>
      </c>
      <c r="D984" t="s">
        <v>751</v>
      </c>
      <c r="E984">
        <v>1</v>
      </c>
      <c r="F984">
        <v>150000</v>
      </c>
      <c r="G984">
        <v>150000</v>
      </c>
      <c r="H984" t="s">
        <v>886</v>
      </c>
      <c r="I984">
        <v>15000</v>
      </c>
      <c r="J984">
        <v>25000</v>
      </c>
      <c r="K984">
        <v>160000</v>
      </c>
      <c r="L984" t="s">
        <v>884</v>
      </c>
      <c r="M984" t="s">
        <v>901</v>
      </c>
      <c r="N984" t="s">
        <v>875</v>
      </c>
      <c r="O984" s="9">
        <v>45809</v>
      </c>
      <c r="P984" t="s">
        <v>877</v>
      </c>
      <c r="Q984">
        <v>135000</v>
      </c>
      <c r="R984" t="s">
        <v>752</v>
      </c>
      <c r="S984" t="s">
        <v>731</v>
      </c>
      <c r="T984" t="s">
        <v>732</v>
      </c>
      <c r="U984" t="s">
        <v>475</v>
      </c>
      <c r="V984" t="s">
        <v>7</v>
      </c>
      <c r="W984" t="s">
        <v>46</v>
      </c>
      <c r="X984" t="s">
        <v>9</v>
      </c>
    </row>
    <row r="985" spans="1:24">
      <c r="A985" t="s">
        <v>1880</v>
      </c>
      <c r="B985" s="8">
        <v>45743</v>
      </c>
      <c r="C985" t="s">
        <v>274</v>
      </c>
      <c r="D985" t="s">
        <v>787</v>
      </c>
      <c r="E985">
        <v>3</v>
      </c>
      <c r="F985">
        <v>200000</v>
      </c>
      <c r="G985">
        <v>600000</v>
      </c>
      <c r="H985" t="s">
        <v>872</v>
      </c>
      <c r="I985">
        <v>0</v>
      </c>
      <c r="J985">
        <v>30000</v>
      </c>
      <c r="K985">
        <v>630000</v>
      </c>
      <c r="L985" t="s">
        <v>889</v>
      </c>
      <c r="M985" t="s">
        <v>901</v>
      </c>
      <c r="N985" t="s">
        <v>875</v>
      </c>
      <c r="O985" s="9">
        <v>45717</v>
      </c>
      <c r="P985" t="s">
        <v>877</v>
      </c>
      <c r="Q985">
        <v>600000</v>
      </c>
      <c r="R985" t="s">
        <v>788</v>
      </c>
      <c r="S985" t="s">
        <v>731</v>
      </c>
      <c r="T985" t="s">
        <v>732</v>
      </c>
      <c r="U985" t="s">
        <v>275</v>
      </c>
      <c r="V985" t="s">
        <v>7</v>
      </c>
      <c r="W985" t="s">
        <v>8</v>
      </c>
      <c r="X985" t="s">
        <v>9</v>
      </c>
    </row>
    <row r="986" spans="1:24">
      <c r="A986" t="s">
        <v>1881</v>
      </c>
      <c r="B986" s="8">
        <v>45669</v>
      </c>
      <c r="C986" t="s">
        <v>34</v>
      </c>
      <c r="D986" t="s">
        <v>783</v>
      </c>
      <c r="E986">
        <v>1</v>
      </c>
      <c r="F986">
        <v>500000</v>
      </c>
      <c r="G986">
        <v>500000</v>
      </c>
      <c r="H986" t="s">
        <v>879</v>
      </c>
      <c r="I986">
        <v>100000</v>
      </c>
      <c r="J986">
        <v>10000</v>
      </c>
      <c r="K986">
        <v>410000</v>
      </c>
      <c r="L986" t="s">
        <v>889</v>
      </c>
      <c r="M986" t="s">
        <v>881</v>
      </c>
      <c r="N986" t="s">
        <v>905</v>
      </c>
      <c r="O986" s="9">
        <v>45658</v>
      </c>
      <c r="P986" t="s">
        <v>892</v>
      </c>
      <c r="Q986">
        <v>400000</v>
      </c>
      <c r="R986" t="s">
        <v>784</v>
      </c>
      <c r="S986" t="s">
        <v>747</v>
      </c>
      <c r="T986" t="s">
        <v>748</v>
      </c>
      <c r="U986" t="s">
        <v>35</v>
      </c>
      <c r="V986" t="s">
        <v>23</v>
      </c>
      <c r="W986" t="s">
        <v>36</v>
      </c>
      <c r="X986" t="s">
        <v>24</v>
      </c>
    </row>
    <row r="987" spans="1:24">
      <c r="A987" t="s">
        <v>1882</v>
      </c>
      <c r="B987" s="8">
        <v>45667</v>
      </c>
      <c r="C987" t="s">
        <v>178</v>
      </c>
      <c r="D987" t="s">
        <v>737</v>
      </c>
      <c r="E987">
        <v>1</v>
      </c>
      <c r="F987">
        <v>300000</v>
      </c>
      <c r="G987">
        <v>300000</v>
      </c>
      <c r="H987" t="s">
        <v>895</v>
      </c>
      <c r="I987">
        <v>45000</v>
      </c>
      <c r="J987">
        <v>20000</v>
      </c>
      <c r="K987">
        <v>275000</v>
      </c>
      <c r="L987" t="s">
        <v>884</v>
      </c>
      <c r="M987" t="s">
        <v>881</v>
      </c>
      <c r="N987" t="s">
        <v>911</v>
      </c>
      <c r="O987" s="9">
        <v>45658</v>
      </c>
      <c r="P987" t="s">
        <v>892</v>
      </c>
      <c r="Q987">
        <v>255000</v>
      </c>
      <c r="R987" t="s">
        <v>738</v>
      </c>
      <c r="S987" t="s">
        <v>739</v>
      </c>
      <c r="T987" t="s">
        <v>740</v>
      </c>
      <c r="U987" t="s">
        <v>179</v>
      </c>
      <c r="V987" t="s">
        <v>7</v>
      </c>
      <c r="W987" t="s">
        <v>137</v>
      </c>
      <c r="X987" t="s">
        <v>24</v>
      </c>
    </row>
    <row r="988" spans="1:24">
      <c r="A988" t="s">
        <v>1883</v>
      </c>
      <c r="B988" s="8">
        <v>45806</v>
      </c>
      <c r="C988" t="s">
        <v>574</v>
      </c>
      <c r="D988" t="s">
        <v>753</v>
      </c>
      <c r="E988">
        <v>1</v>
      </c>
      <c r="F988">
        <v>300000</v>
      </c>
      <c r="G988">
        <v>300000</v>
      </c>
      <c r="H988" t="s">
        <v>872</v>
      </c>
      <c r="I988">
        <v>0</v>
      </c>
      <c r="J988">
        <v>15000</v>
      </c>
      <c r="K988">
        <v>315000</v>
      </c>
      <c r="L988" t="s">
        <v>884</v>
      </c>
      <c r="M988" t="s">
        <v>901</v>
      </c>
      <c r="N988" t="s">
        <v>875</v>
      </c>
      <c r="O988" s="9">
        <v>45778</v>
      </c>
      <c r="P988" t="s">
        <v>877</v>
      </c>
      <c r="Q988">
        <v>300000</v>
      </c>
      <c r="R988" t="s">
        <v>754</v>
      </c>
      <c r="S988" t="s">
        <v>735</v>
      </c>
      <c r="T988" t="s">
        <v>736</v>
      </c>
      <c r="U988" t="s">
        <v>575</v>
      </c>
      <c r="V988" t="s">
        <v>7</v>
      </c>
      <c r="W988" t="s">
        <v>46</v>
      </c>
      <c r="X988" t="s">
        <v>24</v>
      </c>
    </row>
    <row r="989" spans="1:24">
      <c r="A989" t="s">
        <v>1884</v>
      </c>
      <c r="B989" s="8">
        <v>45782</v>
      </c>
      <c r="C989" t="s">
        <v>264</v>
      </c>
      <c r="D989" t="s">
        <v>801</v>
      </c>
      <c r="E989">
        <v>1</v>
      </c>
      <c r="F989">
        <v>100000</v>
      </c>
      <c r="G989">
        <v>100000</v>
      </c>
      <c r="H989" t="s">
        <v>895</v>
      </c>
      <c r="I989">
        <v>15000</v>
      </c>
      <c r="J989">
        <v>15000</v>
      </c>
      <c r="K989">
        <v>100000</v>
      </c>
      <c r="L989" t="s">
        <v>880</v>
      </c>
      <c r="M989" t="s">
        <v>901</v>
      </c>
      <c r="N989" t="s">
        <v>875</v>
      </c>
      <c r="O989" s="9">
        <v>45778</v>
      </c>
      <c r="P989" t="s">
        <v>877</v>
      </c>
      <c r="Q989">
        <v>85000</v>
      </c>
      <c r="R989" t="s">
        <v>802</v>
      </c>
      <c r="S989" t="s">
        <v>735</v>
      </c>
      <c r="T989" t="s">
        <v>736</v>
      </c>
      <c r="U989" t="s">
        <v>265</v>
      </c>
      <c r="V989" t="s">
        <v>23</v>
      </c>
      <c r="W989" t="s">
        <v>20</v>
      </c>
      <c r="X989" t="s">
        <v>9</v>
      </c>
    </row>
    <row r="990" spans="1:24">
      <c r="A990" t="s">
        <v>1885</v>
      </c>
      <c r="B990" s="8">
        <v>45834</v>
      </c>
      <c r="C990" t="s">
        <v>694</v>
      </c>
      <c r="D990" t="s">
        <v>725</v>
      </c>
      <c r="E990">
        <v>1</v>
      </c>
      <c r="F990">
        <v>300000</v>
      </c>
      <c r="G990">
        <v>300000</v>
      </c>
      <c r="H990" t="s">
        <v>879</v>
      </c>
      <c r="I990">
        <v>60000</v>
      </c>
      <c r="J990">
        <v>30000</v>
      </c>
      <c r="K990">
        <v>270000</v>
      </c>
      <c r="L990" t="s">
        <v>884</v>
      </c>
      <c r="M990" t="s">
        <v>903</v>
      </c>
      <c r="N990" t="s">
        <v>905</v>
      </c>
      <c r="O990" s="9">
        <v>45809</v>
      </c>
      <c r="P990" t="s">
        <v>892</v>
      </c>
      <c r="Q990">
        <v>240000</v>
      </c>
      <c r="R990" t="s">
        <v>726</v>
      </c>
      <c r="S990" t="s">
        <v>727</v>
      </c>
      <c r="T990" t="s">
        <v>728</v>
      </c>
      <c r="U990" t="s">
        <v>695</v>
      </c>
      <c r="V990" t="s">
        <v>23</v>
      </c>
      <c r="W990" t="s">
        <v>8</v>
      </c>
      <c r="X990" t="s">
        <v>9</v>
      </c>
    </row>
    <row r="991" spans="1:24">
      <c r="A991" t="s">
        <v>1886</v>
      </c>
      <c r="B991" s="8">
        <v>45825</v>
      </c>
      <c r="C991" t="s">
        <v>694</v>
      </c>
      <c r="D991" t="s">
        <v>835</v>
      </c>
      <c r="E991">
        <v>2</v>
      </c>
      <c r="F991">
        <v>200000</v>
      </c>
      <c r="G991">
        <v>400000</v>
      </c>
      <c r="H991" t="s">
        <v>895</v>
      </c>
      <c r="I991">
        <v>60000</v>
      </c>
      <c r="J991">
        <v>10000</v>
      </c>
      <c r="K991">
        <v>350000</v>
      </c>
      <c r="L991" t="s">
        <v>880</v>
      </c>
      <c r="M991" t="s">
        <v>901</v>
      </c>
      <c r="N991" t="s">
        <v>875</v>
      </c>
      <c r="O991" s="9">
        <v>45809</v>
      </c>
      <c r="P991" t="s">
        <v>877</v>
      </c>
      <c r="Q991">
        <v>340000</v>
      </c>
      <c r="R991" t="s">
        <v>836</v>
      </c>
      <c r="S991" t="s">
        <v>731</v>
      </c>
      <c r="T991" t="s">
        <v>732</v>
      </c>
      <c r="U991" t="s">
        <v>695</v>
      </c>
      <c r="V991" t="s">
        <v>23</v>
      </c>
      <c r="W991" t="s">
        <v>8</v>
      </c>
      <c r="X991" t="s">
        <v>9</v>
      </c>
    </row>
    <row r="992" spans="1:24">
      <c r="A992" t="s">
        <v>1887</v>
      </c>
      <c r="B992" s="8">
        <v>45792</v>
      </c>
      <c r="C992" t="s">
        <v>686</v>
      </c>
      <c r="D992" t="s">
        <v>821</v>
      </c>
      <c r="E992">
        <v>2</v>
      </c>
      <c r="F992">
        <v>50000</v>
      </c>
      <c r="G992">
        <v>100000</v>
      </c>
      <c r="H992" t="s">
        <v>886</v>
      </c>
      <c r="I992">
        <v>10000</v>
      </c>
      <c r="J992">
        <v>25000</v>
      </c>
      <c r="K992">
        <v>115000</v>
      </c>
      <c r="L992" t="s">
        <v>880</v>
      </c>
      <c r="M992" t="s">
        <v>903</v>
      </c>
      <c r="N992" t="s">
        <v>875</v>
      </c>
      <c r="O992" s="9">
        <v>45778</v>
      </c>
      <c r="P992" t="s">
        <v>877</v>
      </c>
      <c r="Q992">
        <v>90000</v>
      </c>
      <c r="R992" t="s">
        <v>822</v>
      </c>
      <c r="S992" t="s">
        <v>727</v>
      </c>
      <c r="T992" t="s">
        <v>728</v>
      </c>
      <c r="U992" t="s">
        <v>687</v>
      </c>
      <c r="V992" t="s">
        <v>23</v>
      </c>
      <c r="W992" t="s">
        <v>29</v>
      </c>
      <c r="X992" t="s">
        <v>9</v>
      </c>
    </row>
    <row r="993" spans="1:24">
      <c r="A993" t="s">
        <v>1888</v>
      </c>
      <c r="B993" s="8">
        <v>45686</v>
      </c>
      <c r="C993" t="s">
        <v>306</v>
      </c>
      <c r="D993" t="s">
        <v>759</v>
      </c>
      <c r="E993">
        <v>1</v>
      </c>
      <c r="F993">
        <v>300000</v>
      </c>
      <c r="G993">
        <v>300000</v>
      </c>
      <c r="H993" t="s">
        <v>883</v>
      </c>
      <c r="I993">
        <v>30000</v>
      </c>
      <c r="J993">
        <v>30000</v>
      </c>
      <c r="K993">
        <v>300000</v>
      </c>
      <c r="L993" t="s">
        <v>880</v>
      </c>
      <c r="M993" t="s">
        <v>901</v>
      </c>
      <c r="N993" t="s">
        <v>911</v>
      </c>
      <c r="O993" s="9">
        <v>45658</v>
      </c>
      <c r="P993" t="s">
        <v>892</v>
      </c>
      <c r="Q993">
        <v>270000</v>
      </c>
      <c r="R993" t="s">
        <v>760</v>
      </c>
      <c r="S993" t="s">
        <v>747</v>
      </c>
      <c r="T993" t="s">
        <v>748</v>
      </c>
      <c r="U993" t="s">
        <v>307</v>
      </c>
      <c r="V993" t="s">
        <v>7</v>
      </c>
      <c r="W993" t="s">
        <v>12</v>
      </c>
      <c r="X993" t="s">
        <v>9</v>
      </c>
    </row>
    <row r="994" spans="1:24">
      <c r="A994" t="s">
        <v>1889</v>
      </c>
      <c r="B994" s="8">
        <v>45669</v>
      </c>
      <c r="C994" t="s">
        <v>356</v>
      </c>
      <c r="D994" t="s">
        <v>733</v>
      </c>
      <c r="E994">
        <v>1</v>
      </c>
      <c r="F994">
        <v>150000</v>
      </c>
      <c r="G994">
        <v>150000</v>
      </c>
      <c r="H994" t="s">
        <v>883</v>
      </c>
      <c r="I994">
        <v>15000</v>
      </c>
      <c r="J994">
        <v>10000</v>
      </c>
      <c r="K994">
        <v>145000</v>
      </c>
      <c r="L994" t="s">
        <v>873</v>
      </c>
      <c r="M994" t="s">
        <v>874</v>
      </c>
      <c r="N994" t="s">
        <v>875</v>
      </c>
      <c r="O994" s="9">
        <v>45658</v>
      </c>
      <c r="P994" t="s">
        <v>877</v>
      </c>
      <c r="Q994">
        <v>135000</v>
      </c>
      <c r="R994" t="s">
        <v>734</v>
      </c>
      <c r="S994" t="s">
        <v>735</v>
      </c>
      <c r="T994" t="s">
        <v>736</v>
      </c>
      <c r="U994" t="s">
        <v>357</v>
      </c>
      <c r="V994" t="s">
        <v>7</v>
      </c>
      <c r="W994" t="s">
        <v>56</v>
      </c>
      <c r="X994" t="s">
        <v>9</v>
      </c>
    </row>
    <row r="995" spans="1:24">
      <c r="A995" t="s">
        <v>1890</v>
      </c>
      <c r="B995" s="8">
        <v>45835</v>
      </c>
      <c r="C995" t="s">
        <v>75</v>
      </c>
      <c r="D995" t="s">
        <v>813</v>
      </c>
      <c r="E995">
        <v>1</v>
      </c>
      <c r="F995">
        <v>35000</v>
      </c>
      <c r="G995">
        <v>35000</v>
      </c>
      <c r="H995" t="s">
        <v>883</v>
      </c>
      <c r="I995">
        <v>3500</v>
      </c>
      <c r="J995">
        <v>30000</v>
      </c>
      <c r="K995">
        <v>61500</v>
      </c>
      <c r="L995" t="s">
        <v>873</v>
      </c>
      <c r="M995" t="s">
        <v>903</v>
      </c>
      <c r="N995" t="s">
        <v>875</v>
      </c>
      <c r="O995" s="9">
        <v>45809</v>
      </c>
      <c r="P995" t="s">
        <v>877</v>
      </c>
      <c r="Q995">
        <v>31500</v>
      </c>
      <c r="R995" t="s">
        <v>814</v>
      </c>
      <c r="S995" t="s">
        <v>735</v>
      </c>
      <c r="T995" t="s">
        <v>736</v>
      </c>
      <c r="U995" t="s">
        <v>76</v>
      </c>
      <c r="V995" t="s">
        <v>23</v>
      </c>
      <c r="W995" t="s">
        <v>8</v>
      </c>
      <c r="X995" t="s">
        <v>9</v>
      </c>
    </row>
    <row r="996" spans="1:24">
      <c r="A996" t="s">
        <v>1891</v>
      </c>
      <c r="B996" s="8">
        <v>45799</v>
      </c>
      <c r="C996" t="s">
        <v>664</v>
      </c>
      <c r="D996" t="s">
        <v>781</v>
      </c>
      <c r="E996">
        <v>4</v>
      </c>
      <c r="F996">
        <v>50000</v>
      </c>
      <c r="G996">
        <v>200000</v>
      </c>
      <c r="H996" t="s">
        <v>886</v>
      </c>
      <c r="I996">
        <v>20000</v>
      </c>
      <c r="J996">
        <v>15000</v>
      </c>
      <c r="K996">
        <v>195000</v>
      </c>
      <c r="L996" t="s">
        <v>873</v>
      </c>
      <c r="M996" t="s">
        <v>881</v>
      </c>
      <c r="N996" t="s">
        <v>875</v>
      </c>
      <c r="O996" s="9">
        <v>45778</v>
      </c>
      <c r="P996" t="s">
        <v>877</v>
      </c>
      <c r="Q996">
        <v>180000</v>
      </c>
      <c r="R996" t="s">
        <v>782</v>
      </c>
      <c r="S996" t="s">
        <v>743</v>
      </c>
      <c r="T996" t="s">
        <v>744</v>
      </c>
      <c r="U996" t="s">
        <v>665</v>
      </c>
      <c r="V996" t="s">
        <v>23</v>
      </c>
      <c r="W996" t="s">
        <v>8</v>
      </c>
      <c r="X996" t="s">
        <v>9</v>
      </c>
    </row>
    <row r="997" spans="1:24">
      <c r="A997" t="s">
        <v>1892</v>
      </c>
      <c r="B997" s="8">
        <v>45734</v>
      </c>
      <c r="C997" t="s">
        <v>562</v>
      </c>
      <c r="D997" t="s">
        <v>817</v>
      </c>
      <c r="E997">
        <v>1</v>
      </c>
      <c r="F997">
        <v>75000</v>
      </c>
      <c r="G997">
        <v>75000</v>
      </c>
      <c r="H997" t="s">
        <v>895</v>
      </c>
      <c r="I997">
        <v>11250</v>
      </c>
      <c r="J997">
        <v>25000</v>
      </c>
      <c r="K997">
        <v>88750</v>
      </c>
      <c r="L997" t="s">
        <v>889</v>
      </c>
      <c r="M997" t="s">
        <v>903</v>
      </c>
      <c r="N997" t="s">
        <v>875</v>
      </c>
      <c r="O997" s="9">
        <v>45717</v>
      </c>
      <c r="P997" t="s">
        <v>877</v>
      </c>
      <c r="Q997">
        <v>63750</v>
      </c>
      <c r="R997" t="s">
        <v>818</v>
      </c>
      <c r="S997" t="s">
        <v>743</v>
      </c>
      <c r="T997" t="s">
        <v>744</v>
      </c>
      <c r="U997" t="s">
        <v>563</v>
      </c>
      <c r="V997" t="s">
        <v>7</v>
      </c>
      <c r="W997" t="s">
        <v>56</v>
      </c>
      <c r="X997" t="s">
        <v>9</v>
      </c>
    </row>
    <row r="998" spans="1:24">
      <c r="A998" t="s">
        <v>1893</v>
      </c>
      <c r="B998" s="8">
        <v>45706</v>
      </c>
      <c r="C998" t="s">
        <v>420</v>
      </c>
      <c r="D998" t="s">
        <v>839</v>
      </c>
      <c r="E998">
        <v>1</v>
      </c>
      <c r="F998">
        <v>200000</v>
      </c>
      <c r="G998">
        <v>200000</v>
      </c>
      <c r="H998" t="s">
        <v>872</v>
      </c>
      <c r="I998">
        <v>0</v>
      </c>
      <c r="J998">
        <v>30000</v>
      </c>
      <c r="K998">
        <v>230000</v>
      </c>
      <c r="L998" t="s">
        <v>889</v>
      </c>
      <c r="M998" t="s">
        <v>881</v>
      </c>
      <c r="N998" t="s">
        <v>890</v>
      </c>
      <c r="O998" s="9">
        <v>45689</v>
      </c>
      <c r="P998" t="s">
        <v>892</v>
      </c>
      <c r="Q998">
        <v>200000</v>
      </c>
      <c r="R998" t="s">
        <v>840</v>
      </c>
      <c r="S998" t="s">
        <v>739</v>
      </c>
      <c r="T998" t="s">
        <v>740</v>
      </c>
      <c r="U998" t="s">
        <v>421</v>
      </c>
      <c r="V998" t="s">
        <v>7</v>
      </c>
      <c r="W998" t="s">
        <v>137</v>
      </c>
      <c r="X998" t="s">
        <v>24</v>
      </c>
    </row>
    <row r="999" spans="1:24">
      <c r="A999" t="s">
        <v>1894</v>
      </c>
      <c r="B999" s="8">
        <v>45793</v>
      </c>
      <c r="C999" t="s">
        <v>135</v>
      </c>
      <c r="D999" t="s">
        <v>725</v>
      </c>
      <c r="E999">
        <v>1</v>
      </c>
      <c r="F999">
        <v>300000</v>
      </c>
      <c r="G999">
        <v>300000</v>
      </c>
      <c r="H999" t="s">
        <v>886</v>
      </c>
      <c r="I999">
        <v>30000</v>
      </c>
      <c r="J999">
        <v>20000</v>
      </c>
      <c r="K999">
        <v>290000</v>
      </c>
      <c r="L999" t="s">
        <v>889</v>
      </c>
      <c r="M999" t="s">
        <v>881</v>
      </c>
      <c r="N999" t="s">
        <v>875</v>
      </c>
      <c r="O999" s="9">
        <v>45778</v>
      </c>
      <c r="P999" t="s">
        <v>877</v>
      </c>
      <c r="Q999">
        <v>270000</v>
      </c>
      <c r="R999" t="s">
        <v>726</v>
      </c>
      <c r="S999" t="s">
        <v>727</v>
      </c>
      <c r="T999" t="s">
        <v>728</v>
      </c>
      <c r="U999" t="s">
        <v>136</v>
      </c>
      <c r="V999" t="s">
        <v>23</v>
      </c>
      <c r="W999" t="s">
        <v>137</v>
      </c>
      <c r="X999" t="s">
        <v>24</v>
      </c>
    </row>
    <row r="1000" spans="1:24">
      <c r="A1000" t="s">
        <v>1895</v>
      </c>
      <c r="B1000" s="8">
        <v>45664</v>
      </c>
      <c r="C1000" t="s">
        <v>450</v>
      </c>
      <c r="D1000" t="s">
        <v>741</v>
      </c>
      <c r="E1000">
        <v>2</v>
      </c>
      <c r="F1000">
        <v>75000</v>
      </c>
      <c r="G1000">
        <v>150000</v>
      </c>
      <c r="H1000" t="s">
        <v>872</v>
      </c>
      <c r="I1000">
        <v>0</v>
      </c>
      <c r="J1000">
        <v>30000</v>
      </c>
      <c r="K1000">
        <v>180000</v>
      </c>
      <c r="L1000" t="s">
        <v>884</v>
      </c>
      <c r="M1000" t="s">
        <v>901</v>
      </c>
      <c r="N1000" t="s">
        <v>875</v>
      </c>
      <c r="O1000" s="9">
        <v>45658</v>
      </c>
      <c r="P1000" t="s">
        <v>877</v>
      </c>
      <c r="Q1000">
        <v>150000</v>
      </c>
      <c r="R1000" t="s">
        <v>742</v>
      </c>
      <c r="S1000" t="s">
        <v>743</v>
      </c>
      <c r="T1000" t="s">
        <v>744</v>
      </c>
      <c r="U1000" t="s">
        <v>451</v>
      </c>
      <c r="V1000" t="s">
        <v>23</v>
      </c>
      <c r="W1000" t="s">
        <v>56</v>
      </c>
      <c r="X1000" t="s">
        <v>9</v>
      </c>
    </row>
    <row r="1001" spans="1:24">
      <c r="A1001" t="s">
        <v>1896</v>
      </c>
      <c r="B1001" s="8">
        <v>45723</v>
      </c>
      <c r="C1001" t="s">
        <v>550</v>
      </c>
      <c r="D1001" t="s">
        <v>767</v>
      </c>
      <c r="E1001">
        <v>2</v>
      </c>
      <c r="F1001">
        <v>150000</v>
      </c>
      <c r="G1001">
        <v>300000</v>
      </c>
      <c r="H1001" t="s">
        <v>872</v>
      </c>
      <c r="I1001">
        <v>0</v>
      </c>
      <c r="J1001">
        <v>20000</v>
      </c>
      <c r="K1001">
        <v>320000</v>
      </c>
      <c r="L1001" t="s">
        <v>873</v>
      </c>
      <c r="M1001" t="s">
        <v>901</v>
      </c>
      <c r="N1001" t="s">
        <v>875</v>
      </c>
      <c r="O1001" s="9">
        <v>45717</v>
      </c>
      <c r="P1001" t="s">
        <v>877</v>
      </c>
      <c r="Q1001">
        <v>300000</v>
      </c>
      <c r="R1001" t="s">
        <v>768</v>
      </c>
      <c r="S1001" t="s">
        <v>739</v>
      </c>
      <c r="T1001" t="s">
        <v>740</v>
      </c>
      <c r="U1001" t="s">
        <v>551</v>
      </c>
      <c r="V1001" t="s">
        <v>23</v>
      </c>
      <c r="W1001" t="s">
        <v>36</v>
      </c>
      <c r="X1001" t="s">
        <v>15</v>
      </c>
    </row>
    <row r="1002" spans="1:24">
      <c r="A1002" t="s">
        <v>1897</v>
      </c>
      <c r="B1002" s="8">
        <v>45777</v>
      </c>
      <c r="C1002" t="s">
        <v>326</v>
      </c>
      <c r="D1002" t="s">
        <v>755</v>
      </c>
      <c r="E1002">
        <v>4</v>
      </c>
      <c r="F1002">
        <v>50000</v>
      </c>
      <c r="G1002">
        <v>200000</v>
      </c>
      <c r="H1002" t="s">
        <v>872</v>
      </c>
      <c r="I1002">
        <v>0</v>
      </c>
      <c r="J1002">
        <v>20000</v>
      </c>
      <c r="K1002">
        <v>220000</v>
      </c>
      <c r="L1002" t="s">
        <v>884</v>
      </c>
      <c r="M1002" t="s">
        <v>901</v>
      </c>
      <c r="N1002" t="s">
        <v>875</v>
      </c>
      <c r="O1002" s="9">
        <v>45748</v>
      </c>
      <c r="P1002" t="s">
        <v>877</v>
      </c>
      <c r="Q1002">
        <v>200000</v>
      </c>
      <c r="R1002" t="s">
        <v>756</v>
      </c>
      <c r="S1002" t="s">
        <v>739</v>
      </c>
      <c r="T1002" t="s">
        <v>740</v>
      </c>
      <c r="U1002" t="s">
        <v>327</v>
      </c>
      <c r="V1002" t="s">
        <v>7</v>
      </c>
      <c r="W1002" t="s">
        <v>8</v>
      </c>
      <c r="X1002" t="s">
        <v>9</v>
      </c>
    </row>
    <row r="1003" spans="1:24">
      <c r="A1003" t="s">
        <v>1898</v>
      </c>
      <c r="B1003" s="8">
        <v>45724</v>
      </c>
      <c r="C1003" t="s">
        <v>474</v>
      </c>
      <c r="D1003" t="s">
        <v>805</v>
      </c>
      <c r="E1003">
        <v>4</v>
      </c>
      <c r="F1003">
        <v>200000</v>
      </c>
      <c r="G1003">
        <v>800000</v>
      </c>
      <c r="H1003" t="s">
        <v>872</v>
      </c>
      <c r="I1003">
        <v>0</v>
      </c>
      <c r="J1003">
        <v>20000</v>
      </c>
      <c r="K1003">
        <v>820000</v>
      </c>
      <c r="L1003" t="s">
        <v>889</v>
      </c>
      <c r="M1003" t="s">
        <v>881</v>
      </c>
      <c r="N1003" t="s">
        <v>875</v>
      </c>
      <c r="O1003" s="9">
        <v>45717</v>
      </c>
      <c r="P1003" t="s">
        <v>877</v>
      </c>
      <c r="Q1003">
        <v>800000</v>
      </c>
      <c r="R1003" t="s">
        <v>806</v>
      </c>
      <c r="S1003" t="s">
        <v>743</v>
      </c>
      <c r="T1003" t="s">
        <v>744</v>
      </c>
      <c r="U1003" t="s">
        <v>475</v>
      </c>
      <c r="V1003" t="s">
        <v>7</v>
      </c>
      <c r="W1003" t="s">
        <v>46</v>
      </c>
      <c r="X1003" t="s">
        <v>9</v>
      </c>
    </row>
    <row r="1004" spans="1:24">
      <c r="A1004" t="s">
        <v>1899</v>
      </c>
      <c r="B1004" s="8">
        <v>45717</v>
      </c>
      <c r="C1004" t="s">
        <v>610</v>
      </c>
      <c r="D1004" t="s">
        <v>725</v>
      </c>
      <c r="E1004">
        <v>2</v>
      </c>
      <c r="F1004">
        <v>300000</v>
      </c>
      <c r="G1004">
        <v>600000</v>
      </c>
      <c r="H1004" t="s">
        <v>883</v>
      </c>
      <c r="I1004">
        <v>60000</v>
      </c>
      <c r="J1004">
        <v>20000</v>
      </c>
      <c r="K1004">
        <v>560000</v>
      </c>
      <c r="L1004" t="s">
        <v>880</v>
      </c>
      <c r="M1004" t="s">
        <v>881</v>
      </c>
      <c r="N1004" t="s">
        <v>875</v>
      </c>
      <c r="O1004" s="9">
        <v>45717</v>
      </c>
      <c r="P1004" t="s">
        <v>877</v>
      </c>
      <c r="Q1004">
        <v>540000</v>
      </c>
      <c r="R1004" t="s">
        <v>726</v>
      </c>
      <c r="S1004" t="s">
        <v>727</v>
      </c>
      <c r="T1004" t="s">
        <v>728</v>
      </c>
      <c r="U1004" t="s">
        <v>611</v>
      </c>
      <c r="V1004" t="s">
        <v>7</v>
      </c>
      <c r="W1004" t="s">
        <v>29</v>
      </c>
      <c r="X1004" t="s">
        <v>9</v>
      </c>
    </row>
    <row r="1005" spans="1:24">
      <c r="A1005" t="s">
        <v>1900</v>
      </c>
      <c r="B1005" s="8">
        <v>45800</v>
      </c>
      <c r="C1005" t="s">
        <v>488</v>
      </c>
      <c r="D1005" t="s">
        <v>837</v>
      </c>
      <c r="E1005">
        <v>2</v>
      </c>
      <c r="F1005">
        <v>300000</v>
      </c>
      <c r="G1005">
        <v>600000</v>
      </c>
      <c r="H1005" t="s">
        <v>895</v>
      </c>
      <c r="I1005">
        <v>90000</v>
      </c>
      <c r="J1005">
        <v>30000</v>
      </c>
      <c r="K1005">
        <v>540000</v>
      </c>
      <c r="L1005" t="s">
        <v>884</v>
      </c>
      <c r="M1005" t="s">
        <v>874</v>
      </c>
      <c r="N1005" t="s">
        <v>890</v>
      </c>
      <c r="O1005" s="9">
        <v>45778</v>
      </c>
      <c r="P1005" t="s">
        <v>892</v>
      </c>
      <c r="Q1005">
        <v>510000</v>
      </c>
      <c r="R1005" t="s">
        <v>838</v>
      </c>
      <c r="S1005" t="s">
        <v>735</v>
      </c>
      <c r="T1005" t="s">
        <v>736</v>
      </c>
      <c r="U1005" t="s">
        <v>489</v>
      </c>
      <c r="V1005" t="s">
        <v>23</v>
      </c>
      <c r="W1005" t="s">
        <v>20</v>
      </c>
      <c r="X1005" t="s">
        <v>15</v>
      </c>
    </row>
    <row r="1006" spans="1:24">
      <c r="A1006" t="s">
        <v>1901</v>
      </c>
      <c r="B1006" s="8">
        <v>45735</v>
      </c>
      <c r="C1006" t="s">
        <v>200</v>
      </c>
      <c r="D1006" t="s">
        <v>781</v>
      </c>
      <c r="E1006">
        <v>3</v>
      </c>
      <c r="F1006">
        <v>50000</v>
      </c>
      <c r="G1006">
        <v>150000</v>
      </c>
      <c r="H1006" t="s">
        <v>886</v>
      </c>
      <c r="I1006">
        <v>15000</v>
      </c>
      <c r="J1006">
        <v>25000</v>
      </c>
      <c r="K1006">
        <v>160000</v>
      </c>
      <c r="L1006" t="s">
        <v>873</v>
      </c>
      <c r="M1006" t="s">
        <v>881</v>
      </c>
      <c r="N1006" t="s">
        <v>890</v>
      </c>
      <c r="O1006" s="9">
        <v>45717</v>
      </c>
      <c r="P1006" t="s">
        <v>892</v>
      </c>
      <c r="Q1006">
        <v>135000</v>
      </c>
      <c r="R1006" t="s">
        <v>782</v>
      </c>
      <c r="S1006" t="s">
        <v>743</v>
      </c>
      <c r="T1006" t="s">
        <v>744</v>
      </c>
      <c r="U1006" t="s">
        <v>201</v>
      </c>
      <c r="V1006" t="s">
        <v>7</v>
      </c>
      <c r="W1006" t="s">
        <v>51</v>
      </c>
      <c r="X1006" t="s">
        <v>9</v>
      </c>
    </row>
    <row r="1007" spans="1:24">
      <c r="A1007" t="s">
        <v>1902</v>
      </c>
      <c r="B1007" s="8">
        <v>45752</v>
      </c>
      <c r="C1007" t="s">
        <v>464</v>
      </c>
      <c r="D1007" t="s">
        <v>753</v>
      </c>
      <c r="E1007">
        <v>2</v>
      </c>
      <c r="F1007">
        <v>300000</v>
      </c>
      <c r="G1007">
        <v>600000</v>
      </c>
      <c r="H1007" t="s">
        <v>872</v>
      </c>
      <c r="I1007">
        <v>0</v>
      </c>
      <c r="J1007">
        <v>30000</v>
      </c>
      <c r="K1007">
        <v>630000</v>
      </c>
      <c r="L1007" t="s">
        <v>884</v>
      </c>
      <c r="M1007" t="s">
        <v>903</v>
      </c>
      <c r="N1007" t="s">
        <v>875</v>
      </c>
      <c r="O1007" s="9">
        <v>45748</v>
      </c>
      <c r="P1007" t="s">
        <v>877</v>
      </c>
      <c r="Q1007">
        <v>600000</v>
      </c>
      <c r="R1007" t="s">
        <v>754</v>
      </c>
      <c r="S1007" t="s">
        <v>735</v>
      </c>
      <c r="T1007" t="s">
        <v>736</v>
      </c>
      <c r="U1007" t="s">
        <v>465</v>
      </c>
      <c r="V1007" t="s">
        <v>23</v>
      </c>
      <c r="W1007" t="s">
        <v>12</v>
      </c>
      <c r="X1007" t="s">
        <v>9</v>
      </c>
    </row>
    <row r="1008" spans="1:24">
      <c r="A1008" t="s">
        <v>1903</v>
      </c>
      <c r="B1008" s="8">
        <v>45680</v>
      </c>
      <c r="C1008" t="s">
        <v>71</v>
      </c>
      <c r="D1008" t="s">
        <v>745</v>
      </c>
      <c r="E1008">
        <v>1</v>
      </c>
      <c r="F1008">
        <v>500000</v>
      </c>
      <c r="G1008">
        <v>500000</v>
      </c>
      <c r="H1008" t="s">
        <v>886</v>
      </c>
      <c r="I1008">
        <v>50000</v>
      </c>
      <c r="J1008">
        <v>20000</v>
      </c>
      <c r="K1008">
        <v>470000</v>
      </c>
      <c r="L1008" t="s">
        <v>873</v>
      </c>
      <c r="M1008" t="s">
        <v>881</v>
      </c>
      <c r="N1008" t="s">
        <v>875</v>
      </c>
      <c r="O1008" s="9">
        <v>45658</v>
      </c>
      <c r="P1008" t="s">
        <v>877</v>
      </c>
      <c r="Q1008">
        <v>450000</v>
      </c>
      <c r="R1008" t="s">
        <v>746</v>
      </c>
      <c r="S1008" t="s">
        <v>747</v>
      </c>
      <c r="T1008" t="s">
        <v>748</v>
      </c>
      <c r="U1008" t="s">
        <v>72</v>
      </c>
      <c r="V1008" t="s">
        <v>23</v>
      </c>
      <c r="W1008" t="s">
        <v>29</v>
      </c>
      <c r="X1008" t="s">
        <v>15</v>
      </c>
    </row>
    <row r="1009" spans="1:24">
      <c r="A1009" t="s">
        <v>1904</v>
      </c>
      <c r="B1009" s="8">
        <v>45658</v>
      </c>
      <c r="C1009" t="s">
        <v>610</v>
      </c>
      <c r="D1009" t="s">
        <v>799</v>
      </c>
      <c r="E1009">
        <v>3</v>
      </c>
      <c r="F1009">
        <v>35000</v>
      </c>
      <c r="G1009">
        <v>105000</v>
      </c>
      <c r="H1009" t="s">
        <v>872</v>
      </c>
      <c r="I1009">
        <v>0</v>
      </c>
      <c r="J1009">
        <v>20000</v>
      </c>
      <c r="K1009">
        <v>125000</v>
      </c>
      <c r="L1009" t="s">
        <v>880</v>
      </c>
      <c r="M1009" t="s">
        <v>903</v>
      </c>
      <c r="N1009" t="s">
        <v>875</v>
      </c>
      <c r="O1009" s="9">
        <v>45658</v>
      </c>
      <c r="P1009" t="s">
        <v>877</v>
      </c>
      <c r="Q1009">
        <v>105000</v>
      </c>
      <c r="R1009" t="s">
        <v>800</v>
      </c>
      <c r="S1009" t="s">
        <v>731</v>
      </c>
      <c r="T1009" t="s">
        <v>732</v>
      </c>
      <c r="U1009" t="s">
        <v>611</v>
      </c>
      <c r="V1009" t="s">
        <v>7</v>
      </c>
      <c r="W1009" t="s">
        <v>29</v>
      </c>
      <c r="X1009" t="s">
        <v>9</v>
      </c>
    </row>
    <row r="1010" spans="1:24">
      <c r="A1010" t="s">
        <v>1905</v>
      </c>
      <c r="B1010" s="8">
        <v>45836</v>
      </c>
      <c r="C1010" t="s">
        <v>232</v>
      </c>
      <c r="D1010" t="s">
        <v>855</v>
      </c>
      <c r="E1010">
        <v>3</v>
      </c>
      <c r="F1010">
        <v>150000</v>
      </c>
      <c r="G1010">
        <v>450000</v>
      </c>
      <c r="H1010" t="s">
        <v>872</v>
      </c>
      <c r="I1010">
        <v>0</v>
      </c>
      <c r="J1010">
        <v>30000</v>
      </c>
      <c r="K1010">
        <v>480000</v>
      </c>
      <c r="L1010" t="s">
        <v>889</v>
      </c>
      <c r="M1010" t="s">
        <v>903</v>
      </c>
      <c r="N1010" t="s">
        <v>875</v>
      </c>
      <c r="O1010" s="9">
        <v>45809</v>
      </c>
      <c r="P1010" t="s">
        <v>877</v>
      </c>
      <c r="Q1010">
        <v>450000</v>
      </c>
      <c r="R1010" t="s">
        <v>856</v>
      </c>
      <c r="S1010" t="s">
        <v>747</v>
      </c>
      <c r="T1010" t="s">
        <v>748</v>
      </c>
      <c r="U1010" t="s">
        <v>233</v>
      </c>
      <c r="V1010" t="s">
        <v>23</v>
      </c>
      <c r="W1010" t="s">
        <v>137</v>
      </c>
      <c r="X1010" t="s">
        <v>9</v>
      </c>
    </row>
    <row r="1011" spans="1:24">
      <c r="A1011" t="s">
        <v>1906</v>
      </c>
      <c r="B1011" s="8">
        <v>45747</v>
      </c>
      <c r="C1011" t="s">
        <v>135</v>
      </c>
      <c r="D1011" t="s">
        <v>773</v>
      </c>
      <c r="E1011">
        <v>2</v>
      </c>
      <c r="F1011">
        <v>500000</v>
      </c>
      <c r="G1011">
        <v>1000000</v>
      </c>
      <c r="H1011" t="s">
        <v>872</v>
      </c>
      <c r="I1011">
        <v>0</v>
      </c>
      <c r="J1011">
        <v>15000</v>
      </c>
      <c r="K1011">
        <v>1015000</v>
      </c>
      <c r="L1011" t="s">
        <v>889</v>
      </c>
      <c r="M1011" t="s">
        <v>874</v>
      </c>
      <c r="N1011" t="s">
        <v>875</v>
      </c>
      <c r="O1011" s="9">
        <v>45717</v>
      </c>
      <c r="P1011" t="s">
        <v>877</v>
      </c>
      <c r="Q1011">
        <v>1000000</v>
      </c>
      <c r="R1011" t="s">
        <v>774</v>
      </c>
      <c r="S1011" t="s">
        <v>727</v>
      </c>
      <c r="T1011" t="s">
        <v>728</v>
      </c>
      <c r="U1011" t="s">
        <v>136</v>
      </c>
      <c r="V1011" t="s">
        <v>23</v>
      </c>
      <c r="W1011" t="s">
        <v>137</v>
      </c>
      <c r="X1011" t="s">
        <v>24</v>
      </c>
    </row>
    <row r="1012" spans="1:24">
      <c r="A1012" t="s">
        <v>1907</v>
      </c>
      <c r="B1012" s="8">
        <v>45777</v>
      </c>
      <c r="C1012" t="s">
        <v>376</v>
      </c>
      <c r="D1012" t="s">
        <v>799</v>
      </c>
      <c r="E1012">
        <v>1</v>
      </c>
      <c r="F1012">
        <v>35000</v>
      </c>
      <c r="G1012">
        <v>35000</v>
      </c>
      <c r="H1012" t="s">
        <v>872</v>
      </c>
      <c r="I1012">
        <v>0</v>
      </c>
      <c r="J1012">
        <v>15000</v>
      </c>
      <c r="K1012">
        <v>50000</v>
      </c>
      <c r="L1012" t="s">
        <v>889</v>
      </c>
      <c r="M1012" t="s">
        <v>874</v>
      </c>
      <c r="N1012" t="s">
        <v>875</v>
      </c>
      <c r="O1012" s="9">
        <v>45748</v>
      </c>
      <c r="P1012" t="s">
        <v>877</v>
      </c>
      <c r="Q1012">
        <v>35000</v>
      </c>
      <c r="R1012" t="s">
        <v>800</v>
      </c>
      <c r="S1012" t="s">
        <v>731</v>
      </c>
      <c r="T1012" t="s">
        <v>732</v>
      </c>
      <c r="U1012" t="s">
        <v>377</v>
      </c>
      <c r="V1012" t="s">
        <v>7</v>
      </c>
      <c r="W1012" t="s">
        <v>8</v>
      </c>
      <c r="X1012" t="s">
        <v>9</v>
      </c>
    </row>
    <row r="1013" spans="1:24">
      <c r="A1013" t="s">
        <v>1908</v>
      </c>
      <c r="B1013" s="8">
        <v>45821</v>
      </c>
      <c r="C1013" t="s">
        <v>516</v>
      </c>
      <c r="D1013" t="s">
        <v>759</v>
      </c>
      <c r="E1013">
        <v>1</v>
      </c>
      <c r="F1013">
        <v>300000</v>
      </c>
      <c r="G1013">
        <v>300000</v>
      </c>
      <c r="H1013" t="s">
        <v>872</v>
      </c>
      <c r="I1013">
        <v>0</v>
      </c>
      <c r="J1013">
        <v>30000</v>
      </c>
      <c r="K1013">
        <v>330000</v>
      </c>
      <c r="L1013" t="s">
        <v>880</v>
      </c>
      <c r="M1013" t="s">
        <v>903</v>
      </c>
      <c r="N1013" t="s">
        <v>905</v>
      </c>
      <c r="O1013" s="9">
        <v>45809</v>
      </c>
      <c r="P1013" t="s">
        <v>892</v>
      </c>
      <c r="Q1013">
        <v>300000</v>
      </c>
      <c r="R1013" t="s">
        <v>760</v>
      </c>
      <c r="S1013" t="s">
        <v>747</v>
      </c>
      <c r="T1013" t="s">
        <v>748</v>
      </c>
      <c r="U1013" t="s">
        <v>517</v>
      </c>
      <c r="V1013" t="s">
        <v>23</v>
      </c>
      <c r="W1013" t="s">
        <v>36</v>
      </c>
      <c r="X1013" t="s">
        <v>9</v>
      </c>
    </row>
    <row r="1014" spans="1:24">
      <c r="A1014" t="s">
        <v>1909</v>
      </c>
      <c r="B1014" s="8">
        <v>45831</v>
      </c>
      <c r="C1014" t="s">
        <v>708</v>
      </c>
      <c r="D1014" t="s">
        <v>771</v>
      </c>
      <c r="E1014">
        <v>3</v>
      </c>
      <c r="F1014">
        <v>500000</v>
      </c>
      <c r="G1014">
        <v>1500000</v>
      </c>
      <c r="H1014" t="s">
        <v>872</v>
      </c>
      <c r="I1014">
        <v>0</v>
      </c>
      <c r="J1014">
        <v>20000</v>
      </c>
      <c r="K1014">
        <v>1520000</v>
      </c>
      <c r="L1014" t="s">
        <v>889</v>
      </c>
      <c r="M1014" t="s">
        <v>874</v>
      </c>
      <c r="N1014" t="s">
        <v>875</v>
      </c>
      <c r="O1014" s="9">
        <v>45809</v>
      </c>
      <c r="P1014" t="s">
        <v>877</v>
      </c>
      <c r="Q1014">
        <v>1500000</v>
      </c>
      <c r="R1014" t="s">
        <v>772</v>
      </c>
      <c r="S1014" t="s">
        <v>747</v>
      </c>
      <c r="T1014" t="s">
        <v>748</v>
      </c>
      <c r="U1014" t="s">
        <v>709</v>
      </c>
      <c r="V1014" t="s">
        <v>23</v>
      </c>
      <c r="W1014" t="s">
        <v>39</v>
      </c>
      <c r="X1014" t="s">
        <v>9</v>
      </c>
    </row>
    <row r="1015" spans="1:24">
      <c r="A1015" t="s">
        <v>1910</v>
      </c>
      <c r="B1015" s="8">
        <v>45714</v>
      </c>
      <c r="C1015" t="s">
        <v>416</v>
      </c>
      <c r="D1015" t="s">
        <v>769</v>
      </c>
      <c r="E1015">
        <v>1</v>
      </c>
      <c r="F1015">
        <v>100000</v>
      </c>
      <c r="G1015">
        <v>100000</v>
      </c>
      <c r="H1015" t="s">
        <v>886</v>
      </c>
      <c r="I1015">
        <v>10000</v>
      </c>
      <c r="J1015">
        <v>30000</v>
      </c>
      <c r="K1015">
        <v>120000</v>
      </c>
      <c r="L1015" t="s">
        <v>884</v>
      </c>
      <c r="M1015" t="s">
        <v>901</v>
      </c>
      <c r="N1015" t="s">
        <v>875</v>
      </c>
      <c r="O1015" s="9">
        <v>45689</v>
      </c>
      <c r="P1015" t="s">
        <v>877</v>
      </c>
      <c r="Q1015">
        <v>90000</v>
      </c>
      <c r="R1015" t="s">
        <v>770</v>
      </c>
      <c r="S1015" t="s">
        <v>743</v>
      </c>
      <c r="T1015" t="s">
        <v>744</v>
      </c>
      <c r="U1015" t="s">
        <v>417</v>
      </c>
      <c r="V1015" t="s">
        <v>23</v>
      </c>
      <c r="W1015" t="s">
        <v>39</v>
      </c>
      <c r="X1015" t="s">
        <v>15</v>
      </c>
    </row>
    <row r="1016" spans="1:24">
      <c r="A1016" t="s">
        <v>1911</v>
      </c>
      <c r="B1016" s="8">
        <v>45679</v>
      </c>
      <c r="C1016" t="s">
        <v>660</v>
      </c>
      <c r="D1016" t="s">
        <v>793</v>
      </c>
      <c r="E1016">
        <v>2</v>
      </c>
      <c r="F1016">
        <v>500000</v>
      </c>
      <c r="G1016">
        <v>1000000</v>
      </c>
      <c r="H1016" t="s">
        <v>886</v>
      </c>
      <c r="I1016">
        <v>100000</v>
      </c>
      <c r="J1016">
        <v>20000</v>
      </c>
      <c r="K1016">
        <v>920000</v>
      </c>
      <c r="L1016" t="s">
        <v>889</v>
      </c>
      <c r="M1016" t="s">
        <v>881</v>
      </c>
      <c r="N1016" t="s">
        <v>875</v>
      </c>
      <c r="O1016" s="9">
        <v>45658</v>
      </c>
      <c r="P1016" t="s">
        <v>877</v>
      </c>
      <c r="Q1016">
        <v>900000</v>
      </c>
      <c r="R1016" t="s">
        <v>794</v>
      </c>
      <c r="S1016" t="s">
        <v>743</v>
      </c>
      <c r="T1016" t="s">
        <v>744</v>
      </c>
      <c r="U1016" t="s">
        <v>661</v>
      </c>
      <c r="V1016" t="s">
        <v>23</v>
      </c>
      <c r="W1016" t="s">
        <v>56</v>
      </c>
      <c r="X1016" t="s">
        <v>15</v>
      </c>
    </row>
    <row r="1017" spans="1:24">
      <c r="A1017" t="s">
        <v>1912</v>
      </c>
      <c r="B1017" s="8">
        <v>45830</v>
      </c>
      <c r="C1017" t="s">
        <v>300</v>
      </c>
      <c r="D1017" t="s">
        <v>755</v>
      </c>
      <c r="E1017">
        <v>1</v>
      </c>
      <c r="F1017">
        <v>50000</v>
      </c>
      <c r="G1017">
        <v>50000</v>
      </c>
      <c r="H1017" t="s">
        <v>872</v>
      </c>
      <c r="I1017">
        <v>0</v>
      </c>
      <c r="J1017">
        <v>20000</v>
      </c>
      <c r="K1017">
        <v>70000</v>
      </c>
      <c r="L1017" t="s">
        <v>884</v>
      </c>
      <c r="M1017" t="s">
        <v>874</v>
      </c>
      <c r="N1017" t="s">
        <v>875</v>
      </c>
      <c r="O1017" s="9">
        <v>45809</v>
      </c>
      <c r="P1017" t="s">
        <v>877</v>
      </c>
      <c r="Q1017">
        <v>50000</v>
      </c>
      <c r="R1017" t="s">
        <v>756</v>
      </c>
      <c r="S1017" t="s">
        <v>739</v>
      </c>
      <c r="T1017" t="s">
        <v>740</v>
      </c>
      <c r="U1017" t="s">
        <v>301</v>
      </c>
      <c r="V1017" t="s">
        <v>7</v>
      </c>
      <c r="W1017" t="s">
        <v>39</v>
      </c>
      <c r="X1017" t="s">
        <v>9</v>
      </c>
    </row>
    <row r="1018" spans="1:24">
      <c r="A1018" t="s">
        <v>1913</v>
      </c>
      <c r="B1018" s="8">
        <v>45703</v>
      </c>
      <c r="C1018" t="s">
        <v>190</v>
      </c>
      <c r="D1018" t="s">
        <v>761</v>
      </c>
      <c r="E1018">
        <v>2</v>
      </c>
      <c r="F1018">
        <v>75000</v>
      </c>
      <c r="G1018">
        <v>150000</v>
      </c>
      <c r="H1018" t="s">
        <v>872</v>
      </c>
      <c r="I1018">
        <v>0</v>
      </c>
      <c r="J1018">
        <v>25000</v>
      </c>
      <c r="K1018">
        <v>175000</v>
      </c>
      <c r="L1018" t="s">
        <v>884</v>
      </c>
      <c r="M1018" t="s">
        <v>901</v>
      </c>
      <c r="N1018" t="s">
        <v>875</v>
      </c>
      <c r="O1018" s="9">
        <v>45689</v>
      </c>
      <c r="P1018" t="s">
        <v>877</v>
      </c>
      <c r="Q1018">
        <v>150000</v>
      </c>
      <c r="R1018" t="s">
        <v>762</v>
      </c>
      <c r="S1018" t="s">
        <v>727</v>
      </c>
      <c r="T1018" t="s">
        <v>728</v>
      </c>
      <c r="U1018" t="s">
        <v>191</v>
      </c>
      <c r="V1018" t="s">
        <v>7</v>
      </c>
      <c r="W1018" t="s">
        <v>56</v>
      </c>
      <c r="X1018" t="s">
        <v>24</v>
      </c>
    </row>
    <row r="1019" spans="1:24">
      <c r="A1019" t="s">
        <v>1914</v>
      </c>
      <c r="B1019" s="8">
        <v>45660</v>
      </c>
      <c r="C1019" t="s">
        <v>712</v>
      </c>
      <c r="D1019" t="s">
        <v>839</v>
      </c>
      <c r="E1019">
        <v>1</v>
      </c>
      <c r="F1019">
        <v>200000</v>
      </c>
      <c r="G1019">
        <v>200000</v>
      </c>
      <c r="H1019" t="s">
        <v>895</v>
      </c>
      <c r="I1019">
        <v>30000</v>
      </c>
      <c r="J1019">
        <v>10000</v>
      </c>
      <c r="K1019">
        <v>180000</v>
      </c>
      <c r="L1019" t="s">
        <v>880</v>
      </c>
      <c r="M1019" t="s">
        <v>881</v>
      </c>
      <c r="N1019" t="s">
        <v>875</v>
      </c>
      <c r="O1019" s="9">
        <v>45658</v>
      </c>
      <c r="P1019" t="s">
        <v>877</v>
      </c>
      <c r="Q1019">
        <v>170000</v>
      </c>
      <c r="R1019" t="s">
        <v>840</v>
      </c>
      <c r="S1019" t="s">
        <v>739</v>
      </c>
      <c r="T1019" t="s">
        <v>740</v>
      </c>
      <c r="U1019" t="s">
        <v>713</v>
      </c>
      <c r="V1019" t="s">
        <v>23</v>
      </c>
      <c r="W1019" t="s">
        <v>29</v>
      </c>
      <c r="X1019" t="s">
        <v>9</v>
      </c>
    </row>
    <row r="1020" spans="1:24">
      <c r="A1020" t="s">
        <v>1915</v>
      </c>
      <c r="B1020" s="8">
        <v>45801</v>
      </c>
      <c r="C1020" t="s">
        <v>65</v>
      </c>
      <c r="D1020" t="s">
        <v>741</v>
      </c>
      <c r="E1020">
        <v>1</v>
      </c>
      <c r="F1020">
        <v>75000</v>
      </c>
      <c r="G1020">
        <v>75000</v>
      </c>
      <c r="H1020" t="s">
        <v>872</v>
      </c>
      <c r="I1020">
        <v>0</v>
      </c>
      <c r="J1020">
        <v>25000</v>
      </c>
      <c r="K1020">
        <v>100000</v>
      </c>
      <c r="L1020" t="s">
        <v>884</v>
      </c>
      <c r="M1020" t="s">
        <v>901</v>
      </c>
      <c r="N1020" t="s">
        <v>875</v>
      </c>
      <c r="O1020" s="9">
        <v>45778</v>
      </c>
      <c r="P1020" t="s">
        <v>877</v>
      </c>
      <c r="Q1020">
        <v>75000</v>
      </c>
      <c r="R1020" t="s">
        <v>742</v>
      </c>
      <c r="S1020" t="s">
        <v>743</v>
      </c>
      <c r="T1020" t="s">
        <v>744</v>
      </c>
      <c r="U1020" t="s">
        <v>66</v>
      </c>
      <c r="V1020" t="s">
        <v>23</v>
      </c>
      <c r="W1020" t="s">
        <v>29</v>
      </c>
      <c r="X1020" t="s">
        <v>24</v>
      </c>
    </row>
    <row r="1021" spans="1:24">
      <c r="A1021" t="s">
        <v>1916</v>
      </c>
      <c r="B1021" s="8">
        <v>45749</v>
      </c>
      <c r="C1021" t="s">
        <v>590</v>
      </c>
      <c r="D1021" t="s">
        <v>771</v>
      </c>
      <c r="E1021">
        <v>2</v>
      </c>
      <c r="F1021">
        <v>500000</v>
      </c>
      <c r="G1021">
        <v>1000000</v>
      </c>
      <c r="H1021" t="s">
        <v>872</v>
      </c>
      <c r="I1021">
        <v>0</v>
      </c>
      <c r="J1021">
        <v>25000</v>
      </c>
      <c r="K1021">
        <v>1025000</v>
      </c>
      <c r="L1021" t="s">
        <v>889</v>
      </c>
      <c r="M1021" t="s">
        <v>881</v>
      </c>
      <c r="N1021" t="s">
        <v>905</v>
      </c>
      <c r="O1021" s="9">
        <v>45748</v>
      </c>
      <c r="P1021" t="s">
        <v>892</v>
      </c>
      <c r="Q1021">
        <v>1000000</v>
      </c>
      <c r="R1021" t="s">
        <v>772</v>
      </c>
      <c r="S1021" t="s">
        <v>747</v>
      </c>
      <c r="T1021" t="s">
        <v>748</v>
      </c>
      <c r="U1021" t="s">
        <v>591</v>
      </c>
      <c r="V1021" t="s">
        <v>7</v>
      </c>
      <c r="W1021" t="s">
        <v>29</v>
      </c>
      <c r="X1021" t="s">
        <v>24</v>
      </c>
    </row>
    <row r="1022" spans="1:24">
      <c r="A1022" t="s">
        <v>1917</v>
      </c>
      <c r="B1022" s="8">
        <v>45803</v>
      </c>
      <c r="C1022" t="s">
        <v>468</v>
      </c>
      <c r="D1022" t="s">
        <v>785</v>
      </c>
      <c r="E1022">
        <v>4</v>
      </c>
      <c r="F1022">
        <v>100000</v>
      </c>
      <c r="G1022">
        <v>400000</v>
      </c>
      <c r="H1022" t="s">
        <v>895</v>
      </c>
      <c r="I1022">
        <v>60000</v>
      </c>
      <c r="J1022">
        <v>20000</v>
      </c>
      <c r="K1022">
        <v>360000</v>
      </c>
      <c r="L1022" t="s">
        <v>884</v>
      </c>
      <c r="M1022" t="s">
        <v>901</v>
      </c>
      <c r="N1022" t="s">
        <v>875</v>
      </c>
      <c r="O1022" s="9">
        <v>45778</v>
      </c>
      <c r="P1022" t="s">
        <v>877</v>
      </c>
      <c r="Q1022">
        <v>340000</v>
      </c>
      <c r="R1022" t="s">
        <v>786</v>
      </c>
      <c r="S1022" t="s">
        <v>727</v>
      </c>
      <c r="T1022" t="s">
        <v>728</v>
      </c>
      <c r="U1022" t="s">
        <v>469</v>
      </c>
      <c r="V1022" t="s">
        <v>23</v>
      </c>
      <c r="W1022" t="s">
        <v>12</v>
      </c>
      <c r="X1022" t="s">
        <v>24</v>
      </c>
    </row>
    <row r="1023" spans="1:24">
      <c r="A1023" t="s">
        <v>1918</v>
      </c>
      <c r="B1023" s="8">
        <v>45764</v>
      </c>
      <c r="C1023" t="s">
        <v>400</v>
      </c>
      <c r="D1023" t="s">
        <v>799</v>
      </c>
      <c r="E1023">
        <v>1</v>
      </c>
      <c r="F1023">
        <v>35000</v>
      </c>
      <c r="G1023">
        <v>35000</v>
      </c>
      <c r="H1023" t="s">
        <v>886</v>
      </c>
      <c r="I1023">
        <v>3500</v>
      </c>
      <c r="J1023">
        <v>20000</v>
      </c>
      <c r="K1023">
        <v>51500</v>
      </c>
      <c r="L1023" t="s">
        <v>884</v>
      </c>
      <c r="M1023" t="s">
        <v>903</v>
      </c>
      <c r="N1023" t="s">
        <v>875</v>
      </c>
      <c r="O1023" s="9">
        <v>45748</v>
      </c>
      <c r="P1023" t="s">
        <v>877</v>
      </c>
      <c r="Q1023">
        <v>31500</v>
      </c>
      <c r="R1023" t="s">
        <v>800</v>
      </c>
      <c r="S1023" t="s">
        <v>731</v>
      </c>
      <c r="T1023" t="s">
        <v>732</v>
      </c>
      <c r="U1023" t="s">
        <v>401</v>
      </c>
      <c r="V1023" t="s">
        <v>23</v>
      </c>
      <c r="W1023" t="s">
        <v>20</v>
      </c>
      <c r="X1023" t="s">
        <v>9</v>
      </c>
    </row>
    <row r="1024" spans="1:24">
      <c r="A1024" t="s">
        <v>1919</v>
      </c>
      <c r="B1024" s="8">
        <v>45751</v>
      </c>
      <c r="C1024" t="s">
        <v>170</v>
      </c>
      <c r="D1024" t="s">
        <v>805</v>
      </c>
      <c r="E1024">
        <v>1</v>
      </c>
      <c r="F1024">
        <v>200000</v>
      </c>
      <c r="G1024">
        <v>200000</v>
      </c>
      <c r="H1024" t="s">
        <v>872</v>
      </c>
      <c r="I1024">
        <v>0</v>
      </c>
      <c r="J1024">
        <v>25000</v>
      </c>
      <c r="K1024">
        <v>225000</v>
      </c>
      <c r="L1024" t="s">
        <v>884</v>
      </c>
      <c r="M1024" t="s">
        <v>901</v>
      </c>
      <c r="N1024" t="s">
        <v>875</v>
      </c>
      <c r="O1024" s="9">
        <v>45748</v>
      </c>
      <c r="P1024" t="s">
        <v>877</v>
      </c>
      <c r="Q1024">
        <v>200000</v>
      </c>
      <c r="R1024" t="s">
        <v>806</v>
      </c>
      <c r="S1024" t="s">
        <v>743</v>
      </c>
      <c r="T1024" t="s">
        <v>744</v>
      </c>
      <c r="U1024" t="s">
        <v>171</v>
      </c>
      <c r="V1024" t="s">
        <v>7</v>
      </c>
      <c r="W1024" t="s">
        <v>29</v>
      </c>
      <c r="X1024" t="s">
        <v>9</v>
      </c>
    </row>
    <row r="1025" spans="1:24">
      <c r="A1025" t="s">
        <v>1920</v>
      </c>
      <c r="B1025" s="8">
        <v>45771</v>
      </c>
      <c r="C1025" t="s">
        <v>464</v>
      </c>
      <c r="D1025" t="s">
        <v>737</v>
      </c>
      <c r="E1025">
        <v>3</v>
      </c>
      <c r="F1025">
        <v>300000</v>
      </c>
      <c r="G1025">
        <v>900000</v>
      </c>
      <c r="H1025" t="s">
        <v>872</v>
      </c>
      <c r="I1025">
        <v>0</v>
      </c>
      <c r="J1025">
        <v>10000</v>
      </c>
      <c r="K1025">
        <v>910000</v>
      </c>
      <c r="L1025" t="s">
        <v>889</v>
      </c>
      <c r="M1025" t="s">
        <v>901</v>
      </c>
      <c r="N1025" t="s">
        <v>905</v>
      </c>
      <c r="O1025" s="9">
        <v>45748</v>
      </c>
      <c r="P1025" t="s">
        <v>892</v>
      </c>
      <c r="Q1025">
        <v>900000</v>
      </c>
      <c r="R1025" t="s">
        <v>738</v>
      </c>
      <c r="S1025" t="s">
        <v>739</v>
      </c>
      <c r="T1025" t="s">
        <v>740</v>
      </c>
      <c r="U1025" t="s">
        <v>465</v>
      </c>
      <c r="V1025" t="s">
        <v>23</v>
      </c>
      <c r="W1025" t="s">
        <v>12</v>
      </c>
      <c r="X1025" t="s">
        <v>9</v>
      </c>
    </row>
    <row r="1026" spans="1:24">
      <c r="A1026" t="s">
        <v>1921</v>
      </c>
      <c r="B1026" s="8">
        <v>45783</v>
      </c>
      <c r="C1026" t="s">
        <v>430</v>
      </c>
      <c r="D1026" t="s">
        <v>817</v>
      </c>
      <c r="E1026">
        <v>3</v>
      </c>
      <c r="F1026">
        <v>75000</v>
      </c>
      <c r="G1026">
        <v>225000</v>
      </c>
      <c r="H1026" t="s">
        <v>886</v>
      </c>
      <c r="I1026">
        <v>22500</v>
      </c>
      <c r="J1026">
        <v>30000</v>
      </c>
      <c r="K1026">
        <v>232500</v>
      </c>
      <c r="L1026" t="s">
        <v>873</v>
      </c>
      <c r="M1026" t="s">
        <v>881</v>
      </c>
      <c r="N1026" t="s">
        <v>875</v>
      </c>
      <c r="O1026" s="9">
        <v>45778</v>
      </c>
      <c r="P1026" t="s">
        <v>877</v>
      </c>
      <c r="Q1026">
        <v>202500</v>
      </c>
      <c r="R1026" t="s">
        <v>818</v>
      </c>
      <c r="S1026" t="s">
        <v>743</v>
      </c>
      <c r="T1026" t="s">
        <v>744</v>
      </c>
      <c r="U1026" t="s">
        <v>431</v>
      </c>
      <c r="V1026" t="s">
        <v>23</v>
      </c>
      <c r="W1026" t="s">
        <v>56</v>
      </c>
      <c r="X1026" t="s">
        <v>9</v>
      </c>
    </row>
    <row r="1027" spans="1:24">
      <c r="A1027" t="s">
        <v>1922</v>
      </c>
      <c r="B1027" s="8">
        <v>45785</v>
      </c>
      <c r="C1027" t="s">
        <v>530</v>
      </c>
      <c r="D1027" t="s">
        <v>837</v>
      </c>
      <c r="E1027">
        <v>3</v>
      </c>
      <c r="F1027">
        <v>300000</v>
      </c>
      <c r="G1027">
        <v>900000</v>
      </c>
      <c r="H1027" t="s">
        <v>872</v>
      </c>
      <c r="I1027">
        <v>0</v>
      </c>
      <c r="J1027">
        <v>15000</v>
      </c>
      <c r="K1027">
        <v>915000</v>
      </c>
      <c r="L1027" t="s">
        <v>889</v>
      </c>
      <c r="M1027" t="s">
        <v>874</v>
      </c>
      <c r="N1027" t="s">
        <v>875</v>
      </c>
      <c r="O1027" s="9">
        <v>45778</v>
      </c>
      <c r="P1027" t="s">
        <v>877</v>
      </c>
      <c r="Q1027">
        <v>900000</v>
      </c>
      <c r="R1027" t="s">
        <v>838</v>
      </c>
      <c r="S1027" t="s">
        <v>735</v>
      </c>
      <c r="T1027" t="s">
        <v>736</v>
      </c>
      <c r="U1027" t="s">
        <v>531</v>
      </c>
      <c r="V1027" t="s">
        <v>23</v>
      </c>
      <c r="W1027" t="s">
        <v>8</v>
      </c>
      <c r="X1027" t="s">
        <v>9</v>
      </c>
    </row>
    <row r="1028" spans="1:24">
      <c r="A1028" t="s">
        <v>1923</v>
      </c>
      <c r="B1028" s="8">
        <v>45792</v>
      </c>
      <c r="C1028" t="s">
        <v>560</v>
      </c>
      <c r="D1028" t="s">
        <v>855</v>
      </c>
      <c r="E1028">
        <v>1</v>
      </c>
      <c r="F1028">
        <v>150000</v>
      </c>
      <c r="G1028">
        <v>150000</v>
      </c>
      <c r="H1028" t="s">
        <v>872</v>
      </c>
      <c r="I1028">
        <v>0</v>
      </c>
      <c r="J1028">
        <v>10000</v>
      </c>
      <c r="K1028">
        <v>160000</v>
      </c>
      <c r="L1028" t="s">
        <v>884</v>
      </c>
      <c r="M1028" t="s">
        <v>874</v>
      </c>
      <c r="N1028" t="s">
        <v>875</v>
      </c>
      <c r="O1028" s="9">
        <v>45778</v>
      </c>
      <c r="P1028" t="s">
        <v>877</v>
      </c>
      <c r="Q1028">
        <v>150000</v>
      </c>
      <c r="R1028" t="s">
        <v>856</v>
      </c>
      <c r="S1028" t="s">
        <v>747</v>
      </c>
      <c r="T1028" t="s">
        <v>748</v>
      </c>
      <c r="U1028" t="s">
        <v>561</v>
      </c>
      <c r="V1028" t="s">
        <v>7</v>
      </c>
      <c r="W1028" t="s">
        <v>12</v>
      </c>
      <c r="X1028" t="s">
        <v>24</v>
      </c>
    </row>
    <row r="1029" spans="1:24">
      <c r="A1029" t="s">
        <v>1924</v>
      </c>
      <c r="B1029" s="8">
        <v>45764</v>
      </c>
      <c r="C1029" t="s">
        <v>464</v>
      </c>
      <c r="D1029" t="s">
        <v>767</v>
      </c>
      <c r="E1029">
        <v>1</v>
      </c>
      <c r="F1029">
        <v>150000</v>
      </c>
      <c r="G1029">
        <v>150000</v>
      </c>
      <c r="H1029" t="s">
        <v>872</v>
      </c>
      <c r="I1029">
        <v>0</v>
      </c>
      <c r="J1029">
        <v>25000</v>
      </c>
      <c r="K1029">
        <v>175000</v>
      </c>
      <c r="L1029" t="s">
        <v>873</v>
      </c>
      <c r="M1029" t="s">
        <v>903</v>
      </c>
      <c r="N1029" t="s">
        <v>875</v>
      </c>
      <c r="O1029" s="9">
        <v>45748</v>
      </c>
      <c r="P1029" t="s">
        <v>877</v>
      </c>
      <c r="Q1029">
        <v>150000</v>
      </c>
      <c r="R1029" t="s">
        <v>768</v>
      </c>
      <c r="S1029" t="s">
        <v>739</v>
      </c>
      <c r="T1029" t="s">
        <v>740</v>
      </c>
      <c r="U1029" t="s">
        <v>465</v>
      </c>
      <c r="V1029" t="s">
        <v>23</v>
      </c>
      <c r="W1029" t="s">
        <v>12</v>
      </c>
      <c r="X1029" t="s">
        <v>9</v>
      </c>
    </row>
    <row r="1030" spans="1:24">
      <c r="A1030" t="s">
        <v>1925</v>
      </c>
      <c r="B1030" s="8">
        <v>45771</v>
      </c>
      <c r="C1030" t="s">
        <v>310</v>
      </c>
      <c r="D1030" t="s">
        <v>737</v>
      </c>
      <c r="E1030">
        <v>4</v>
      </c>
      <c r="F1030">
        <v>300000</v>
      </c>
      <c r="G1030">
        <v>1200000</v>
      </c>
      <c r="H1030" t="s">
        <v>872</v>
      </c>
      <c r="I1030">
        <v>0</v>
      </c>
      <c r="J1030">
        <v>10000</v>
      </c>
      <c r="K1030">
        <v>1210000</v>
      </c>
      <c r="L1030" t="s">
        <v>884</v>
      </c>
      <c r="M1030" t="s">
        <v>874</v>
      </c>
      <c r="N1030" t="s">
        <v>875</v>
      </c>
      <c r="O1030" s="9">
        <v>45748</v>
      </c>
      <c r="P1030" t="s">
        <v>877</v>
      </c>
      <c r="Q1030">
        <v>1200000</v>
      </c>
      <c r="R1030" t="s">
        <v>738</v>
      </c>
      <c r="S1030" t="s">
        <v>739</v>
      </c>
      <c r="T1030" t="s">
        <v>740</v>
      </c>
      <c r="U1030" t="s">
        <v>311</v>
      </c>
      <c r="V1030" t="s">
        <v>7</v>
      </c>
      <c r="W1030" t="s">
        <v>46</v>
      </c>
      <c r="X1030" t="s">
        <v>15</v>
      </c>
    </row>
    <row r="1031" spans="1:24">
      <c r="A1031" t="s">
        <v>1926</v>
      </c>
      <c r="B1031" s="8">
        <v>45697</v>
      </c>
      <c r="C1031" t="s">
        <v>13</v>
      </c>
      <c r="D1031" t="s">
        <v>769</v>
      </c>
      <c r="E1031">
        <v>1</v>
      </c>
      <c r="F1031">
        <v>100000</v>
      </c>
      <c r="G1031">
        <v>100000</v>
      </c>
      <c r="H1031" t="s">
        <v>872</v>
      </c>
      <c r="I1031">
        <v>0</v>
      </c>
      <c r="J1031">
        <v>25000</v>
      </c>
      <c r="K1031">
        <v>125000</v>
      </c>
      <c r="L1031" t="s">
        <v>889</v>
      </c>
      <c r="M1031" t="s">
        <v>874</v>
      </c>
      <c r="N1031" t="s">
        <v>905</v>
      </c>
      <c r="O1031" s="9">
        <v>45689</v>
      </c>
      <c r="P1031" t="s">
        <v>892</v>
      </c>
      <c r="Q1031">
        <v>100000</v>
      </c>
      <c r="R1031" t="s">
        <v>770</v>
      </c>
      <c r="S1031" t="s">
        <v>743</v>
      </c>
      <c r="T1031" t="s">
        <v>744</v>
      </c>
      <c r="U1031" t="s">
        <v>14</v>
      </c>
      <c r="V1031" t="s">
        <v>7</v>
      </c>
      <c r="W1031" t="s">
        <v>8</v>
      </c>
      <c r="X1031" t="s">
        <v>15</v>
      </c>
    </row>
    <row r="1032" spans="1:24">
      <c r="A1032" t="s">
        <v>1927</v>
      </c>
      <c r="B1032" s="8">
        <v>45791</v>
      </c>
      <c r="C1032" t="s">
        <v>350</v>
      </c>
      <c r="D1032" t="s">
        <v>787</v>
      </c>
      <c r="E1032">
        <v>1</v>
      </c>
      <c r="F1032">
        <v>200000</v>
      </c>
      <c r="G1032">
        <v>200000</v>
      </c>
      <c r="H1032" t="s">
        <v>872</v>
      </c>
      <c r="I1032">
        <v>0</v>
      </c>
      <c r="J1032">
        <v>20000</v>
      </c>
      <c r="K1032">
        <v>220000</v>
      </c>
      <c r="L1032" t="s">
        <v>884</v>
      </c>
      <c r="M1032" t="s">
        <v>881</v>
      </c>
      <c r="N1032" t="s">
        <v>875</v>
      </c>
      <c r="O1032" s="9">
        <v>45778</v>
      </c>
      <c r="P1032" t="s">
        <v>877</v>
      </c>
      <c r="Q1032">
        <v>200000</v>
      </c>
      <c r="R1032" t="s">
        <v>788</v>
      </c>
      <c r="S1032" t="s">
        <v>731</v>
      </c>
      <c r="T1032" t="s">
        <v>732</v>
      </c>
      <c r="U1032" t="s">
        <v>351</v>
      </c>
      <c r="V1032" t="s">
        <v>23</v>
      </c>
      <c r="W1032" t="s">
        <v>36</v>
      </c>
      <c r="X1032" t="s">
        <v>9</v>
      </c>
    </row>
    <row r="1033" spans="1:24">
      <c r="A1033" t="s">
        <v>1928</v>
      </c>
      <c r="B1033" s="8">
        <v>45801</v>
      </c>
      <c r="C1033" t="s">
        <v>432</v>
      </c>
      <c r="D1033" t="s">
        <v>821</v>
      </c>
      <c r="E1033">
        <v>1</v>
      </c>
      <c r="F1033">
        <v>50000</v>
      </c>
      <c r="G1033">
        <v>50000</v>
      </c>
      <c r="H1033" t="s">
        <v>883</v>
      </c>
      <c r="I1033">
        <v>5000</v>
      </c>
      <c r="J1033">
        <v>20000</v>
      </c>
      <c r="K1033">
        <v>65000</v>
      </c>
      <c r="L1033" t="s">
        <v>884</v>
      </c>
      <c r="M1033" t="s">
        <v>874</v>
      </c>
      <c r="N1033" t="s">
        <v>875</v>
      </c>
      <c r="O1033" s="9">
        <v>45778</v>
      </c>
      <c r="P1033" t="s">
        <v>877</v>
      </c>
      <c r="Q1033">
        <v>45000</v>
      </c>
      <c r="R1033" t="s">
        <v>822</v>
      </c>
      <c r="S1033" t="s">
        <v>727</v>
      </c>
      <c r="T1033" t="s">
        <v>728</v>
      </c>
      <c r="U1033" t="s">
        <v>433</v>
      </c>
      <c r="V1033" t="s">
        <v>23</v>
      </c>
      <c r="W1033" t="s">
        <v>39</v>
      </c>
      <c r="X1033" t="s">
        <v>9</v>
      </c>
    </row>
    <row r="1034" spans="1:24">
      <c r="A1034" t="s">
        <v>1929</v>
      </c>
      <c r="B1034" s="8">
        <v>45820</v>
      </c>
      <c r="C1034" t="s">
        <v>364</v>
      </c>
      <c r="D1034" t="s">
        <v>843</v>
      </c>
      <c r="E1034">
        <v>1</v>
      </c>
      <c r="F1034">
        <v>100000</v>
      </c>
      <c r="G1034">
        <v>100000</v>
      </c>
      <c r="H1034" t="s">
        <v>872</v>
      </c>
      <c r="I1034">
        <v>0</v>
      </c>
      <c r="J1034">
        <v>30000</v>
      </c>
      <c r="K1034">
        <v>130000</v>
      </c>
      <c r="L1034" t="s">
        <v>873</v>
      </c>
      <c r="M1034" t="s">
        <v>901</v>
      </c>
      <c r="N1034" t="s">
        <v>905</v>
      </c>
      <c r="O1034" s="9">
        <v>45809</v>
      </c>
      <c r="P1034" t="s">
        <v>892</v>
      </c>
      <c r="Q1034">
        <v>100000</v>
      </c>
      <c r="R1034" t="s">
        <v>844</v>
      </c>
      <c r="S1034" t="s">
        <v>747</v>
      </c>
      <c r="T1034" t="s">
        <v>748</v>
      </c>
      <c r="U1034" t="s">
        <v>365</v>
      </c>
      <c r="V1034" t="s">
        <v>23</v>
      </c>
      <c r="W1034" t="s">
        <v>46</v>
      </c>
      <c r="X1034" t="s">
        <v>24</v>
      </c>
    </row>
    <row r="1035" spans="1:24">
      <c r="A1035" t="s">
        <v>1930</v>
      </c>
      <c r="B1035" s="8">
        <v>45709</v>
      </c>
      <c r="C1035" t="s">
        <v>344</v>
      </c>
      <c r="D1035" t="s">
        <v>819</v>
      </c>
      <c r="E1035">
        <v>1</v>
      </c>
      <c r="F1035">
        <v>300000</v>
      </c>
      <c r="G1035">
        <v>300000</v>
      </c>
      <c r="H1035" t="s">
        <v>886</v>
      </c>
      <c r="I1035">
        <v>30000</v>
      </c>
      <c r="J1035">
        <v>10000</v>
      </c>
      <c r="K1035">
        <v>280000</v>
      </c>
      <c r="L1035" t="s">
        <v>884</v>
      </c>
      <c r="M1035" t="s">
        <v>901</v>
      </c>
      <c r="N1035" t="s">
        <v>875</v>
      </c>
      <c r="O1035" s="9">
        <v>45689</v>
      </c>
      <c r="P1035" t="s">
        <v>877</v>
      </c>
      <c r="Q1035">
        <v>270000</v>
      </c>
      <c r="R1035" t="s">
        <v>820</v>
      </c>
      <c r="S1035" t="s">
        <v>747</v>
      </c>
      <c r="T1035" t="s">
        <v>748</v>
      </c>
      <c r="U1035" t="s">
        <v>345</v>
      </c>
      <c r="V1035" t="s">
        <v>23</v>
      </c>
      <c r="W1035" t="s">
        <v>137</v>
      </c>
      <c r="X1035" t="s">
        <v>24</v>
      </c>
    </row>
    <row r="1036" spans="1:24">
      <c r="A1036" t="s">
        <v>1931</v>
      </c>
      <c r="B1036" s="8">
        <v>45750</v>
      </c>
      <c r="C1036" t="s">
        <v>194</v>
      </c>
      <c r="D1036" t="s">
        <v>767</v>
      </c>
      <c r="E1036">
        <v>1</v>
      </c>
      <c r="F1036">
        <v>150000</v>
      </c>
      <c r="G1036">
        <v>150000</v>
      </c>
      <c r="H1036" t="s">
        <v>883</v>
      </c>
      <c r="I1036">
        <v>15000</v>
      </c>
      <c r="J1036">
        <v>20000</v>
      </c>
      <c r="K1036">
        <v>155000</v>
      </c>
      <c r="L1036" t="s">
        <v>889</v>
      </c>
      <c r="M1036" t="s">
        <v>874</v>
      </c>
      <c r="N1036" t="s">
        <v>905</v>
      </c>
      <c r="O1036" s="9">
        <v>45748</v>
      </c>
      <c r="P1036" t="s">
        <v>892</v>
      </c>
      <c r="Q1036">
        <v>135000</v>
      </c>
      <c r="R1036" t="s">
        <v>768</v>
      </c>
      <c r="S1036" t="s">
        <v>739</v>
      </c>
      <c r="T1036" t="s">
        <v>740</v>
      </c>
      <c r="U1036" t="s">
        <v>195</v>
      </c>
      <c r="V1036" t="s">
        <v>7</v>
      </c>
      <c r="W1036" t="s">
        <v>36</v>
      </c>
      <c r="X1036" t="s">
        <v>24</v>
      </c>
    </row>
    <row r="1037" spans="1:24">
      <c r="A1037" t="s">
        <v>1932</v>
      </c>
      <c r="B1037" s="8">
        <v>45672</v>
      </c>
      <c r="C1037" t="s">
        <v>532</v>
      </c>
      <c r="D1037" t="s">
        <v>749</v>
      </c>
      <c r="E1037">
        <v>1</v>
      </c>
      <c r="F1037">
        <v>150000</v>
      </c>
      <c r="G1037">
        <v>150000</v>
      </c>
      <c r="H1037" t="s">
        <v>872</v>
      </c>
      <c r="I1037">
        <v>0</v>
      </c>
      <c r="J1037">
        <v>20000</v>
      </c>
      <c r="K1037">
        <v>170000</v>
      </c>
      <c r="L1037" t="s">
        <v>873</v>
      </c>
      <c r="M1037" t="s">
        <v>903</v>
      </c>
      <c r="N1037" t="s">
        <v>875</v>
      </c>
      <c r="O1037" s="9">
        <v>45658</v>
      </c>
      <c r="P1037" t="s">
        <v>877</v>
      </c>
      <c r="Q1037">
        <v>150000</v>
      </c>
      <c r="R1037" t="s">
        <v>750</v>
      </c>
      <c r="S1037" t="s">
        <v>727</v>
      </c>
      <c r="T1037" t="s">
        <v>728</v>
      </c>
      <c r="U1037" t="s">
        <v>533</v>
      </c>
      <c r="V1037" t="s">
        <v>7</v>
      </c>
      <c r="W1037" t="s">
        <v>12</v>
      </c>
      <c r="X1037" t="s">
        <v>24</v>
      </c>
    </row>
    <row r="1038" spans="1:24">
      <c r="A1038" t="s">
        <v>1933</v>
      </c>
      <c r="B1038" s="8">
        <v>45750</v>
      </c>
      <c r="C1038" t="s">
        <v>506</v>
      </c>
      <c r="D1038" t="s">
        <v>811</v>
      </c>
      <c r="E1038">
        <v>1</v>
      </c>
      <c r="F1038">
        <v>35000</v>
      </c>
      <c r="G1038">
        <v>35000</v>
      </c>
      <c r="H1038" t="s">
        <v>872</v>
      </c>
      <c r="I1038">
        <v>0</v>
      </c>
      <c r="J1038">
        <v>20000</v>
      </c>
      <c r="K1038">
        <v>55000</v>
      </c>
      <c r="L1038" t="s">
        <v>880</v>
      </c>
      <c r="M1038" t="s">
        <v>903</v>
      </c>
      <c r="N1038" t="s">
        <v>875</v>
      </c>
      <c r="O1038" s="9">
        <v>45748</v>
      </c>
      <c r="P1038" t="s">
        <v>877</v>
      </c>
      <c r="Q1038">
        <v>35000</v>
      </c>
      <c r="R1038" t="s">
        <v>812</v>
      </c>
      <c r="S1038" t="s">
        <v>731</v>
      </c>
      <c r="T1038" t="s">
        <v>732</v>
      </c>
      <c r="U1038" t="s">
        <v>507</v>
      </c>
      <c r="V1038" t="s">
        <v>23</v>
      </c>
      <c r="W1038" t="s">
        <v>12</v>
      </c>
      <c r="X1038" t="s">
        <v>9</v>
      </c>
    </row>
    <row r="1039" spans="1:24">
      <c r="A1039" t="s">
        <v>1934</v>
      </c>
      <c r="B1039" s="8">
        <v>45738</v>
      </c>
      <c r="C1039" t="s">
        <v>89</v>
      </c>
      <c r="D1039" t="s">
        <v>733</v>
      </c>
      <c r="E1039">
        <v>1</v>
      </c>
      <c r="F1039">
        <v>150000</v>
      </c>
      <c r="G1039">
        <v>150000</v>
      </c>
      <c r="H1039" t="s">
        <v>872</v>
      </c>
      <c r="I1039">
        <v>0</v>
      </c>
      <c r="J1039">
        <v>25000</v>
      </c>
      <c r="K1039">
        <v>175000</v>
      </c>
      <c r="L1039" t="s">
        <v>873</v>
      </c>
      <c r="M1039" t="s">
        <v>874</v>
      </c>
      <c r="N1039" t="s">
        <v>875</v>
      </c>
      <c r="O1039" s="9">
        <v>45717</v>
      </c>
      <c r="P1039" t="s">
        <v>877</v>
      </c>
      <c r="Q1039">
        <v>150000</v>
      </c>
      <c r="R1039" t="s">
        <v>734</v>
      </c>
      <c r="S1039" t="s">
        <v>735</v>
      </c>
      <c r="T1039" t="s">
        <v>736</v>
      </c>
      <c r="U1039" t="s">
        <v>90</v>
      </c>
      <c r="V1039" t="s">
        <v>23</v>
      </c>
      <c r="W1039" t="s">
        <v>46</v>
      </c>
      <c r="X1039" t="s">
        <v>9</v>
      </c>
    </row>
    <row r="1040" spans="1:24">
      <c r="A1040" t="s">
        <v>1935</v>
      </c>
      <c r="B1040" s="8">
        <v>45766</v>
      </c>
      <c r="C1040" t="s">
        <v>176</v>
      </c>
      <c r="D1040" t="s">
        <v>745</v>
      </c>
      <c r="E1040">
        <v>1</v>
      </c>
      <c r="F1040">
        <v>500000</v>
      </c>
      <c r="G1040">
        <v>500000</v>
      </c>
      <c r="H1040" t="s">
        <v>879</v>
      </c>
      <c r="I1040">
        <v>100000</v>
      </c>
      <c r="J1040">
        <v>15000</v>
      </c>
      <c r="K1040">
        <v>415000</v>
      </c>
      <c r="L1040" t="s">
        <v>884</v>
      </c>
      <c r="M1040" t="s">
        <v>901</v>
      </c>
      <c r="N1040" t="s">
        <v>875</v>
      </c>
      <c r="O1040" s="9">
        <v>45748</v>
      </c>
      <c r="P1040" t="s">
        <v>877</v>
      </c>
      <c r="Q1040">
        <v>400000</v>
      </c>
      <c r="R1040" t="s">
        <v>746</v>
      </c>
      <c r="S1040" t="s">
        <v>747</v>
      </c>
      <c r="T1040" t="s">
        <v>748</v>
      </c>
      <c r="U1040" t="s">
        <v>177</v>
      </c>
      <c r="V1040" t="s">
        <v>7</v>
      </c>
      <c r="W1040" t="s">
        <v>56</v>
      </c>
      <c r="X1040" t="s">
        <v>9</v>
      </c>
    </row>
    <row r="1041" spans="1:24">
      <c r="A1041" t="s">
        <v>1936</v>
      </c>
      <c r="B1041" s="8">
        <v>45762</v>
      </c>
      <c r="C1041" t="s">
        <v>490</v>
      </c>
      <c r="D1041" t="s">
        <v>825</v>
      </c>
      <c r="E1041">
        <v>3</v>
      </c>
      <c r="F1041">
        <v>100000</v>
      </c>
      <c r="G1041">
        <v>300000</v>
      </c>
      <c r="H1041" t="s">
        <v>872</v>
      </c>
      <c r="I1041">
        <v>0</v>
      </c>
      <c r="J1041">
        <v>25000</v>
      </c>
      <c r="K1041">
        <v>325000</v>
      </c>
      <c r="L1041" t="s">
        <v>873</v>
      </c>
      <c r="M1041" t="s">
        <v>881</v>
      </c>
      <c r="N1041" t="s">
        <v>921</v>
      </c>
      <c r="O1041" s="9">
        <v>45748</v>
      </c>
      <c r="P1041" t="s">
        <v>892</v>
      </c>
      <c r="Q1041">
        <v>300000</v>
      </c>
      <c r="R1041" t="s">
        <v>826</v>
      </c>
      <c r="S1041" t="s">
        <v>735</v>
      </c>
      <c r="T1041" t="s">
        <v>736</v>
      </c>
      <c r="U1041" t="s">
        <v>491</v>
      </c>
      <c r="V1041" t="s">
        <v>23</v>
      </c>
      <c r="W1041" t="s">
        <v>39</v>
      </c>
      <c r="X1041" t="s">
        <v>9</v>
      </c>
    </row>
    <row r="1042" spans="1:24">
      <c r="A1042" t="s">
        <v>1937</v>
      </c>
      <c r="B1042" s="8">
        <v>45804</v>
      </c>
      <c r="C1042" t="s">
        <v>326</v>
      </c>
      <c r="D1042" t="s">
        <v>765</v>
      </c>
      <c r="E1042">
        <v>4</v>
      </c>
      <c r="F1042">
        <v>500000</v>
      </c>
      <c r="G1042">
        <v>2000000</v>
      </c>
      <c r="H1042" t="s">
        <v>879</v>
      </c>
      <c r="I1042">
        <v>400000</v>
      </c>
      <c r="J1042">
        <v>25000</v>
      </c>
      <c r="K1042">
        <v>1625000</v>
      </c>
      <c r="L1042" t="s">
        <v>880</v>
      </c>
      <c r="M1042" t="s">
        <v>881</v>
      </c>
      <c r="N1042" t="s">
        <v>875</v>
      </c>
      <c r="O1042" s="9">
        <v>45778</v>
      </c>
      <c r="P1042" t="s">
        <v>877</v>
      </c>
      <c r="Q1042">
        <v>1600000</v>
      </c>
      <c r="R1042" t="s">
        <v>766</v>
      </c>
      <c r="S1042" t="s">
        <v>735</v>
      </c>
      <c r="T1042" t="s">
        <v>736</v>
      </c>
      <c r="U1042" t="s">
        <v>327</v>
      </c>
      <c r="V1042" t="s">
        <v>7</v>
      </c>
      <c r="W1042" t="s">
        <v>8</v>
      </c>
      <c r="X1042" t="s">
        <v>9</v>
      </c>
    </row>
    <row r="1043" spans="1:24">
      <c r="A1043" t="s">
        <v>1938</v>
      </c>
      <c r="B1043" s="8">
        <v>45728</v>
      </c>
      <c r="C1043" t="s">
        <v>360</v>
      </c>
      <c r="D1043" t="s">
        <v>851</v>
      </c>
      <c r="E1043">
        <v>3</v>
      </c>
      <c r="F1043">
        <v>35000</v>
      </c>
      <c r="G1043">
        <v>105000</v>
      </c>
      <c r="H1043" t="s">
        <v>879</v>
      </c>
      <c r="I1043">
        <v>21000</v>
      </c>
      <c r="J1043">
        <v>30000</v>
      </c>
      <c r="K1043">
        <v>114000</v>
      </c>
      <c r="L1043" t="s">
        <v>884</v>
      </c>
      <c r="M1043" t="s">
        <v>874</v>
      </c>
      <c r="N1043" t="s">
        <v>905</v>
      </c>
      <c r="O1043" s="9">
        <v>45717</v>
      </c>
      <c r="P1043" t="s">
        <v>892</v>
      </c>
      <c r="Q1043">
        <v>84000</v>
      </c>
      <c r="R1043" t="s">
        <v>852</v>
      </c>
      <c r="S1043" t="s">
        <v>739</v>
      </c>
      <c r="T1043" t="s">
        <v>740</v>
      </c>
      <c r="U1043" t="s">
        <v>361</v>
      </c>
      <c r="V1043" t="s">
        <v>23</v>
      </c>
      <c r="W1043" t="s">
        <v>137</v>
      </c>
      <c r="X1043" t="s">
        <v>9</v>
      </c>
    </row>
    <row r="1044" spans="1:24">
      <c r="A1044" t="s">
        <v>1939</v>
      </c>
      <c r="B1044" s="8">
        <v>45701</v>
      </c>
      <c r="C1044" t="s">
        <v>284</v>
      </c>
      <c r="D1044" t="s">
        <v>845</v>
      </c>
      <c r="E1044">
        <v>2</v>
      </c>
      <c r="F1044">
        <v>300000</v>
      </c>
      <c r="G1044">
        <v>600000</v>
      </c>
      <c r="H1044" t="s">
        <v>883</v>
      </c>
      <c r="I1044">
        <v>60000</v>
      </c>
      <c r="J1044">
        <v>20000</v>
      </c>
      <c r="K1044">
        <v>560000</v>
      </c>
      <c r="L1044" t="s">
        <v>873</v>
      </c>
      <c r="M1044" t="s">
        <v>881</v>
      </c>
      <c r="N1044" t="s">
        <v>890</v>
      </c>
      <c r="O1044" s="9">
        <v>45689</v>
      </c>
      <c r="P1044" t="s">
        <v>892</v>
      </c>
      <c r="Q1044">
        <v>540000</v>
      </c>
      <c r="R1044" t="s">
        <v>846</v>
      </c>
      <c r="S1044" t="s">
        <v>727</v>
      </c>
      <c r="T1044" t="s">
        <v>728</v>
      </c>
      <c r="U1044" t="s">
        <v>285</v>
      </c>
      <c r="V1044" t="s">
        <v>7</v>
      </c>
      <c r="W1044" t="s">
        <v>137</v>
      </c>
      <c r="X1044" t="s">
        <v>24</v>
      </c>
    </row>
    <row r="1045" spans="1:24">
      <c r="A1045" t="s">
        <v>1940</v>
      </c>
      <c r="B1045" s="8">
        <v>45772</v>
      </c>
      <c r="C1045" t="s">
        <v>334</v>
      </c>
      <c r="D1045" t="s">
        <v>733</v>
      </c>
      <c r="E1045">
        <v>1</v>
      </c>
      <c r="F1045">
        <v>150000</v>
      </c>
      <c r="G1045">
        <v>150000</v>
      </c>
      <c r="H1045" t="s">
        <v>879</v>
      </c>
      <c r="I1045">
        <v>30000</v>
      </c>
      <c r="J1045">
        <v>30000</v>
      </c>
      <c r="K1045">
        <v>150000</v>
      </c>
      <c r="L1045" t="s">
        <v>880</v>
      </c>
      <c r="M1045" t="s">
        <v>901</v>
      </c>
      <c r="N1045" t="s">
        <v>875</v>
      </c>
      <c r="O1045" s="9">
        <v>45748</v>
      </c>
      <c r="P1045" t="s">
        <v>877</v>
      </c>
      <c r="Q1045">
        <v>120000</v>
      </c>
      <c r="R1045" t="s">
        <v>734</v>
      </c>
      <c r="S1045" t="s">
        <v>735</v>
      </c>
      <c r="T1045" t="s">
        <v>736</v>
      </c>
      <c r="U1045" t="s">
        <v>335</v>
      </c>
      <c r="V1045" t="s">
        <v>7</v>
      </c>
      <c r="W1045" t="s">
        <v>46</v>
      </c>
      <c r="X1045" t="s">
        <v>9</v>
      </c>
    </row>
    <row r="1046" spans="1:24">
      <c r="A1046" t="s">
        <v>1941</v>
      </c>
      <c r="B1046" s="8">
        <v>45698</v>
      </c>
      <c r="C1046" t="s">
        <v>172</v>
      </c>
      <c r="D1046" t="s">
        <v>765</v>
      </c>
      <c r="E1046">
        <v>3</v>
      </c>
      <c r="F1046">
        <v>500000</v>
      </c>
      <c r="G1046">
        <v>1500000</v>
      </c>
      <c r="H1046" t="s">
        <v>872</v>
      </c>
      <c r="I1046">
        <v>0</v>
      </c>
      <c r="J1046">
        <v>25000</v>
      </c>
      <c r="K1046">
        <v>1525000</v>
      </c>
      <c r="L1046" t="s">
        <v>889</v>
      </c>
      <c r="M1046" t="s">
        <v>881</v>
      </c>
      <c r="N1046" t="s">
        <v>875</v>
      </c>
      <c r="O1046" s="9">
        <v>45689</v>
      </c>
      <c r="P1046" t="s">
        <v>877</v>
      </c>
      <c r="Q1046">
        <v>1500000</v>
      </c>
      <c r="R1046" t="s">
        <v>766</v>
      </c>
      <c r="S1046" t="s">
        <v>735</v>
      </c>
      <c r="T1046" t="s">
        <v>736</v>
      </c>
      <c r="U1046" t="s">
        <v>173</v>
      </c>
      <c r="V1046" t="s">
        <v>7</v>
      </c>
      <c r="W1046" t="s">
        <v>56</v>
      </c>
      <c r="X1046" t="s">
        <v>9</v>
      </c>
    </row>
    <row r="1047" spans="1:24">
      <c r="A1047" t="s">
        <v>1942</v>
      </c>
      <c r="B1047" s="8">
        <v>45721</v>
      </c>
      <c r="C1047" t="s">
        <v>556</v>
      </c>
      <c r="D1047" t="s">
        <v>793</v>
      </c>
      <c r="E1047">
        <v>1</v>
      </c>
      <c r="F1047">
        <v>500000</v>
      </c>
      <c r="G1047">
        <v>500000</v>
      </c>
      <c r="H1047" t="s">
        <v>895</v>
      </c>
      <c r="I1047">
        <v>75000</v>
      </c>
      <c r="J1047">
        <v>30000</v>
      </c>
      <c r="K1047">
        <v>455000</v>
      </c>
      <c r="L1047" t="s">
        <v>873</v>
      </c>
      <c r="M1047" t="s">
        <v>881</v>
      </c>
      <c r="N1047" t="s">
        <v>875</v>
      </c>
      <c r="O1047" s="9">
        <v>45717</v>
      </c>
      <c r="P1047" t="s">
        <v>877</v>
      </c>
      <c r="Q1047">
        <v>425000</v>
      </c>
      <c r="R1047" t="s">
        <v>794</v>
      </c>
      <c r="S1047" t="s">
        <v>743</v>
      </c>
      <c r="T1047" t="s">
        <v>744</v>
      </c>
      <c r="U1047" t="s">
        <v>557</v>
      </c>
      <c r="V1047" t="s">
        <v>23</v>
      </c>
      <c r="W1047" t="s">
        <v>46</v>
      </c>
      <c r="X1047" t="s">
        <v>9</v>
      </c>
    </row>
    <row r="1048" spans="1:24">
      <c r="A1048" t="s">
        <v>1943</v>
      </c>
      <c r="B1048" s="8">
        <v>45668</v>
      </c>
      <c r="C1048" t="s">
        <v>10</v>
      </c>
      <c r="D1048" t="s">
        <v>835</v>
      </c>
      <c r="E1048">
        <v>1</v>
      </c>
      <c r="F1048">
        <v>200000</v>
      </c>
      <c r="G1048">
        <v>200000</v>
      </c>
      <c r="H1048" t="s">
        <v>886</v>
      </c>
      <c r="I1048">
        <v>20000</v>
      </c>
      <c r="J1048">
        <v>10000</v>
      </c>
      <c r="K1048">
        <v>190000</v>
      </c>
      <c r="L1048" t="s">
        <v>873</v>
      </c>
      <c r="M1048" t="s">
        <v>881</v>
      </c>
      <c r="N1048" t="s">
        <v>921</v>
      </c>
      <c r="O1048" s="9">
        <v>45658</v>
      </c>
      <c r="P1048" t="s">
        <v>892</v>
      </c>
      <c r="Q1048">
        <v>180000</v>
      </c>
      <c r="R1048" t="s">
        <v>836</v>
      </c>
      <c r="S1048" t="s">
        <v>731</v>
      </c>
      <c r="T1048" t="s">
        <v>732</v>
      </c>
      <c r="U1048" t="s">
        <v>11</v>
      </c>
      <c r="V1048" t="s">
        <v>7</v>
      </c>
      <c r="W1048" t="s">
        <v>12</v>
      </c>
      <c r="X1048" t="s">
        <v>9</v>
      </c>
    </row>
    <row r="1049" spans="1:24">
      <c r="A1049" t="s">
        <v>1944</v>
      </c>
      <c r="B1049" s="8">
        <v>45810</v>
      </c>
      <c r="C1049" t="s">
        <v>334</v>
      </c>
      <c r="D1049" t="s">
        <v>771</v>
      </c>
      <c r="E1049">
        <v>1</v>
      </c>
      <c r="F1049">
        <v>500000</v>
      </c>
      <c r="G1049">
        <v>500000</v>
      </c>
      <c r="H1049" t="s">
        <v>886</v>
      </c>
      <c r="I1049">
        <v>50000</v>
      </c>
      <c r="J1049">
        <v>25000</v>
      </c>
      <c r="K1049">
        <v>475000</v>
      </c>
      <c r="L1049" t="s">
        <v>880</v>
      </c>
      <c r="M1049" t="s">
        <v>874</v>
      </c>
      <c r="N1049" t="s">
        <v>875</v>
      </c>
      <c r="O1049" s="9">
        <v>45809</v>
      </c>
      <c r="P1049" t="s">
        <v>877</v>
      </c>
      <c r="Q1049">
        <v>450000</v>
      </c>
      <c r="R1049" t="s">
        <v>772</v>
      </c>
      <c r="S1049" t="s">
        <v>747</v>
      </c>
      <c r="T1049" t="s">
        <v>748</v>
      </c>
      <c r="U1049" t="s">
        <v>335</v>
      </c>
      <c r="V1049" t="s">
        <v>7</v>
      </c>
      <c r="W1049" t="s">
        <v>46</v>
      </c>
      <c r="X1049" t="s">
        <v>9</v>
      </c>
    </row>
    <row r="1050" spans="1:24">
      <c r="A1050" t="s">
        <v>1945</v>
      </c>
      <c r="B1050" s="8">
        <v>45705</v>
      </c>
      <c r="C1050" t="s">
        <v>570</v>
      </c>
      <c r="D1050" t="s">
        <v>825</v>
      </c>
      <c r="E1050">
        <v>1</v>
      </c>
      <c r="F1050">
        <v>100000</v>
      </c>
      <c r="G1050">
        <v>100000</v>
      </c>
      <c r="H1050" t="s">
        <v>895</v>
      </c>
      <c r="I1050">
        <v>15000</v>
      </c>
      <c r="J1050">
        <v>10000</v>
      </c>
      <c r="K1050">
        <v>95000</v>
      </c>
      <c r="L1050" t="s">
        <v>889</v>
      </c>
      <c r="M1050" t="s">
        <v>901</v>
      </c>
      <c r="N1050" t="s">
        <v>890</v>
      </c>
      <c r="O1050" s="9">
        <v>45689</v>
      </c>
      <c r="P1050" t="s">
        <v>892</v>
      </c>
      <c r="Q1050">
        <v>85000</v>
      </c>
      <c r="R1050" t="s">
        <v>826</v>
      </c>
      <c r="S1050" t="s">
        <v>735</v>
      </c>
      <c r="T1050" t="s">
        <v>736</v>
      </c>
      <c r="U1050" t="s">
        <v>571</v>
      </c>
      <c r="V1050" t="s">
        <v>23</v>
      </c>
      <c r="W1050" t="s">
        <v>56</v>
      </c>
      <c r="X1050" t="s">
        <v>9</v>
      </c>
    </row>
    <row r="1051" spans="1:24">
      <c r="A1051" t="s">
        <v>1946</v>
      </c>
      <c r="B1051" s="8">
        <v>45798</v>
      </c>
      <c r="C1051" t="s">
        <v>474</v>
      </c>
      <c r="D1051" t="s">
        <v>805</v>
      </c>
      <c r="E1051">
        <v>2</v>
      </c>
      <c r="F1051">
        <v>200000</v>
      </c>
      <c r="G1051">
        <v>400000</v>
      </c>
      <c r="H1051" t="s">
        <v>883</v>
      </c>
      <c r="I1051">
        <v>40000</v>
      </c>
      <c r="J1051">
        <v>15000</v>
      </c>
      <c r="K1051">
        <v>375000</v>
      </c>
      <c r="L1051" t="s">
        <v>873</v>
      </c>
      <c r="M1051" t="s">
        <v>903</v>
      </c>
      <c r="N1051" t="s">
        <v>875</v>
      </c>
      <c r="O1051" s="9">
        <v>45778</v>
      </c>
      <c r="P1051" t="s">
        <v>877</v>
      </c>
      <c r="Q1051">
        <v>360000</v>
      </c>
      <c r="R1051" t="s">
        <v>806</v>
      </c>
      <c r="S1051" t="s">
        <v>743</v>
      </c>
      <c r="T1051" t="s">
        <v>744</v>
      </c>
      <c r="U1051" t="s">
        <v>475</v>
      </c>
      <c r="V1051" t="s">
        <v>7</v>
      </c>
      <c r="W1051" t="s">
        <v>46</v>
      </c>
      <c r="X1051" t="s">
        <v>9</v>
      </c>
    </row>
    <row r="1052" spans="1:24">
      <c r="A1052" t="s">
        <v>1947</v>
      </c>
      <c r="B1052" s="8">
        <v>45678</v>
      </c>
      <c r="C1052" t="s">
        <v>486</v>
      </c>
      <c r="D1052" t="s">
        <v>755</v>
      </c>
      <c r="E1052">
        <v>4</v>
      </c>
      <c r="F1052">
        <v>50000</v>
      </c>
      <c r="G1052">
        <v>200000</v>
      </c>
      <c r="H1052" t="s">
        <v>886</v>
      </c>
      <c r="I1052">
        <v>20000</v>
      </c>
      <c r="J1052">
        <v>20000</v>
      </c>
      <c r="K1052">
        <v>200000</v>
      </c>
      <c r="L1052" t="s">
        <v>880</v>
      </c>
      <c r="M1052" t="s">
        <v>901</v>
      </c>
      <c r="N1052" t="s">
        <v>905</v>
      </c>
      <c r="O1052" s="9">
        <v>45658</v>
      </c>
      <c r="P1052" t="s">
        <v>892</v>
      </c>
      <c r="Q1052">
        <v>180000</v>
      </c>
      <c r="R1052" t="s">
        <v>756</v>
      </c>
      <c r="S1052" t="s">
        <v>739</v>
      </c>
      <c r="T1052" t="s">
        <v>740</v>
      </c>
      <c r="U1052" t="s">
        <v>487</v>
      </c>
      <c r="V1052" t="s">
        <v>23</v>
      </c>
      <c r="W1052" t="s">
        <v>36</v>
      </c>
      <c r="X1052" t="s">
        <v>24</v>
      </c>
    </row>
    <row r="1053" spans="1:24">
      <c r="A1053" t="s">
        <v>1948</v>
      </c>
      <c r="B1053" s="8">
        <v>45831</v>
      </c>
      <c r="C1053" t="s">
        <v>342</v>
      </c>
      <c r="D1053" t="s">
        <v>809</v>
      </c>
      <c r="E1053">
        <v>2</v>
      </c>
      <c r="F1053">
        <v>100000</v>
      </c>
      <c r="G1053">
        <v>200000</v>
      </c>
      <c r="H1053" t="s">
        <v>872</v>
      </c>
      <c r="I1053">
        <v>0</v>
      </c>
      <c r="J1053">
        <v>25000</v>
      </c>
      <c r="K1053">
        <v>225000</v>
      </c>
      <c r="L1053" t="s">
        <v>884</v>
      </c>
      <c r="M1053" t="s">
        <v>903</v>
      </c>
      <c r="N1053" t="s">
        <v>875</v>
      </c>
      <c r="O1053" s="9">
        <v>45809</v>
      </c>
      <c r="P1053" t="s">
        <v>877</v>
      </c>
      <c r="Q1053">
        <v>200000</v>
      </c>
      <c r="R1053" t="s">
        <v>810</v>
      </c>
      <c r="S1053" t="s">
        <v>727</v>
      </c>
      <c r="T1053" t="s">
        <v>728</v>
      </c>
      <c r="U1053" t="s">
        <v>343</v>
      </c>
      <c r="V1053" t="s">
        <v>7</v>
      </c>
      <c r="W1053" t="s">
        <v>137</v>
      </c>
      <c r="X1053" t="s">
        <v>24</v>
      </c>
    </row>
    <row r="1054" spans="1:24">
      <c r="A1054" t="s">
        <v>1949</v>
      </c>
      <c r="B1054" s="8">
        <v>45678</v>
      </c>
      <c r="C1054" t="s">
        <v>182</v>
      </c>
      <c r="D1054" t="s">
        <v>783</v>
      </c>
      <c r="E1054">
        <v>4</v>
      </c>
      <c r="F1054">
        <v>500000</v>
      </c>
      <c r="G1054">
        <v>2000000</v>
      </c>
      <c r="H1054" t="s">
        <v>879</v>
      </c>
      <c r="I1054">
        <v>400000</v>
      </c>
      <c r="J1054">
        <v>15000</v>
      </c>
      <c r="K1054">
        <v>1615000</v>
      </c>
      <c r="L1054" t="s">
        <v>884</v>
      </c>
      <c r="M1054" t="s">
        <v>881</v>
      </c>
      <c r="N1054" t="s">
        <v>905</v>
      </c>
      <c r="O1054" s="9">
        <v>45658</v>
      </c>
      <c r="P1054" t="s">
        <v>892</v>
      </c>
      <c r="Q1054">
        <v>1600000</v>
      </c>
      <c r="R1054" t="s">
        <v>784</v>
      </c>
      <c r="S1054" t="s">
        <v>747</v>
      </c>
      <c r="T1054" t="s">
        <v>748</v>
      </c>
      <c r="U1054" t="s">
        <v>183</v>
      </c>
      <c r="V1054" t="s">
        <v>7</v>
      </c>
      <c r="W1054" t="s">
        <v>20</v>
      </c>
      <c r="X1054" t="s">
        <v>9</v>
      </c>
    </row>
    <row r="1055" spans="1:24">
      <c r="A1055" t="s">
        <v>1950</v>
      </c>
      <c r="B1055" s="8">
        <v>45771</v>
      </c>
      <c r="C1055" t="s">
        <v>69</v>
      </c>
      <c r="D1055" t="s">
        <v>765</v>
      </c>
      <c r="E1055">
        <v>1</v>
      </c>
      <c r="F1055">
        <v>500000</v>
      </c>
      <c r="G1055">
        <v>500000</v>
      </c>
      <c r="H1055" t="s">
        <v>872</v>
      </c>
      <c r="I1055">
        <v>0</v>
      </c>
      <c r="J1055">
        <v>10000</v>
      </c>
      <c r="K1055">
        <v>510000</v>
      </c>
      <c r="L1055" t="s">
        <v>889</v>
      </c>
      <c r="M1055" t="s">
        <v>881</v>
      </c>
      <c r="N1055" t="s">
        <v>875</v>
      </c>
      <c r="O1055" s="9">
        <v>45748</v>
      </c>
      <c r="P1055" t="s">
        <v>877</v>
      </c>
      <c r="Q1055">
        <v>500000</v>
      </c>
      <c r="R1055" t="s">
        <v>766</v>
      </c>
      <c r="S1055" t="s">
        <v>735</v>
      </c>
      <c r="T1055" t="s">
        <v>736</v>
      </c>
      <c r="U1055" t="s">
        <v>70</v>
      </c>
      <c r="V1055" t="s">
        <v>7</v>
      </c>
      <c r="W1055" t="s">
        <v>29</v>
      </c>
      <c r="X1055" t="s">
        <v>9</v>
      </c>
    </row>
    <row r="1056" spans="1:24">
      <c r="A1056" t="s">
        <v>1951</v>
      </c>
      <c r="B1056" s="8">
        <v>45733</v>
      </c>
      <c r="C1056" t="s">
        <v>516</v>
      </c>
      <c r="D1056" t="s">
        <v>773</v>
      </c>
      <c r="E1056">
        <v>1</v>
      </c>
      <c r="F1056">
        <v>500000</v>
      </c>
      <c r="G1056">
        <v>500000</v>
      </c>
      <c r="H1056" t="s">
        <v>883</v>
      </c>
      <c r="I1056">
        <v>50000</v>
      </c>
      <c r="J1056">
        <v>10000</v>
      </c>
      <c r="K1056">
        <v>460000</v>
      </c>
      <c r="L1056" t="s">
        <v>880</v>
      </c>
      <c r="M1056" t="s">
        <v>881</v>
      </c>
      <c r="N1056" t="s">
        <v>890</v>
      </c>
      <c r="O1056" s="9">
        <v>45717</v>
      </c>
      <c r="P1056" t="s">
        <v>892</v>
      </c>
      <c r="Q1056">
        <v>450000</v>
      </c>
      <c r="R1056" t="s">
        <v>774</v>
      </c>
      <c r="S1056" t="s">
        <v>727</v>
      </c>
      <c r="T1056" t="s">
        <v>728</v>
      </c>
      <c r="U1056" t="s">
        <v>517</v>
      </c>
      <c r="V1056" t="s">
        <v>23</v>
      </c>
      <c r="W1056" t="s">
        <v>36</v>
      </c>
      <c r="X1056" t="s">
        <v>9</v>
      </c>
    </row>
    <row r="1057" spans="1:24">
      <c r="A1057" t="s">
        <v>1952</v>
      </c>
      <c r="B1057" s="8">
        <v>45836</v>
      </c>
      <c r="C1057" t="s">
        <v>670</v>
      </c>
      <c r="D1057" t="s">
        <v>751</v>
      </c>
      <c r="E1057">
        <v>2</v>
      </c>
      <c r="F1057">
        <v>150000</v>
      </c>
      <c r="G1057">
        <v>300000</v>
      </c>
      <c r="H1057" t="s">
        <v>886</v>
      </c>
      <c r="I1057">
        <v>30000</v>
      </c>
      <c r="J1057">
        <v>25000</v>
      </c>
      <c r="K1057">
        <v>295000</v>
      </c>
      <c r="L1057" t="s">
        <v>884</v>
      </c>
      <c r="M1057" t="s">
        <v>881</v>
      </c>
      <c r="N1057" t="s">
        <v>875</v>
      </c>
      <c r="O1057" s="9">
        <v>45809</v>
      </c>
      <c r="P1057" t="s">
        <v>877</v>
      </c>
      <c r="Q1057">
        <v>270000</v>
      </c>
      <c r="R1057" t="s">
        <v>752</v>
      </c>
      <c r="S1057" t="s">
        <v>731</v>
      </c>
      <c r="T1057" t="s">
        <v>732</v>
      </c>
      <c r="U1057" t="s">
        <v>671</v>
      </c>
      <c r="V1057" t="s">
        <v>23</v>
      </c>
      <c r="W1057" t="s">
        <v>12</v>
      </c>
      <c r="X1057" t="s">
        <v>24</v>
      </c>
    </row>
    <row r="1058" spans="1:24">
      <c r="A1058" t="s">
        <v>1953</v>
      </c>
      <c r="B1058" s="8">
        <v>45661</v>
      </c>
      <c r="C1058" t="s">
        <v>270</v>
      </c>
      <c r="D1058" t="s">
        <v>829</v>
      </c>
      <c r="E1058">
        <v>1</v>
      </c>
      <c r="F1058">
        <v>500000</v>
      </c>
      <c r="G1058">
        <v>500000</v>
      </c>
      <c r="H1058" t="s">
        <v>886</v>
      </c>
      <c r="I1058">
        <v>50000</v>
      </c>
      <c r="J1058">
        <v>10000</v>
      </c>
      <c r="K1058">
        <v>460000</v>
      </c>
      <c r="L1058" t="s">
        <v>889</v>
      </c>
      <c r="M1058" t="s">
        <v>903</v>
      </c>
      <c r="N1058" t="s">
        <v>911</v>
      </c>
      <c r="O1058" s="9">
        <v>45658</v>
      </c>
      <c r="P1058" t="s">
        <v>892</v>
      </c>
      <c r="Q1058">
        <v>450000</v>
      </c>
      <c r="R1058" t="s">
        <v>830</v>
      </c>
      <c r="S1058" t="s">
        <v>743</v>
      </c>
      <c r="T1058" t="s">
        <v>744</v>
      </c>
      <c r="U1058" t="s">
        <v>271</v>
      </c>
      <c r="V1058" t="s">
        <v>7</v>
      </c>
      <c r="W1058" t="s">
        <v>39</v>
      </c>
      <c r="X1058" t="s">
        <v>24</v>
      </c>
    </row>
    <row r="1059" spans="1:24">
      <c r="A1059" t="s">
        <v>1954</v>
      </c>
      <c r="B1059" s="8">
        <v>45673</v>
      </c>
      <c r="C1059" t="s">
        <v>308</v>
      </c>
      <c r="D1059" t="s">
        <v>775</v>
      </c>
      <c r="E1059">
        <v>1</v>
      </c>
      <c r="F1059">
        <v>75000</v>
      </c>
      <c r="G1059">
        <v>75000</v>
      </c>
      <c r="H1059" t="s">
        <v>895</v>
      </c>
      <c r="I1059">
        <v>11250</v>
      </c>
      <c r="J1059">
        <v>30000</v>
      </c>
      <c r="K1059">
        <v>93750</v>
      </c>
      <c r="L1059" t="s">
        <v>889</v>
      </c>
      <c r="M1059" t="s">
        <v>901</v>
      </c>
      <c r="N1059" t="s">
        <v>875</v>
      </c>
      <c r="O1059" s="9">
        <v>45658</v>
      </c>
      <c r="P1059" t="s">
        <v>877</v>
      </c>
      <c r="Q1059">
        <v>63750</v>
      </c>
      <c r="R1059" t="s">
        <v>776</v>
      </c>
      <c r="S1059" t="s">
        <v>731</v>
      </c>
      <c r="T1059" t="s">
        <v>732</v>
      </c>
      <c r="U1059" t="s">
        <v>309</v>
      </c>
      <c r="V1059" t="s">
        <v>23</v>
      </c>
      <c r="W1059" t="s">
        <v>51</v>
      </c>
      <c r="X1059" t="s">
        <v>24</v>
      </c>
    </row>
    <row r="1060" spans="1:24">
      <c r="A1060" t="s">
        <v>1955</v>
      </c>
      <c r="B1060" s="8">
        <v>45720</v>
      </c>
      <c r="C1060" t="s">
        <v>192</v>
      </c>
      <c r="D1060" t="s">
        <v>817</v>
      </c>
      <c r="E1060">
        <v>3</v>
      </c>
      <c r="F1060">
        <v>75000</v>
      </c>
      <c r="G1060">
        <v>225000</v>
      </c>
      <c r="H1060" t="s">
        <v>872</v>
      </c>
      <c r="I1060">
        <v>0</v>
      </c>
      <c r="J1060">
        <v>30000</v>
      </c>
      <c r="K1060">
        <v>255000</v>
      </c>
      <c r="L1060" t="s">
        <v>873</v>
      </c>
      <c r="M1060" t="s">
        <v>903</v>
      </c>
      <c r="N1060" t="s">
        <v>875</v>
      </c>
      <c r="O1060" s="9">
        <v>45717</v>
      </c>
      <c r="P1060" t="s">
        <v>877</v>
      </c>
      <c r="Q1060">
        <v>225000</v>
      </c>
      <c r="R1060" t="s">
        <v>818</v>
      </c>
      <c r="S1060" t="s">
        <v>743</v>
      </c>
      <c r="T1060" t="s">
        <v>744</v>
      </c>
      <c r="U1060" t="s">
        <v>193</v>
      </c>
      <c r="V1060" t="s">
        <v>7</v>
      </c>
      <c r="W1060" t="s">
        <v>12</v>
      </c>
      <c r="X1060" t="s">
        <v>9</v>
      </c>
    </row>
    <row r="1061" spans="1:24">
      <c r="A1061" t="s">
        <v>1956</v>
      </c>
      <c r="B1061" s="8">
        <v>45674</v>
      </c>
      <c r="C1061" t="s">
        <v>548</v>
      </c>
      <c r="D1061" t="s">
        <v>835</v>
      </c>
      <c r="E1061">
        <v>2</v>
      </c>
      <c r="F1061">
        <v>200000</v>
      </c>
      <c r="G1061">
        <v>400000</v>
      </c>
      <c r="H1061" t="s">
        <v>879</v>
      </c>
      <c r="I1061">
        <v>80000</v>
      </c>
      <c r="J1061">
        <v>15000</v>
      </c>
      <c r="K1061">
        <v>335000</v>
      </c>
      <c r="L1061" t="s">
        <v>884</v>
      </c>
      <c r="M1061" t="s">
        <v>881</v>
      </c>
      <c r="N1061" t="s">
        <v>911</v>
      </c>
      <c r="O1061" s="9">
        <v>45658</v>
      </c>
      <c r="P1061" t="s">
        <v>892</v>
      </c>
      <c r="Q1061">
        <v>320000</v>
      </c>
      <c r="R1061" t="s">
        <v>836</v>
      </c>
      <c r="S1061" t="s">
        <v>731</v>
      </c>
      <c r="T1061" t="s">
        <v>732</v>
      </c>
      <c r="U1061" t="s">
        <v>549</v>
      </c>
      <c r="V1061" t="s">
        <v>23</v>
      </c>
      <c r="W1061" t="s">
        <v>12</v>
      </c>
      <c r="X1061" t="s">
        <v>9</v>
      </c>
    </row>
    <row r="1062" spans="1:24">
      <c r="A1062" t="s">
        <v>1957</v>
      </c>
      <c r="B1062" s="8">
        <v>45737</v>
      </c>
      <c r="C1062" t="s">
        <v>154</v>
      </c>
      <c r="D1062" t="s">
        <v>843</v>
      </c>
      <c r="E1062">
        <v>3</v>
      </c>
      <c r="F1062">
        <v>100000</v>
      </c>
      <c r="G1062">
        <v>300000</v>
      </c>
      <c r="H1062" t="s">
        <v>879</v>
      </c>
      <c r="I1062">
        <v>60000</v>
      </c>
      <c r="J1062">
        <v>20000</v>
      </c>
      <c r="K1062">
        <v>260000</v>
      </c>
      <c r="L1062" t="s">
        <v>889</v>
      </c>
      <c r="M1062" t="s">
        <v>901</v>
      </c>
      <c r="N1062" t="s">
        <v>875</v>
      </c>
      <c r="O1062" s="9">
        <v>45717</v>
      </c>
      <c r="P1062" t="s">
        <v>877</v>
      </c>
      <c r="Q1062">
        <v>240000</v>
      </c>
      <c r="R1062" t="s">
        <v>844</v>
      </c>
      <c r="S1062" t="s">
        <v>747</v>
      </c>
      <c r="T1062" t="s">
        <v>748</v>
      </c>
      <c r="U1062" t="s">
        <v>155</v>
      </c>
      <c r="V1062" t="s">
        <v>7</v>
      </c>
      <c r="W1062" t="s">
        <v>20</v>
      </c>
      <c r="X1062" t="s">
        <v>24</v>
      </c>
    </row>
    <row r="1063" spans="1:24">
      <c r="A1063" t="s">
        <v>1958</v>
      </c>
      <c r="B1063" s="8">
        <v>45745</v>
      </c>
      <c r="C1063" t="s">
        <v>536</v>
      </c>
      <c r="D1063" t="s">
        <v>839</v>
      </c>
      <c r="E1063">
        <v>1</v>
      </c>
      <c r="F1063">
        <v>200000</v>
      </c>
      <c r="G1063">
        <v>200000</v>
      </c>
      <c r="H1063" t="s">
        <v>872</v>
      </c>
      <c r="I1063">
        <v>0</v>
      </c>
      <c r="J1063">
        <v>15000</v>
      </c>
      <c r="K1063">
        <v>215000</v>
      </c>
      <c r="L1063" t="s">
        <v>884</v>
      </c>
      <c r="M1063" t="s">
        <v>901</v>
      </c>
      <c r="N1063" t="s">
        <v>875</v>
      </c>
      <c r="O1063" s="9">
        <v>45717</v>
      </c>
      <c r="P1063" t="s">
        <v>877</v>
      </c>
      <c r="Q1063">
        <v>200000</v>
      </c>
      <c r="R1063" t="s">
        <v>840</v>
      </c>
      <c r="S1063" t="s">
        <v>739</v>
      </c>
      <c r="T1063" t="s">
        <v>740</v>
      </c>
      <c r="U1063" t="s">
        <v>537</v>
      </c>
      <c r="V1063" t="s">
        <v>7</v>
      </c>
      <c r="W1063" t="s">
        <v>36</v>
      </c>
      <c r="X1063" t="s">
        <v>9</v>
      </c>
    </row>
    <row r="1064" spans="1:24">
      <c r="A1064" t="s">
        <v>1959</v>
      </c>
      <c r="B1064" s="8">
        <v>45733</v>
      </c>
      <c r="C1064" t="s">
        <v>708</v>
      </c>
      <c r="D1064" t="s">
        <v>751</v>
      </c>
      <c r="E1064">
        <v>1</v>
      </c>
      <c r="F1064">
        <v>150000</v>
      </c>
      <c r="G1064">
        <v>150000</v>
      </c>
      <c r="H1064" t="s">
        <v>872</v>
      </c>
      <c r="I1064">
        <v>0</v>
      </c>
      <c r="J1064">
        <v>25000</v>
      </c>
      <c r="K1064">
        <v>175000</v>
      </c>
      <c r="L1064" t="s">
        <v>873</v>
      </c>
      <c r="M1064" t="s">
        <v>881</v>
      </c>
      <c r="N1064" t="s">
        <v>905</v>
      </c>
      <c r="O1064" s="9">
        <v>45717</v>
      </c>
      <c r="P1064" t="s">
        <v>892</v>
      </c>
      <c r="Q1064">
        <v>150000</v>
      </c>
      <c r="R1064" t="s">
        <v>752</v>
      </c>
      <c r="S1064" t="s">
        <v>731</v>
      </c>
      <c r="T1064" t="s">
        <v>732</v>
      </c>
      <c r="U1064" t="s">
        <v>709</v>
      </c>
      <c r="V1064" t="s">
        <v>23</v>
      </c>
      <c r="W1064" t="s">
        <v>39</v>
      </c>
      <c r="X1064" t="s">
        <v>9</v>
      </c>
    </row>
    <row r="1065" spans="1:24">
      <c r="A1065" t="s">
        <v>1960</v>
      </c>
      <c r="B1065" s="8">
        <v>45723</v>
      </c>
      <c r="C1065" t="s">
        <v>710</v>
      </c>
      <c r="D1065" t="s">
        <v>841</v>
      </c>
      <c r="E1065">
        <v>1</v>
      </c>
      <c r="F1065">
        <v>75000</v>
      </c>
      <c r="G1065">
        <v>75000</v>
      </c>
      <c r="H1065" t="s">
        <v>872</v>
      </c>
      <c r="I1065">
        <v>0</v>
      </c>
      <c r="J1065">
        <v>25000</v>
      </c>
      <c r="K1065">
        <v>100000</v>
      </c>
      <c r="L1065" t="s">
        <v>884</v>
      </c>
      <c r="M1065" t="s">
        <v>881</v>
      </c>
      <c r="N1065" t="s">
        <v>875</v>
      </c>
      <c r="O1065" s="9">
        <v>45717</v>
      </c>
      <c r="P1065" t="s">
        <v>877</v>
      </c>
      <c r="Q1065">
        <v>75000</v>
      </c>
      <c r="R1065" t="s">
        <v>842</v>
      </c>
      <c r="S1065" t="s">
        <v>743</v>
      </c>
      <c r="T1065" t="s">
        <v>744</v>
      </c>
      <c r="U1065" t="s">
        <v>711</v>
      </c>
      <c r="V1065" t="s">
        <v>23</v>
      </c>
      <c r="W1065" t="s">
        <v>46</v>
      </c>
      <c r="X1065" t="s">
        <v>9</v>
      </c>
    </row>
    <row r="1066" spans="1:24">
      <c r="A1066" t="s">
        <v>1961</v>
      </c>
      <c r="B1066" s="8">
        <v>45676</v>
      </c>
      <c r="C1066" t="s">
        <v>150</v>
      </c>
      <c r="D1066" t="s">
        <v>813</v>
      </c>
      <c r="E1066">
        <v>1</v>
      </c>
      <c r="F1066">
        <v>35000</v>
      </c>
      <c r="G1066">
        <v>35000</v>
      </c>
      <c r="H1066" t="s">
        <v>895</v>
      </c>
      <c r="I1066">
        <v>5250</v>
      </c>
      <c r="J1066">
        <v>30000</v>
      </c>
      <c r="K1066">
        <v>59750</v>
      </c>
      <c r="L1066" t="s">
        <v>889</v>
      </c>
      <c r="M1066" t="s">
        <v>901</v>
      </c>
      <c r="N1066" t="s">
        <v>875</v>
      </c>
      <c r="O1066" s="9">
        <v>45658</v>
      </c>
      <c r="P1066" t="s">
        <v>877</v>
      </c>
      <c r="Q1066">
        <v>29750</v>
      </c>
      <c r="R1066" t="s">
        <v>814</v>
      </c>
      <c r="S1066" t="s">
        <v>735</v>
      </c>
      <c r="T1066" t="s">
        <v>736</v>
      </c>
      <c r="U1066" t="s">
        <v>151</v>
      </c>
      <c r="V1066" t="s">
        <v>23</v>
      </c>
      <c r="W1066" t="s">
        <v>29</v>
      </c>
      <c r="X1066" t="s">
        <v>15</v>
      </c>
    </row>
    <row r="1067" spans="1:24">
      <c r="A1067" t="s">
        <v>1962</v>
      </c>
      <c r="B1067" s="8">
        <v>45742</v>
      </c>
      <c r="C1067" t="s">
        <v>296</v>
      </c>
      <c r="D1067" t="s">
        <v>813</v>
      </c>
      <c r="E1067">
        <v>1</v>
      </c>
      <c r="F1067">
        <v>35000</v>
      </c>
      <c r="G1067">
        <v>35000</v>
      </c>
      <c r="H1067" t="s">
        <v>872</v>
      </c>
      <c r="I1067">
        <v>0</v>
      </c>
      <c r="J1067">
        <v>15000</v>
      </c>
      <c r="K1067">
        <v>50000</v>
      </c>
      <c r="L1067" t="s">
        <v>884</v>
      </c>
      <c r="M1067" t="s">
        <v>903</v>
      </c>
      <c r="N1067" t="s">
        <v>875</v>
      </c>
      <c r="O1067" s="9">
        <v>45717</v>
      </c>
      <c r="P1067" t="s">
        <v>877</v>
      </c>
      <c r="Q1067">
        <v>35000</v>
      </c>
      <c r="R1067" t="s">
        <v>814</v>
      </c>
      <c r="S1067" t="s">
        <v>735</v>
      </c>
      <c r="T1067" t="s">
        <v>736</v>
      </c>
      <c r="U1067" t="s">
        <v>297</v>
      </c>
      <c r="V1067" t="s">
        <v>7</v>
      </c>
      <c r="W1067" t="s">
        <v>137</v>
      </c>
      <c r="X1067" t="s">
        <v>24</v>
      </c>
    </row>
    <row r="1068" spans="1:24">
      <c r="A1068" t="s">
        <v>1963</v>
      </c>
      <c r="B1068" s="8">
        <v>45778</v>
      </c>
      <c r="C1068" t="s">
        <v>140</v>
      </c>
      <c r="D1068" t="s">
        <v>807</v>
      </c>
      <c r="E1068">
        <v>1</v>
      </c>
      <c r="F1068">
        <v>150000</v>
      </c>
      <c r="G1068">
        <v>150000</v>
      </c>
      <c r="H1068" t="s">
        <v>879</v>
      </c>
      <c r="I1068">
        <v>30000</v>
      </c>
      <c r="J1068">
        <v>30000</v>
      </c>
      <c r="K1068">
        <v>150000</v>
      </c>
      <c r="L1068" t="s">
        <v>884</v>
      </c>
      <c r="M1068" t="s">
        <v>903</v>
      </c>
      <c r="N1068" t="s">
        <v>875</v>
      </c>
      <c r="O1068" s="9">
        <v>45778</v>
      </c>
      <c r="P1068" t="s">
        <v>877</v>
      </c>
      <c r="Q1068">
        <v>120000</v>
      </c>
      <c r="R1068" t="s">
        <v>808</v>
      </c>
      <c r="S1068" t="s">
        <v>747</v>
      </c>
      <c r="T1068" t="s">
        <v>748</v>
      </c>
      <c r="U1068" t="s">
        <v>141</v>
      </c>
      <c r="V1068" t="s">
        <v>23</v>
      </c>
      <c r="W1068" t="s">
        <v>137</v>
      </c>
      <c r="X1068" t="s">
        <v>9</v>
      </c>
    </row>
    <row r="1069" spans="1:24">
      <c r="A1069" t="s">
        <v>1964</v>
      </c>
      <c r="B1069" s="8">
        <v>45837</v>
      </c>
      <c r="C1069" t="s">
        <v>702</v>
      </c>
      <c r="D1069" t="s">
        <v>741</v>
      </c>
      <c r="E1069">
        <v>1</v>
      </c>
      <c r="F1069">
        <v>75000</v>
      </c>
      <c r="G1069">
        <v>75000</v>
      </c>
      <c r="H1069" t="s">
        <v>872</v>
      </c>
      <c r="I1069">
        <v>0</v>
      </c>
      <c r="J1069">
        <v>15000</v>
      </c>
      <c r="K1069">
        <v>90000</v>
      </c>
      <c r="L1069" t="s">
        <v>880</v>
      </c>
      <c r="M1069" t="s">
        <v>903</v>
      </c>
      <c r="N1069" t="s">
        <v>875</v>
      </c>
      <c r="O1069" s="9">
        <v>45809</v>
      </c>
      <c r="P1069" t="s">
        <v>877</v>
      </c>
      <c r="Q1069">
        <v>75000</v>
      </c>
      <c r="R1069" t="s">
        <v>742</v>
      </c>
      <c r="S1069" t="s">
        <v>743</v>
      </c>
      <c r="T1069" t="s">
        <v>744</v>
      </c>
      <c r="U1069" t="s">
        <v>703</v>
      </c>
      <c r="V1069" t="s">
        <v>23</v>
      </c>
      <c r="W1069" t="s">
        <v>20</v>
      </c>
      <c r="X1069" t="s">
        <v>9</v>
      </c>
    </row>
    <row r="1070" spans="1:24">
      <c r="A1070" t="s">
        <v>1965</v>
      </c>
      <c r="B1070" s="8">
        <v>45782</v>
      </c>
      <c r="C1070" t="s">
        <v>486</v>
      </c>
      <c r="D1070" t="s">
        <v>837</v>
      </c>
      <c r="E1070">
        <v>1</v>
      </c>
      <c r="F1070">
        <v>300000</v>
      </c>
      <c r="G1070">
        <v>300000</v>
      </c>
      <c r="H1070" t="s">
        <v>872</v>
      </c>
      <c r="I1070">
        <v>0</v>
      </c>
      <c r="J1070">
        <v>20000</v>
      </c>
      <c r="K1070">
        <v>320000</v>
      </c>
      <c r="L1070" t="s">
        <v>880</v>
      </c>
      <c r="M1070" t="s">
        <v>903</v>
      </c>
      <c r="N1070" t="s">
        <v>875</v>
      </c>
      <c r="O1070" s="9">
        <v>45778</v>
      </c>
      <c r="P1070" t="s">
        <v>877</v>
      </c>
      <c r="Q1070">
        <v>300000</v>
      </c>
      <c r="R1070" t="s">
        <v>838</v>
      </c>
      <c r="S1070" t="s">
        <v>735</v>
      </c>
      <c r="T1070" t="s">
        <v>736</v>
      </c>
      <c r="U1070" t="s">
        <v>487</v>
      </c>
      <c r="V1070" t="s">
        <v>23</v>
      </c>
      <c r="W1070" t="s">
        <v>36</v>
      </c>
      <c r="X1070" t="s">
        <v>24</v>
      </c>
    </row>
    <row r="1071" spans="1:24">
      <c r="A1071" t="s">
        <v>1966</v>
      </c>
      <c r="B1071" s="8">
        <v>45720</v>
      </c>
      <c r="C1071" t="s">
        <v>196</v>
      </c>
      <c r="D1071" t="s">
        <v>853</v>
      </c>
      <c r="E1071">
        <v>1</v>
      </c>
      <c r="F1071">
        <v>75000</v>
      </c>
      <c r="G1071">
        <v>75000</v>
      </c>
      <c r="H1071" t="s">
        <v>879</v>
      </c>
      <c r="I1071">
        <v>15000</v>
      </c>
      <c r="J1071">
        <v>20000</v>
      </c>
      <c r="K1071">
        <v>80000</v>
      </c>
      <c r="L1071" t="s">
        <v>889</v>
      </c>
      <c r="M1071" t="s">
        <v>881</v>
      </c>
      <c r="N1071" t="s">
        <v>875</v>
      </c>
      <c r="O1071" s="9">
        <v>45717</v>
      </c>
      <c r="P1071" t="s">
        <v>877</v>
      </c>
      <c r="Q1071">
        <v>60000</v>
      </c>
      <c r="R1071" t="s">
        <v>854</v>
      </c>
      <c r="S1071" t="s">
        <v>743</v>
      </c>
      <c r="T1071" t="s">
        <v>744</v>
      </c>
      <c r="U1071" t="s">
        <v>197</v>
      </c>
      <c r="V1071" t="s">
        <v>7</v>
      </c>
      <c r="W1071" t="s">
        <v>36</v>
      </c>
      <c r="X1071" t="s">
        <v>15</v>
      </c>
    </row>
    <row r="1072" spans="1:24">
      <c r="A1072" t="s">
        <v>1967</v>
      </c>
      <c r="B1072" s="8">
        <v>45837</v>
      </c>
      <c r="C1072" t="s">
        <v>216</v>
      </c>
      <c r="D1072" t="s">
        <v>755</v>
      </c>
      <c r="E1072">
        <v>1</v>
      </c>
      <c r="F1072">
        <v>50000</v>
      </c>
      <c r="G1072">
        <v>50000</v>
      </c>
      <c r="H1072" t="s">
        <v>886</v>
      </c>
      <c r="I1072">
        <v>5000</v>
      </c>
      <c r="J1072">
        <v>20000</v>
      </c>
      <c r="K1072">
        <v>65000</v>
      </c>
      <c r="L1072" t="s">
        <v>884</v>
      </c>
      <c r="M1072" t="s">
        <v>874</v>
      </c>
      <c r="N1072" t="s">
        <v>875</v>
      </c>
      <c r="O1072" s="9">
        <v>45809</v>
      </c>
      <c r="P1072" t="s">
        <v>877</v>
      </c>
      <c r="Q1072">
        <v>45000</v>
      </c>
      <c r="R1072" t="s">
        <v>756</v>
      </c>
      <c r="S1072" t="s">
        <v>739</v>
      </c>
      <c r="T1072" t="s">
        <v>740</v>
      </c>
      <c r="U1072" t="s">
        <v>217</v>
      </c>
      <c r="V1072" t="s">
        <v>7</v>
      </c>
      <c r="W1072" t="s">
        <v>12</v>
      </c>
      <c r="X1072" t="s">
        <v>24</v>
      </c>
    </row>
    <row r="1073" spans="1:24">
      <c r="A1073" t="s">
        <v>1968</v>
      </c>
      <c r="B1073" s="8">
        <v>45752</v>
      </c>
      <c r="C1073" t="s">
        <v>612</v>
      </c>
      <c r="D1073" t="s">
        <v>769</v>
      </c>
      <c r="E1073">
        <v>4</v>
      </c>
      <c r="F1073">
        <v>100000</v>
      </c>
      <c r="G1073">
        <v>400000</v>
      </c>
      <c r="H1073" t="s">
        <v>895</v>
      </c>
      <c r="I1073">
        <v>60000</v>
      </c>
      <c r="J1073">
        <v>20000</v>
      </c>
      <c r="K1073">
        <v>360000</v>
      </c>
      <c r="L1073" t="s">
        <v>889</v>
      </c>
      <c r="M1073" t="s">
        <v>881</v>
      </c>
      <c r="N1073" t="s">
        <v>875</v>
      </c>
      <c r="O1073" s="9">
        <v>45748</v>
      </c>
      <c r="P1073" t="s">
        <v>877</v>
      </c>
      <c r="Q1073">
        <v>340000</v>
      </c>
      <c r="R1073" t="s">
        <v>770</v>
      </c>
      <c r="S1073" t="s">
        <v>743</v>
      </c>
      <c r="T1073" t="s">
        <v>744</v>
      </c>
      <c r="U1073" t="s">
        <v>613</v>
      </c>
      <c r="V1073" t="s">
        <v>23</v>
      </c>
      <c r="W1073" t="s">
        <v>8</v>
      </c>
      <c r="X1073" t="s">
        <v>9</v>
      </c>
    </row>
    <row r="1074" spans="1:24">
      <c r="A1074" t="s">
        <v>1969</v>
      </c>
      <c r="B1074" s="8">
        <v>45750</v>
      </c>
      <c r="C1074" t="s">
        <v>660</v>
      </c>
      <c r="D1074" t="s">
        <v>737</v>
      </c>
      <c r="E1074">
        <v>2</v>
      </c>
      <c r="F1074">
        <v>300000</v>
      </c>
      <c r="G1074">
        <v>600000</v>
      </c>
      <c r="H1074" t="s">
        <v>895</v>
      </c>
      <c r="I1074">
        <v>90000</v>
      </c>
      <c r="J1074">
        <v>10000</v>
      </c>
      <c r="K1074">
        <v>520000</v>
      </c>
      <c r="L1074" t="s">
        <v>884</v>
      </c>
      <c r="M1074" t="s">
        <v>881</v>
      </c>
      <c r="N1074" t="s">
        <v>905</v>
      </c>
      <c r="O1074" s="9">
        <v>45748</v>
      </c>
      <c r="P1074" t="s">
        <v>892</v>
      </c>
      <c r="Q1074">
        <v>510000</v>
      </c>
      <c r="R1074" t="s">
        <v>738</v>
      </c>
      <c r="S1074" t="s">
        <v>739</v>
      </c>
      <c r="T1074" t="s">
        <v>740</v>
      </c>
      <c r="U1074" t="s">
        <v>661</v>
      </c>
      <c r="V1074" t="s">
        <v>23</v>
      </c>
      <c r="W1074" t="s">
        <v>56</v>
      </c>
      <c r="X1074" t="s">
        <v>15</v>
      </c>
    </row>
    <row r="1075" spans="1:24">
      <c r="A1075" t="s">
        <v>1970</v>
      </c>
      <c r="B1075" s="8">
        <v>45791</v>
      </c>
      <c r="C1075" t="s">
        <v>276</v>
      </c>
      <c r="D1075" t="s">
        <v>751</v>
      </c>
      <c r="E1075">
        <v>1</v>
      </c>
      <c r="F1075">
        <v>150000</v>
      </c>
      <c r="G1075">
        <v>150000</v>
      </c>
      <c r="H1075" t="s">
        <v>883</v>
      </c>
      <c r="I1075">
        <v>15000</v>
      </c>
      <c r="J1075">
        <v>10000</v>
      </c>
      <c r="K1075">
        <v>145000</v>
      </c>
      <c r="L1075" t="s">
        <v>889</v>
      </c>
      <c r="M1075" t="s">
        <v>901</v>
      </c>
      <c r="N1075" t="s">
        <v>890</v>
      </c>
      <c r="O1075" s="9">
        <v>45778</v>
      </c>
      <c r="P1075" t="s">
        <v>892</v>
      </c>
      <c r="Q1075">
        <v>135000</v>
      </c>
      <c r="R1075" t="s">
        <v>752</v>
      </c>
      <c r="S1075" t="s">
        <v>731</v>
      </c>
      <c r="T1075" t="s">
        <v>732</v>
      </c>
      <c r="U1075" t="s">
        <v>277</v>
      </c>
      <c r="V1075" t="s">
        <v>7</v>
      </c>
      <c r="W1075" t="s">
        <v>137</v>
      </c>
      <c r="X1075" t="s">
        <v>15</v>
      </c>
    </row>
    <row r="1076" spans="1:24">
      <c r="A1076" t="s">
        <v>1971</v>
      </c>
      <c r="B1076" s="8">
        <v>45740</v>
      </c>
      <c r="C1076" t="s">
        <v>204</v>
      </c>
      <c r="D1076" t="s">
        <v>841</v>
      </c>
      <c r="E1076">
        <v>1</v>
      </c>
      <c r="F1076">
        <v>75000</v>
      </c>
      <c r="G1076">
        <v>75000</v>
      </c>
      <c r="H1076" t="s">
        <v>872</v>
      </c>
      <c r="I1076">
        <v>0</v>
      </c>
      <c r="J1076">
        <v>30000</v>
      </c>
      <c r="K1076">
        <v>105000</v>
      </c>
      <c r="L1076" t="s">
        <v>889</v>
      </c>
      <c r="M1076" t="s">
        <v>881</v>
      </c>
      <c r="N1076" t="s">
        <v>875</v>
      </c>
      <c r="O1076" s="9">
        <v>45717</v>
      </c>
      <c r="P1076" t="s">
        <v>877</v>
      </c>
      <c r="Q1076">
        <v>75000</v>
      </c>
      <c r="R1076" t="s">
        <v>842</v>
      </c>
      <c r="S1076" t="s">
        <v>743</v>
      </c>
      <c r="T1076" t="s">
        <v>744</v>
      </c>
      <c r="U1076" t="s">
        <v>205</v>
      </c>
      <c r="V1076" t="s">
        <v>7</v>
      </c>
      <c r="W1076" t="s">
        <v>56</v>
      </c>
      <c r="X1076" t="s">
        <v>9</v>
      </c>
    </row>
    <row r="1077" spans="1:24">
      <c r="A1077" t="s">
        <v>1972</v>
      </c>
      <c r="B1077" s="8">
        <v>45779</v>
      </c>
      <c r="C1077" t="s">
        <v>32</v>
      </c>
      <c r="D1077" t="s">
        <v>797</v>
      </c>
      <c r="E1077">
        <v>2</v>
      </c>
      <c r="F1077">
        <v>150000</v>
      </c>
      <c r="G1077">
        <v>300000</v>
      </c>
      <c r="H1077" t="s">
        <v>872</v>
      </c>
      <c r="I1077">
        <v>0</v>
      </c>
      <c r="J1077">
        <v>10000</v>
      </c>
      <c r="K1077">
        <v>310000</v>
      </c>
      <c r="L1077" t="s">
        <v>873</v>
      </c>
      <c r="M1077" t="s">
        <v>903</v>
      </c>
      <c r="N1077" t="s">
        <v>875</v>
      </c>
      <c r="O1077" s="9">
        <v>45778</v>
      </c>
      <c r="P1077" t="s">
        <v>877</v>
      </c>
      <c r="Q1077">
        <v>300000</v>
      </c>
      <c r="R1077" t="s">
        <v>798</v>
      </c>
      <c r="S1077" t="s">
        <v>727</v>
      </c>
      <c r="T1077" t="s">
        <v>728</v>
      </c>
      <c r="U1077" t="s">
        <v>33</v>
      </c>
      <c r="V1077" t="s">
        <v>23</v>
      </c>
      <c r="W1077" t="s">
        <v>12</v>
      </c>
      <c r="X1077" t="s">
        <v>9</v>
      </c>
    </row>
    <row r="1078" spans="1:24">
      <c r="A1078" t="s">
        <v>1973</v>
      </c>
      <c r="B1078" s="8">
        <v>45775</v>
      </c>
      <c r="C1078" t="s">
        <v>418</v>
      </c>
      <c r="D1078" t="s">
        <v>783</v>
      </c>
      <c r="E1078">
        <v>2</v>
      </c>
      <c r="F1078">
        <v>500000</v>
      </c>
      <c r="G1078">
        <v>1000000</v>
      </c>
      <c r="H1078" t="s">
        <v>895</v>
      </c>
      <c r="I1078">
        <v>150000</v>
      </c>
      <c r="J1078">
        <v>20000</v>
      </c>
      <c r="K1078">
        <v>870000</v>
      </c>
      <c r="L1078" t="s">
        <v>884</v>
      </c>
      <c r="M1078" t="s">
        <v>881</v>
      </c>
      <c r="N1078" t="s">
        <v>875</v>
      </c>
      <c r="O1078" s="9">
        <v>45748</v>
      </c>
      <c r="P1078" t="s">
        <v>877</v>
      </c>
      <c r="Q1078">
        <v>850000</v>
      </c>
      <c r="R1078" t="s">
        <v>784</v>
      </c>
      <c r="S1078" t="s">
        <v>747</v>
      </c>
      <c r="T1078" t="s">
        <v>748</v>
      </c>
      <c r="U1078" t="s">
        <v>419</v>
      </c>
      <c r="V1078" t="s">
        <v>7</v>
      </c>
      <c r="W1078" t="s">
        <v>51</v>
      </c>
      <c r="X1078" t="s">
        <v>24</v>
      </c>
    </row>
    <row r="1079" spans="1:24">
      <c r="A1079" t="s">
        <v>1974</v>
      </c>
      <c r="B1079" s="8">
        <v>45692</v>
      </c>
      <c r="C1079" t="s">
        <v>596</v>
      </c>
      <c r="D1079" t="s">
        <v>771</v>
      </c>
      <c r="E1079">
        <v>2</v>
      </c>
      <c r="F1079">
        <v>500000</v>
      </c>
      <c r="G1079">
        <v>1000000</v>
      </c>
      <c r="H1079" t="s">
        <v>872</v>
      </c>
      <c r="I1079">
        <v>0</v>
      </c>
      <c r="J1079">
        <v>10000</v>
      </c>
      <c r="K1079">
        <v>1010000</v>
      </c>
      <c r="L1079" t="s">
        <v>873</v>
      </c>
      <c r="M1079" t="s">
        <v>903</v>
      </c>
      <c r="N1079" t="s">
        <v>875</v>
      </c>
      <c r="O1079" s="9">
        <v>45689</v>
      </c>
      <c r="P1079" t="s">
        <v>877</v>
      </c>
      <c r="Q1079">
        <v>1000000</v>
      </c>
      <c r="R1079" t="s">
        <v>772</v>
      </c>
      <c r="S1079" t="s">
        <v>747</v>
      </c>
      <c r="T1079" t="s">
        <v>748</v>
      </c>
      <c r="U1079" t="s">
        <v>597</v>
      </c>
      <c r="V1079" t="s">
        <v>23</v>
      </c>
      <c r="W1079" t="s">
        <v>137</v>
      </c>
      <c r="X1079" t="s">
        <v>24</v>
      </c>
    </row>
    <row r="1080" spans="1:24">
      <c r="A1080" t="s">
        <v>1975</v>
      </c>
      <c r="B1080" s="8">
        <v>45720</v>
      </c>
      <c r="C1080" t="s">
        <v>452</v>
      </c>
      <c r="D1080" t="s">
        <v>803</v>
      </c>
      <c r="E1080">
        <v>4</v>
      </c>
      <c r="F1080">
        <v>50000</v>
      </c>
      <c r="G1080">
        <v>200000</v>
      </c>
      <c r="H1080" t="s">
        <v>879</v>
      </c>
      <c r="I1080">
        <v>40000</v>
      </c>
      <c r="J1080">
        <v>30000</v>
      </c>
      <c r="K1080">
        <v>190000</v>
      </c>
      <c r="L1080" t="s">
        <v>889</v>
      </c>
      <c r="M1080" t="s">
        <v>874</v>
      </c>
      <c r="N1080" t="s">
        <v>875</v>
      </c>
      <c r="O1080" s="9">
        <v>45717</v>
      </c>
      <c r="P1080" t="s">
        <v>877</v>
      </c>
      <c r="Q1080">
        <v>160000</v>
      </c>
      <c r="R1080" t="s">
        <v>804</v>
      </c>
      <c r="S1080" t="s">
        <v>739</v>
      </c>
      <c r="T1080" t="s">
        <v>740</v>
      </c>
      <c r="U1080" t="s">
        <v>453</v>
      </c>
      <c r="V1080" t="s">
        <v>7</v>
      </c>
      <c r="W1080" t="s">
        <v>36</v>
      </c>
      <c r="X1080" t="s">
        <v>9</v>
      </c>
    </row>
    <row r="1081" spans="1:24">
      <c r="A1081" t="s">
        <v>1976</v>
      </c>
      <c r="B1081" s="8">
        <v>45669</v>
      </c>
      <c r="C1081" t="s">
        <v>626</v>
      </c>
      <c r="D1081" t="s">
        <v>775</v>
      </c>
      <c r="E1081">
        <v>1</v>
      </c>
      <c r="F1081">
        <v>75000</v>
      </c>
      <c r="G1081">
        <v>75000</v>
      </c>
      <c r="H1081" t="s">
        <v>895</v>
      </c>
      <c r="I1081">
        <v>11250</v>
      </c>
      <c r="J1081">
        <v>30000</v>
      </c>
      <c r="K1081">
        <v>93750</v>
      </c>
      <c r="L1081" t="s">
        <v>884</v>
      </c>
      <c r="M1081" t="s">
        <v>874</v>
      </c>
      <c r="N1081" t="s">
        <v>875</v>
      </c>
      <c r="O1081" s="9">
        <v>45658</v>
      </c>
      <c r="P1081" t="s">
        <v>877</v>
      </c>
      <c r="Q1081">
        <v>63750</v>
      </c>
      <c r="R1081" t="s">
        <v>776</v>
      </c>
      <c r="S1081" t="s">
        <v>731</v>
      </c>
      <c r="T1081" t="s">
        <v>732</v>
      </c>
      <c r="U1081" t="s">
        <v>627</v>
      </c>
      <c r="V1081" t="s">
        <v>23</v>
      </c>
      <c r="W1081" t="s">
        <v>12</v>
      </c>
      <c r="X1081" t="s">
        <v>15</v>
      </c>
    </row>
    <row r="1082" spans="1:24">
      <c r="A1082" t="s">
        <v>1977</v>
      </c>
      <c r="B1082" s="8">
        <v>45715</v>
      </c>
      <c r="C1082" t="s">
        <v>85</v>
      </c>
      <c r="D1082" t="s">
        <v>749</v>
      </c>
      <c r="E1082">
        <v>2</v>
      </c>
      <c r="F1082">
        <v>150000</v>
      </c>
      <c r="G1082">
        <v>300000</v>
      </c>
      <c r="H1082" t="s">
        <v>886</v>
      </c>
      <c r="I1082">
        <v>30000</v>
      </c>
      <c r="J1082">
        <v>20000</v>
      </c>
      <c r="K1082">
        <v>290000</v>
      </c>
      <c r="L1082" t="s">
        <v>884</v>
      </c>
      <c r="M1082" t="s">
        <v>881</v>
      </c>
      <c r="N1082" t="s">
        <v>911</v>
      </c>
      <c r="O1082" s="9">
        <v>45689</v>
      </c>
      <c r="P1082" t="s">
        <v>892</v>
      </c>
      <c r="Q1082">
        <v>270000</v>
      </c>
      <c r="R1082" t="s">
        <v>750</v>
      </c>
      <c r="S1082" t="s">
        <v>727</v>
      </c>
      <c r="T1082" t="s">
        <v>728</v>
      </c>
      <c r="U1082" t="s">
        <v>86</v>
      </c>
      <c r="V1082" t="s">
        <v>23</v>
      </c>
      <c r="W1082" t="s">
        <v>39</v>
      </c>
      <c r="X1082" t="s">
        <v>9</v>
      </c>
    </row>
    <row r="1083" spans="1:24">
      <c r="A1083" t="s">
        <v>1978</v>
      </c>
      <c r="B1083" s="8">
        <v>45736</v>
      </c>
      <c r="C1083" t="s">
        <v>190</v>
      </c>
      <c r="D1083" t="s">
        <v>853</v>
      </c>
      <c r="E1083">
        <v>3</v>
      </c>
      <c r="F1083">
        <v>75000</v>
      </c>
      <c r="G1083">
        <v>225000</v>
      </c>
      <c r="H1083" t="s">
        <v>895</v>
      </c>
      <c r="I1083">
        <v>33750</v>
      </c>
      <c r="J1083">
        <v>30000</v>
      </c>
      <c r="K1083">
        <v>221250</v>
      </c>
      <c r="L1083" t="s">
        <v>884</v>
      </c>
      <c r="M1083" t="s">
        <v>881</v>
      </c>
      <c r="N1083" t="s">
        <v>875</v>
      </c>
      <c r="O1083" s="9">
        <v>45717</v>
      </c>
      <c r="P1083" t="s">
        <v>877</v>
      </c>
      <c r="Q1083">
        <v>191250</v>
      </c>
      <c r="R1083" t="s">
        <v>854</v>
      </c>
      <c r="S1083" t="s">
        <v>743</v>
      </c>
      <c r="T1083" t="s">
        <v>744</v>
      </c>
      <c r="U1083" t="s">
        <v>191</v>
      </c>
      <c r="V1083" t="s">
        <v>7</v>
      </c>
      <c r="W1083" t="s">
        <v>56</v>
      </c>
      <c r="X1083" t="s">
        <v>24</v>
      </c>
    </row>
    <row r="1084" spans="1:24">
      <c r="A1084" t="s">
        <v>1979</v>
      </c>
      <c r="B1084" s="8">
        <v>45753</v>
      </c>
      <c r="C1084" t="s">
        <v>594</v>
      </c>
      <c r="D1084" t="s">
        <v>841</v>
      </c>
      <c r="E1084">
        <v>1</v>
      </c>
      <c r="F1084">
        <v>75000</v>
      </c>
      <c r="G1084">
        <v>75000</v>
      </c>
      <c r="H1084" t="s">
        <v>872</v>
      </c>
      <c r="I1084">
        <v>0</v>
      </c>
      <c r="J1084">
        <v>10000</v>
      </c>
      <c r="K1084">
        <v>85000</v>
      </c>
      <c r="L1084" t="s">
        <v>889</v>
      </c>
      <c r="M1084" t="s">
        <v>903</v>
      </c>
      <c r="N1084" t="s">
        <v>911</v>
      </c>
      <c r="O1084" s="9">
        <v>45748</v>
      </c>
      <c r="P1084" t="s">
        <v>892</v>
      </c>
      <c r="Q1084">
        <v>75000</v>
      </c>
      <c r="R1084" t="s">
        <v>842</v>
      </c>
      <c r="S1084" t="s">
        <v>743</v>
      </c>
      <c r="T1084" t="s">
        <v>744</v>
      </c>
      <c r="U1084" t="s">
        <v>595</v>
      </c>
      <c r="V1084" t="s">
        <v>23</v>
      </c>
      <c r="W1084" t="s">
        <v>51</v>
      </c>
      <c r="X1084" t="s">
        <v>9</v>
      </c>
    </row>
    <row r="1085" spans="1:24">
      <c r="A1085" t="s">
        <v>1980</v>
      </c>
      <c r="B1085" s="8">
        <v>45771</v>
      </c>
      <c r="C1085" t="s">
        <v>386</v>
      </c>
      <c r="D1085" t="s">
        <v>783</v>
      </c>
      <c r="E1085">
        <v>1</v>
      </c>
      <c r="F1085">
        <v>500000</v>
      </c>
      <c r="G1085">
        <v>500000</v>
      </c>
      <c r="H1085" t="s">
        <v>872</v>
      </c>
      <c r="I1085">
        <v>0</v>
      </c>
      <c r="J1085">
        <v>30000</v>
      </c>
      <c r="K1085">
        <v>530000</v>
      </c>
      <c r="L1085" t="s">
        <v>884</v>
      </c>
      <c r="M1085" t="s">
        <v>901</v>
      </c>
      <c r="N1085" t="s">
        <v>875</v>
      </c>
      <c r="O1085" s="9">
        <v>45748</v>
      </c>
      <c r="P1085" t="s">
        <v>877</v>
      </c>
      <c r="Q1085">
        <v>500000</v>
      </c>
      <c r="R1085" t="s">
        <v>784</v>
      </c>
      <c r="S1085" t="s">
        <v>747</v>
      </c>
      <c r="T1085" t="s">
        <v>748</v>
      </c>
      <c r="U1085" t="s">
        <v>387</v>
      </c>
      <c r="V1085" t="s">
        <v>7</v>
      </c>
      <c r="W1085" t="s">
        <v>36</v>
      </c>
      <c r="X1085" t="s">
        <v>9</v>
      </c>
    </row>
    <row r="1086" spans="1:24">
      <c r="A1086" t="s">
        <v>1981</v>
      </c>
      <c r="B1086" s="8">
        <v>45788</v>
      </c>
      <c r="C1086" t="s">
        <v>600</v>
      </c>
      <c r="D1086" t="s">
        <v>839</v>
      </c>
      <c r="E1086">
        <v>4</v>
      </c>
      <c r="F1086">
        <v>200000</v>
      </c>
      <c r="G1086">
        <v>800000</v>
      </c>
      <c r="H1086" t="s">
        <v>872</v>
      </c>
      <c r="I1086">
        <v>0</v>
      </c>
      <c r="J1086">
        <v>25000</v>
      </c>
      <c r="K1086">
        <v>825000</v>
      </c>
      <c r="L1086" t="s">
        <v>880</v>
      </c>
      <c r="M1086" t="s">
        <v>903</v>
      </c>
      <c r="N1086" t="s">
        <v>911</v>
      </c>
      <c r="O1086" s="9">
        <v>45778</v>
      </c>
      <c r="P1086" t="s">
        <v>892</v>
      </c>
      <c r="Q1086">
        <v>800000</v>
      </c>
      <c r="R1086" t="s">
        <v>840</v>
      </c>
      <c r="S1086" t="s">
        <v>739</v>
      </c>
      <c r="T1086" t="s">
        <v>740</v>
      </c>
      <c r="U1086" t="s">
        <v>601</v>
      </c>
      <c r="V1086" t="s">
        <v>23</v>
      </c>
      <c r="W1086" t="s">
        <v>20</v>
      </c>
      <c r="X1086" t="s">
        <v>9</v>
      </c>
    </row>
    <row r="1087" spans="1:24">
      <c r="A1087" t="s">
        <v>1982</v>
      </c>
      <c r="B1087" s="8">
        <v>45818</v>
      </c>
      <c r="C1087" t="s">
        <v>326</v>
      </c>
      <c r="D1087" t="s">
        <v>831</v>
      </c>
      <c r="E1087">
        <v>1</v>
      </c>
      <c r="F1087">
        <v>300000</v>
      </c>
      <c r="G1087">
        <v>300000</v>
      </c>
      <c r="H1087" t="s">
        <v>872</v>
      </c>
      <c r="I1087">
        <v>0</v>
      </c>
      <c r="J1087">
        <v>20000</v>
      </c>
      <c r="K1087">
        <v>320000</v>
      </c>
      <c r="L1087" t="s">
        <v>873</v>
      </c>
      <c r="M1087" t="s">
        <v>874</v>
      </c>
      <c r="N1087" t="s">
        <v>921</v>
      </c>
      <c r="O1087" s="9">
        <v>45809</v>
      </c>
      <c r="P1087" t="s">
        <v>892</v>
      </c>
      <c r="Q1087">
        <v>300000</v>
      </c>
      <c r="R1087" t="s">
        <v>832</v>
      </c>
      <c r="S1087" t="s">
        <v>747</v>
      </c>
      <c r="T1087" t="s">
        <v>748</v>
      </c>
      <c r="U1087" t="s">
        <v>327</v>
      </c>
      <c r="V1087" t="s">
        <v>7</v>
      </c>
      <c r="W1087" t="s">
        <v>8</v>
      </c>
      <c r="X1087" t="s">
        <v>9</v>
      </c>
    </row>
    <row r="1088" spans="1:24">
      <c r="A1088" t="s">
        <v>1983</v>
      </c>
      <c r="B1088" s="8">
        <v>45715</v>
      </c>
      <c r="C1088" t="s">
        <v>298</v>
      </c>
      <c r="D1088" t="s">
        <v>831</v>
      </c>
      <c r="E1088">
        <v>4</v>
      </c>
      <c r="F1088">
        <v>300000</v>
      </c>
      <c r="G1088">
        <v>1200000</v>
      </c>
      <c r="H1088" t="s">
        <v>886</v>
      </c>
      <c r="I1088">
        <v>120000</v>
      </c>
      <c r="J1088">
        <v>30000</v>
      </c>
      <c r="K1088">
        <v>1110000</v>
      </c>
      <c r="L1088" t="s">
        <v>889</v>
      </c>
      <c r="M1088" t="s">
        <v>881</v>
      </c>
      <c r="N1088" t="s">
        <v>905</v>
      </c>
      <c r="O1088" s="9">
        <v>45689</v>
      </c>
      <c r="P1088" t="s">
        <v>892</v>
      </c>
      <c r="Q1088">
        <v>1080000</v>
      </c>
      <c r="R1088" t="s">
        <v>832</v>
      </c>
      <c r="S1088" t="s">
        <v>747</v>
      </c>
      <c r="T1088" t="s">
        <v>748</v>
      </c>
      <c r="U1088" t="s">
        <v>299</v>
      </c>
      <c r="V1088" t="s">
        <v>7</v>
      </c>
      <c r="W1088" t="s">
        <v>137</v>
      </c>
      <c r="X1088" t="s">
        <v>9</v>
      </c>
    </row>
    <row r="1089" spans="1:24">
      <c r="A1089" t="s">
        <v>1984</v>
      </c>
      <c r="B1089" s="8">
        <v>45705</v>
      </c>
      <c r="C1089" t="s">
        <v>484</v>
      </c>
      <c r="D1089" t="s">
        <v>749</v>
      </c>
      <c r="E1089">
        <v>2</v>
      </c>
      <c r="F1089">
        <v>150000</v>
      </c>
      <c r="G1089">
        <v>300000</v>
      </c>
      <c r="H1089" t="s">
        <v>872</v>
      </c>
      <c r="I1089">
        <v>0</v>
      </c>
      <c r="J1089">
        <v>30000</v>
      </c>
      <c r="K1089">
        <v>330000</v>
      </c>
      <c r="L1089" t="s">
        <v>889</v>
      </c>
      <c r="M1089" t="s">
        <v>881</v>
      </c>
      <c r="N1089" t="s">
        <v>875</v>
      </c>
      <c r="O1089" s="9">
        <v>45689</v>
      </c>
      <c r="P1089" t="s">
        <v>877</v>
      </c>
      <c r="Q1089">
        <v>300000</v>
      </c>
      <c r="R1089" t="s">
        <v>750</v>
      </c>
      <c r="S1089" t="s">
        <v>727</v>
      </c>
      <c r="T1089" t="s">
        <v>728</v>
      </c>
      <c r="U1089" t="s">
        <v>485</v>
      </c>
      <c r="V1089" t="s">
        <v>7</v>
      </c>
      <c r="W1089" t="s">
        <v>8</v>
      </c>
      <c r="X1089" t="s">
        <v>9</v>
      </c>
    </row>
    <row r="1090" spans="1:24">
      <c r="A1090" t="s">
        <v>1985</v>
      </c>
      <c r="B1090" s="8">
        <v>45730</v>
      </c>
      <c r="C1090" t="s">
        <v>370</v>
      </c>
      <c r="D1090" t="s">
        <v>755</v>
      </c>
      <c r="E1090">
        <v>1</v>
      </c>
      <c r="F1090">
        <v>50000</v>
      </c>
      <c r="G1090">
        <v>50000</v>
      </c>
      <c r="H1090" t="s">
        <v>872</v>
      </c>
      <c r="I1090">
        <v>0</v>
      </c>
      <c r="J1090">
        <v>30000</v>
      </c>
      <c r="K1090">
        <v>80000</v>
      </c>
      <c r="L1090" t="s">
        <v>889</v>
      </c>
      <c r="M1090" t="s">
        <v>901</v>
      </c>
      <c r="N1090" t="s">
        <v>875</v>
      </c>
      <c r="O1090" s="9">
        <v>45717</v>
      </c>
      <c r="P1090" t="s">
        <v>877</v>
      </c>
      <c r="Q1090">
        <v>50000</v>
      </c>
      <c r="R1090" t="s">
        <v>756</v>
      </c>
      <c r="S1090" t="s">
        <v>739</v>
      </c>
      <c r="T1090" t="s">
        <v>740</v>
      </c>
      <c r="U1090" t="s">
        <v>371</v>
      </c>
      <c r="V1090" t="s">
        <v>23</v>
      </c>
      <c r="W1090" t="s">
        <v>36</v>
      </c>
      <c r="X1090" t="s">
        <v>15</v>
      </c>
    </row>
    <row r="1091" spans="1:24">
      <c r="A1091" t="s">
        <v>1986</v>
      </c>
      <c r="B1091" s="8">
        <v>45666</v>
      </c>
      <c r="C1091" t="s">
        <v>288</v>
      </c>
      <c r="D1091" t="s">
        <v>767</v>
      </c>
      <c r="E1091">
        <v>1</v>
      </c>
      <c r="F1091">
        <v>150000</v>
      </c>
      <c r="G1091">
        <v>150000</v>
      </c>
      <c r="H1091" t="s">
        <v>872</v>
      </c>
      <c r="I1091">
        <v>0</v>
      </c>
      <c r="J1091">
        <v>30000</v>
      </c>
      <c r="K1091">
        <v>180000</v>
      </c>
      <c r="L1091" t="s">
        <v>884</v>
      </c>
      <c r="M1091" t="s">
        <v>881</v>
      </c>
      <c r="N1091" t="s">
        <v>875</v>
      </c>
      <c r="O1091" s="9">
        <v>45658</v>
      </c>
      <c r="P1091" t="s">
        <v>877</v>
      </c>
      <c r="Q1091">
        <v>150000</v>
      </c>
      <c r="R1091" t="s">
        <v>768</v>
      </c>
      <c r="S1091" t="s">
        <v>739</v>
      </c>
      <c r="T1091" t="s">
        <v>740</v>
      </c>
      <c r="U1091" t="s">
        <v>289</v>
      </c>
      <c r="V1091" t="s">
        <v>7</v>
      </c>
      <c r="W1091" t="s">
        <v>56</v>
      </c>
      <c r="X1091" t="s">
        <v>9</v>
      </c>
    </row>
    <row r="1092" spans="1:24">
      <c r="A1092" t="s">
        <v>1987</v>
      </c>
      <c r="B1092" s="8">
        <v>45699</v>
      </c>
      <c r="C1092" t="s">
        <v>40</v>
      </c>
      <c r="D1092" t="s">
        <v>759</v>
      </c>
      <c r="E1092">
        <v>4</v>
      </c>
      <c r="F1092">
        <v>300000</v>
      </c>
      <c r="G1092">
        <v>1200000</v>
      </c>
      <c r="H1092" t="s">
        <v>872</v>
      </c>
      <c r="I1092">
        <v>0</v>
      </c>
      <c r="J1092">
        <v>30000</v>
      </c>
      <c r="K1092">
        <v>1230000</v>
      </c>
      <c r="L1092" t="s">
        <v>884</v>
      </c>
      <c r="M1092" t="s">
        <v>874</v>
      </c>
      <c r="N1092" t="s">
        <v>875</v>
      </c>
      <c r="O1092" s="9">
        <v>45689</v>
      </c>
      <c r="P1092" t="s">
        <v>877</v>
      </c>
      <c r="Q1092">
        <v>1200000</v>
      </c>
      <c r="R1092" t="s">
        <v>760</v>
      </c>
      <c r="S1092" t="s">
        <v>747</v>
      </c>
      <c r="T1092" t="s">
        <v>748</v>
      </c>
      <c r="U1092" t="s">
        <v>41</v>
      </c>
      <c r="V1092" t="s">
        <v>7</v>
      </c>
      <c r="W1092" t="s">
        <v>36</v>
      </c>
      <c r="X1092" t="s">
        <v>15</v>
      </c>
    </row>
    <row r="1093" spans="1:24">
      <c r="A1093" t="s">
        <v>1988</v>
      </c>
      <c r="B1093" s="8">
        <v>45694</v>
      </c>
      <c r="C1093" t="s">
        <v>524</v>
      </c>
      <c r="D1093" t="s">
        <v>855</v>
      </c>
      <c r="E1093">
        <v>2</v>
      </c>
      <c r="F1093">
        <v>150000</v>
      </c>
      <c r="G1093">
        <v>300000</v>
      </c>
      <c r="H1093" t="s">
        <v>872</v>
      </c>
      <c r="I1093">
        <v>0</v>
      </c>
      <c r="J1093">
        <v>10000</v>
      </c>
      <c r="K1093">
        <v>310000</v>
      </c>
      <c r="L1093" t="s">
        <v>880</v>
      </c>
      <c r="M1093" t="s">
        <v>903</v>
      </c>
      <c r="N1093" t="s">
        <v>905</v>
      </c>
      <c r="O1093" s="9">
        <v>45689</v>
      </c>
      <c r="P1093" t="s">
        <v>892</v>
      </c>
      <c r="Q1093">
        <v>300000</v>
      </c>
      <c r="R1093" t="s">
        <v>856</v>
      </c>
      <c r="S1093" t="s">
        <v>747</v>
      </c>
      <c r="T1093" t="s">
        <v>748</v>
      </c>
      <c r="U1093" t="s">
        <v>525</v>
      </c>
      <c r="V1093" t="s">
        <v>23</v>
      </c>
      <c r="W1093" t="s">
        <v>39</v>
      </c>
      <c r="X1093" t="s">
        <v>9</v>
      </c>
    </row>
    <row r="1094" spans="1:24">
      <c r="A1094" t="s">
        <v>1989</v>
      </c>
      <c r="B1094" s="8">
        <v>45702</v>
      </c>
      <c r="C1094" t="s">
        <v>230</v>
      </c>
      <c r="D1094" t="s">
        <v>753</v>
      </c>
      <c r="E1094">
        <v>3</v>
      </c>
      <c r="F1094">
        <v>300000</v>
      </c>
      <c r="G1094">
        <v>900000</v>
      </c>
      <c r="H1094" t="s">
        <v>886</v>
      </c>
      <c r="I1094">
        <v>90000</v>
      </c>
      <c r="J1094">
        <v>20000</v>
      </c>
      <c r="K1094">
        <v>830000</v>
      </c>
      <c r="L1094" t="s">
        <v>889</v>
      </c>
      <c r="M1094" t="s">
        <v>874</v>
      </c>
      <c r="N1094" t="s">
        <v>890</v>
      </c>
      <c r="O1094" s="9">
        <v>45689</v>
      </c>
      <c r="P1094" t="s">
        <v>892</v>
      </c>
      <c r="Q1094">
        <v>810000</v>
      </c>
      <c r="R1094" t="s">
        <v>754</v>
      </c>
      <c r="S1094" t="s">
        <v>735</v>
      </c>
      <c r="T1094" t="s">
        <v>736</v>
      </c>
      <c r="U1094" t="s">
        <v>231</v>
      </c>
      <c r="V1094" t="s">
        <v>7</v>
      </c>
      <c r="W1094" t="s">
        <v>36</v>
      </c>
      <c r="X1094" t="s">
        <v>24</v>
      </c>
    </row>
    <row r="1095" spans="1:24">
      <c r="A1095" t="s">
        <v>1990</v>
      </c>
      <c r="B1095" s="8">
        <v>45676</v>
      </c>
      <c r="C1095" t="s">
        <v>434</v>
      </c>
      <c r="D1095" t="s">
        <v>797</v>
      </c>
      <c r="E1095">
        <v>1</v>
      </c>
      <c r="F1095">
        <v>150000</v>
      </c>
      <c r="G1095">
        <v>150000</v>
      </c>
      <c r="H1095" t="s">
        <v>886</v>
      </c>
      <c r="I1095">
        <v>15000</v>
      </c>
      <c r="J1095">
        <v>15000</v>
      </c>
      <c r="K1095">
        <v>150000</v>
      </c>
      <c r="L1095" t="s">
        <v>884</v>
      </c>
      <c r="M1095" t="s">
        <v>903</v>
      </c>
      <c r="N1095" t="s">
        <v>875</v>
      </c>
      <c r="O1095" s="9">
        <v>45658</v>
      </c>
      <c r="P1095" t="s">
        <v>877</v>
      </c>
      <c r="Q1095">
        <v>135000</v>
      </c>
      <c r="R1095" t="s">
        <v>798</v>
      </c>
      <c r="S1095" t="s">
        <v>727</v>
      </c>
      <c r="T1095" t="s">
        <v>728</v>
      </c>
      <c r="U1095" t="s">
        <v>435</v>
      </c>
      <c r="V1095" t="s">
        <v>23</v>
      </c>
      <c r="W1095" t="s">
        <v>137</v>
      </c>
      <c r="X1095" t="s">
        <v>9</v>
      </c>
    </row>
    <row r="1096" spans="1:24">
      <c r="A1096" t="s">
        <v>1991</v>
      </c>
      <c r="B1096" s="8">
        <v>45803</v>
      </c>
      <c r="C1096" t="s">
        <v>664</v>
      </c>
      <c r="D1096" t="s">
        <v>851</v>
      </c>
      <c r="E1096">
        <v>2</v>
      </c>
      <c r="F1096">
        <v>35000</v>
      </c>
      <c r="G1096">
        <v>70000</v>
      </c>
      <c r="H1096" t="s">
        <v>872</v>
      </c>
      <c r="I1096">
        <v>0</v>
      </c>
      <c r="J1096">
        <v>20000</v>
      </c>
      <c r="K1096">
        <v>90000</v>
      </c>
      <c r="L1096" t="s">
        <v>880</v>
      </c>
      <c r="M1096" t="s">
        <v>881</v>
      </c>
      <c r="N1096" t="s">
        <v>875</v>
      </c>
      <c r="O1096" s="9">
        <v>45778</v>
      </c>
      <c r="P1096" t="s">
        <v>877</v>
      </c>
      <c r="Q1096">
        <v>70000</v>
      </c>
      <c r="R1096" t="s">
        <v>852</v>
      </c>
      <c r="S1096" t="s">
        <v>739</v>
      </c>
      <c r="T1096" t="s">
        <v>740</v>
      </c>
      <c r="U1096" t="s">
        <v>665</v>
      </c>
      <c r="V1096" t="s">
        <v>23</v>
      </c>
      <c r="W1096" t="s">
        <v>8</v>
      </c>
      <c r="X1096" t="s">
        <v>9</v>
      </c>
    </row>
    <row r="1097" spans="1:24">
      <c r="A1097" t="s">
        <v>1992</v>
      </c>
      <c r="B1097" s="8">
        <v>45709</v>
      </c>
      <c r="C1097" t="s">
        <v>578</v>
      </c>
      <c r="D1097" t="s">
        <v>751</v>
      </c>
      <c r="E1097">
        <v>1</v>
      </c>
      <c r="F1097">
        <v>150000</v>
      </c>
      <c r="G1097">
        <v>150000</v>
      </c>
      <c r="H1097" t="s">
        <v>895</v>
      </c>
      <c r="I1097">
        <v>22500</v>
      </c>
      <c r="J1097">
        <v>25000</v>
      </c>
      <c r="K1097">
        <v>152500</v>
      </c>
      <c r="L1097" t="s">
        <v>889</v>
      </c>
      <c r="M1097" t="s">
        <v>881</v>
      </c>
      <c r="N1097" t="s">
        <v>875</v>
      </c>
      <c r="O1097" s="9">
        <v>45689</v>
      </c>
      <c r="P1097" t="s">
        <v>877</v>
      </c>
      <c r="Q1097">
        <v>127500</v>
      </c>
      <c r="R1097" t="s">
        <v>752</v>
      </c>
      <c r="S1097" t="s">
        <v>731</v>
      </c>
      <c r="T1097" t="s">
        <v>732</v>
      </c>
      <c r="U1097" t="s">
        <v>579</v>
      </c>
      <c r="V1097" t="s">
        <v>23</v>
      </c>
      <c r="W1097" t="s">
        <v>56</v>
      </c>
      <c r="X1097" t="s">
        <v>24</v>
      </c>
    </row>
    <row r="1098" spans="1:24">
      <c r="A1098" t="s">
        <v>1993</v>
      </c>
      <c r="B1098" s="8">
        <v>45806</v>
      </c>
      <c r="C1098" t="s">
        <v>97</v>
      </c>
      <c r="D1098" t="s">
        <v>813</v>
      </c>
      <c r="E1098">
        <v>4</v>
      </c>
      <c r="F1098">
        <v>35000</v>
      </c>
      <c r="G1098">
        <v>140000</v>
      </c>
      <c r="H1098" t="s">
        <v>872</v>
      </c>
      <c r="I1098">
        <v>0</v>
      </c>
      <c r="J1098">
        <v>15000</v>
      </c>
      <c r="K1098">
        <v>155000</v>
      </c>
      <c r="L1098" t="s">
        <v>873</v>
      </c>
      <c r="M1098" t="s">
        <v>903</v>
      </c>
      <c r="N1098" t="s">
        <v>890</v>
      </c>
      <c r="O1098" s="9">
        <v>45778</v>
      </c>
      <c r="P1098" t="s">
        <v>892</v>
      </c>
      <c r="Q1098">
        <v>140000</v>
      </c>
      <c r="R1098" t="s">
        <v>814</v>
      </c>
      <c r="S1098" t="s">
        <v>735</v>
      </c>
      <c r="T1098" t="s">
        <v>736</v>
      </c>
      <c r="U1098" t="s">
        <v>98</v>
      </c>
      <c r="V1098" t="s">
        <v>7</v>
      </c>
      <c r="W1098" t="s">
        <v>39</v>
      </c>
      <c r="X1098" t="s">
        <v>9</v>
      </c>
    </row>
    <row r="1099" spans="1:24">
      <c r="A1099" t="s">
        <v>1994</v>
      </c>
      <c r="B1099" s="8">
        <v>45835</v>
      </c>
      <c r="C1099" t="s">
        <v>396</v>
      </c>
      <c r="D1099" t="s">
        <v>737</v>
      </c>
      <c r="E1099">
        <v>1</v>
      </c>
      <c r="F1099">
        <v>300000</v>
      </c>
      <c r="G1099">
        <v>300000</v>
      </c>
      <c r="H1099" t="s">
        <v>883</v>
      </c>
      <c r="I1099">
        <v>30000</v>
      </c>
      <c r="J1099">
        <v>25000</v>
      </c>
      <c r="K1099">
        <v>295000</v>
      </c>
      <c r="L1099" t="s">
        <v>873</v>
      </c>
      <c r="M1099" t="s">
        <v>903</v>
      </c>
      <c r="N1099" t="s">
        <v>875</v>
      </c>
      <c r="O1099" s="9">
        <v>45809</v>
      </c>
      <c r="P1099" t="s">
        <v>877</v>
      </c>
      <c r="Q1099">
        <v>270000</v>
      </c>
      <c r="R1099" t="s">
        <v>738</v>
      </c>
      <c r="S1099" t="s">
        <v>739</v>
      </c>
      <c r="T1099" t="s">
        <v>740</v>
      </c>
      <c r="U1099" t="s">
        <v>397</v>
      </c>
      <c r="V1099" t="s">
        <v>7</v>
      </c>
      <c r="W1099" t="s">
        <v>36</v>
      </c>
      <c r="X1099" t="s">
        <v>9</v>
      </c>
    </row>
    <row r="1100" spans="1:24">
      <c r="A1100" t="s">
        <v>1995</v>
      </c>
      <c r="B1100" s="8">
        <v>45830</v>
      </c>
      <c r="C1100" t="s">
        <v>456</v>
      </c>
      <c r="D1100" t="s">
        <v>767</v>
      </c>
      <c r="E1100">
        <v>4</v>
      </c>
      <c r="F1100">
        <v>150000</v>
      </c>
      <c r="G1100">
        <v>600000</v>
      </c>
      <c r="H1100" t="s">
        <v>883</v>
      </c>
      <c r="I1100">
        <v>60000</v>
      </c>
      <c r="J1100">
        <v>25000</v>
      </c>
      <c r="K1100">
        <v>565000</v>
      </c>
      <c r="L1100" t="s">
        <v>880</v>
      </c>
      <c r="M1100" t="s">
        <v>874</v>
      </c>
      <c r="N1100" t="s">
        <v>875</v>
      </c>
      <c r="O1100" s="9">
        <v>45809</v>
      </c>
      <c r="P1100" t="s">
        <v>877</v>
      </c>
      <c r="Q1100">
        <v>540000</v>
      </c>
      <c r="R1100" t="s">
        <v>768</v>
      </c>
      <c r="S1100" t="s">
        <v>739</v>
      </c>
      <c r="T1100" t="s">
        <v>740</v>
      </c>
      <c r="U1100" t="s">
        <v>457</v>
      </c>
      <c r="V1100" t="s">
        <v>7</v>
      </c>
      <c r="W1100" t="s">
        <v>46</v>
      </c>
      <c r="X1100" t="s">
        <v>9</v>
      </c>
    </row>
    <row r="1101" spans="1:24">
      <c r="A1101" t="s">
        <v>1996</v>
      </c>
      <c r="B1101" s="8">
        <v>45729</v>
      </c>
      <c r="C1101" t="s">
        <v>672</v>
      </c>
      <c r="D1101" t="s">
        <v>803</v>
      </c>
      <c r="E1101">
        <v>2</v>
      </c>
      <c r="F1101">
        <v>50000</v>
      </c>
      <c r="G1101">
        <v>100000</v>
      </c>
      <c r="H1101" t="s">
        <v>883</v>
      </c>
      <c r="I1101">
        <v>10000</v>
      </c>
      <c r="J1101">
        <v>10000</v>
      </c>
      <c r="K1101">
        <v>100000</v>
      </c>
      <c r="L1101" t="s">
        <v>880</v>
      </c>
      <c r="M1101" t="s">
        <v>874</v>
      </c>
      <c r="N1101" t="s">
        <v>875</v>
      </c>
      <c r="O1101" s="9">
        <v>45717</v>
      </c>
      <c r="P1101" t="s">
        <v>877</v>
      </c>
      <c r="Q1101">
        <v>90000</v>
      </c>
      <c r="R1101" t="s">
        <v>804</v>
      </c>
      <c r="S1101" t="s">
        <v>739</v>
      </c>
      <c r="T1101" t="s">
        <v>740</v>
      </c>
      <c r="U1101" t="s">
        <v>673</v>
      </c>
      <c r="V1101" t="s">
        <v>7</v>
      </c>
      <c r="W1101" t="s">
        <v>51</v>
      </c>
      <c r="X1101" t="s">
        <v>9</v>
      </c>
    </row>
    <row r="1102" spans="1:24">
      <c r="A1102" t="s">
        <v>1997</v>
      </c>
      <c r="B1102" s="8">
        <v>45669</v>
      </c>
      <c r="C1102" t="s">
        <v>274</v>
      </c>
      <c r="D1102" t="s">
        <v>745</v>
      </c>
      <c r="E1102">
        <v>1</v>
      </c>
      <c r="F1102">
        <v>500000</v>
      </c>
      <c r="G1102">
        <v>500000</v>
      </c>
      <c r="H1102" t="s">
        <v>886</v>
      </c>
      <c r="I1102">
        <v>50000</v>
      </c>
      <c r="J1102">
        <v>10000</v>
      </c>
      <c r="K1102">
        <v>460000</v>
      </c>
      <c r="L1102" t="s">
        <v>884</v>
      </c>
      <c r="M1102" t="s">
        <v>903</v>
      </c>
      <c r="N1102" t="s">
        <v>875</v>
      </c>
      <c r="O1102" s="9">
        <v>45658</v>
      </c>
      <c r="P1102" t="s">
        <v>877</v>
      </c>
      <c r="Q1102">
        <v>450000</v>
      </c>
      <c r="R1102" t="s">
        <v>746</v>
      </c>
      <c r="S1102" t="s">
        <v>747</v>
      </c>
      <c r="T1102" t="s">
        <v>748</v>
      </c>
      <c r="U1102" t="s">
        <v>275</v>
      </c>
      <c r="V1102" t="s">
        <v>7</v>
      </c>
      <c r="W1102" t="s">
        <v>8</v>
      </c>
      <c r="X1102" t="s">
        <v>9</v>
      </c>
    </row>
    <row r="1103" spans="1:24">
      <c r="A1103" t="s">
        <v>1998</v>
      </c>
      <c r="B1103" s="8">
        <v>45681</v>
      </c>
      <c r="C1103" t="s">
        <v>178</v>
      </c>
      <c r="D1103" t="s">
        <v>745</v>
      </c>
      <c r="E1103">
        <v>2</v>
      </c>
      <c r="F1103">
        <v>500000</v>
      </c>
      <c r="G1103">
        <v>1000000</v>
      </c>
      <c r="H1103" t="s">
        <v>879</v>
      </c>
      <c r="I1103">
        <v>200000</v>
      </c>
      <c r="J1103">
        <v>10000</v>
      </c>
      <c r="K1103">
        <v>810000</v>
      </c>
      <c r="L1103" t="s">
        <v>873</v>
      </c>
      <c r="M1103" t="s">
        <v>903</v>
      </c>
      <c r="N1103" t="s">
        <v>875</v>
      </c>
      <c r="O1103" s="9">
        <v>45658</v>
      </c>
      <c r="P1103" t="s">
        <v>877</v>
      </c>
      <c r="Q1103">
        <v>800000</v>
      </c>
      <c r="R1103" t="s">
        <v>746</v>
      </c>
      <c r="S1103" t="s">
        <v>747</v>
      </c>
      <c r="T1103" t="s">
        <v>748</v>
      </c>
      <c r="U1103" t="s">
        <v>179</v>
      </c>
      <c r="V1103" t="s">
        <v>7</v>
      </c>
      <c r="W1103" t="s">
        <v>137</v>
      </c>
      <c r="X1103" t="s">
        <v>24</v>
      </c>
    </row>
    <row r="1104" spans="1:24">
      <c r="A1104" t="s">
        <v>1999</v>
      </c>
      <c r="B1104" s="8">
        <v>45799</v>
      </c>
      <c r="C1104" t="s">
        <v>160</v>
      </c>
      <c r="D1104" t="s">
        <v>779</v>
      </c>
      <c r="E1104">
        <v>1</v>
      </c>
      <c r="F1104">
        <v>150000</v>
      </c>
      <c r="G1104">
        <v>150000</v>
      </c>
      <c r="H1104" t="s">
        <v>886</v>
      </c>
      <c r="I1104">
        <v>15000</v>
      </c>
      <c r="J1104">
        <v>15000</v>
      </c>
      <c r="K1104">
        <v>150000</v>
      </c>
      <c r="L1104" t="s">
        <v>884</v>
      </c>
      <c r="M1104" t="s">
        <v>903</v>
      </c>
      <c r="N1104" t="s">
        <v>875</v>
      </c>
      <c r="O1104" s="9">
        <v>45778</v>
      </c>
      <c r="P1104" t="s">
        <v>877</v>
      </c>
      <c r="Q1104">
        <v>135000</v>
      </c>
      <c r="R1104" t="s">
        <v>780</v>
      </c>
      <c r="S1104" t="s">
        <v>739</v>
      </c>
      <c r="T1104" t="s">
        <v>740</v>
      </c>
      <c r="U1104" t="s">
        <v>161</v>
      </c>
      <c r="V1104" t="s">
        <v>23</v>
      </c>
      <c r="W1104" t="s">
        <v>137</v>
      </c>
      <c r="X1104" t="s">
        <v>9</v>
      </c>
    </row>
    <row r="1105" spans="1:24">
      <c r="A1105" t="s">
        <v>2000</v>
      </c>
      <c r="B1105" s="8">
        <v>45756</v>
      </c>
      <c r="C1105" t="s">
        <v>502</v>
      </c>
      <c r="D1105" t="s">
        <v>795</v>
      </c>
      <c r="E1105">
        <v>1</v>
      </c>
      <c r="F1105">
        <v>100000</v>
      </c>
      <c r="G1105">
        <v>100000</v>
      </c>
      <c r="H1105" t="s">
        <v>872</v>
      </c>
      <c r="I1105">
        <v>0</v>
      </c>
      <c r="J1105">
        <v>20000</v>
      </c>
      <c r="K1105">
        <v>120000</v>
      </c>
      <c r="L1105" t="s">
        <v>889</v>
      </c>
      <c r="M1105" t="s">
        <v>881</v>
      </c>
      <c r="N1105" t="s">
        <v>875</v>
      </c>
      <c r="O1105" s="9">
        <v>45748</v>
      </c>
      <c r="P1105" t="s">
        <v>877</v>
      </c>
      <c r="Q1105">
        <v>100000</v>
      </c>
      <c r="R1105" t="s">
        <v>796</v>
      </c>
      <c r="S1105" t="s">
        <v>747</v>
      </c>
      <c r="T1105" t="s">
        <v>748</v>
      </c>
      <c r="U1105" t="s">
        <v>503</v>
      </c>
      <c r="V1105" t="s">
        <v>7</v>
      </c>
      <c r="W1105" t="s">
        <v>56</v>
      </c>
      <c r="X1105" t="s">
        <v>24</v>
      </c>
    </row>
    <row r="1106" spans="1:24">
      <c r="A1106" t="s">
        <v>2001</v>
      </c>
      <c r="B1106" s="8">
        <v>45675</v>
      </c>
      <c r="C1106" t="s">
        <v>172</v>
      </c>
      <c r="D1106" t="s">
        <v>825</v>
      </c>
      <c r="E1106">
        <v>1</v>
      </c>
      <c r="F1106">
        <v>100000</v>
      </c>
      <c r="G1106">
        <v>100000</v>
      </c>
      <c r="H1106" t="s">
        <v>886</v>
      </c>
      <c r="I1106">
        <v>10000</v>
      </c>
      <c r="J1106">
        <v>25000</v>
      </c>
      <c r="K1106">
        <v>115000</v>
      </c>
      <c r="L1106" t="s">
        <v>880</v>
      </c>
      <c r="M1106" t="s">
        <v>881</v>
      </c>
      <c r="N1106" t="s">
        <v>875</v>
      </c>
      <c r="O1106" s="9">
        <v>45658</v>
      </c>
      <c r="P1106" t="s">
        <v>877</v>
      </c>
      <c r="Q1106">
        <v>90000</v>
      </c>
      <c r="R1106" t="s">
        <v>826</v>
      </c>
      <c r="S1106" t="s">
        <v>735</v>
      </c>
      <c r="T1106" t="s">
        <v>736</v>
      </c>
      <c r="U1106" t="s">
        <v>173</v>
      </c>
      <c r="V1106" t="s">
        <v>7</v>
      </c>
      <c r="W1106" t="s">
        <v>56</v>
      </c>
      <c r="X1106" t="s">
        <v>9</v>
      </c>
    </row>
    <row r="1107" spans="1:24">
      <c r="A1107" t="s">
        <v>2002</v>
      </c>
      <c r="B1107" s="8">
        <v>45749</v>
      </c>
      <c r="C1107" t="s">
        <v>402</v>
      </c>
      <c r="D1107" t="s">
        <v>761</v>
      </c>
      <c r="E1107">
        <v>1</v>
      </c>
      <c r="F1107">
        <v>75000</v>
      </c>
      <c r="G1107">
        <v>75000</v>
      </c>
      <c r="H1107" t="s">
        <v>872</v>
      </c>
      <c r="I1107">
        <v>0</v>
      </c>
      <c r="J1107">
        <v>20000</v>
      </c>
      <c r="K1107">
        <v>95000</v>
      </c>
      <c r="L1107" t="s">
        <v>880</v>
      </c>
      <c r="M1107" t="s">
        <v>901</v>
      </c>
      <c r="N1107" t="s">
        <v>875</v>
      </c>
      <c r="O1107" s="9">
        <v>45748</v>
      </c>
      <c r="P1107" t="s">
        <v>877</v>
      </c>
      <c r="Q1107">
        <v>75000</v>
      </c>
      <c r="R1107" t="s">
        <v>762</v>
      </c>
      <c r="S1107" t="s">
        <v>727</v>
      </c>
      <c r="T1107" t="s">
        <v>728</v>
      </c>
      <c r="U1107" t="s">
        <v>403</v>
      </c>
      <c r="V1107" t="s">
        <v>7</v>
      </c>
      <c r="W1107" t="s">
        <v>8</v>
      </c>
      <c r="X1107" t="s">
        <v>9</v>
      </c>
    </row>
    <row r="1108" spans="1:24">
      <c r="A1108" t="s">
        <v>2003</v>
      </c>
      <c r="B1108" s="8">
        <v>45740</v>
      </c>
      <c r="C1108" t="s">
        <v>474</v>
      </c>
      <c r="D1108" t="s">
        <v>837</v>
      </c>
      <c r="E1108">
        <v>1</v>
      </c>
      <c r="F1108">
        <v>300000</v>
      </c>
      <c r="G1108">
        <v>300000</v>
      </c>
      <c r="H1108" t="s">
        <v>872</v>
      </c>
      <c r="I1108">
        <v>0</v>
      </c>
      <c r="J1108">
        <v>30000</v>
      </c>
      <c r="K1108">
        <v>330000</v>
      </c>
      <c r="L1108" t="s">
        <v>884</v>
      </c>
      <c r="M1108" t="s">
        <v>874</v>
      </c>
      <c r="N1108" t="s">
        <v>875</v>
      </c>
      <c r="O1108" s="9">
        <v>45717</v>
      </c>
      <c r="P1108" t="s">
        <v>877</v>
      </c>
      <c r="Q1108">
        <v>300000</v>
      </c>
      <c r="R1108" t="s">
        <v>838</v>
      </c>
      <c r="S1108" t="s">
        <v>735</v>
      </c>
      <c r="T1108" t="s">
        <v>736</v>
      </c>
      <c r="U1108" t="s">
        <v>475</v>
      </c>
      <c r="V1108" t="s">
        <v>7</v>
      </c>
      <c r="W1108" t="s">
        <v>46</v>
      </c>
      <c r="X1108" t="s">
        <v>9</v>
      </c>
    </row>
    <row r="1109" spans="1:24">
      <c r="A1109" t="s">
        <v>2004</v>
      </c>
      <c r="B1109" s="8">
        <v>45838</v>
      </c>
      <c r="C1109" t="s">
        <v>358</v>
      </c>
      <c r="D1109" t="s">
        <v>845</v>
      </c>
      <c r="E1109">
        <v>2</v>
      </c>
      <c r="F1109">
        <v>300000</v>
      </c>
      <c r="G1109">
        <v>600000</v>
      </c>
      <c r="H1109" t="s">
        <v>872</v>
      </c>
      <c r="I1109">
        <v>0</v>
      </c>
      <c r="J1109">
        <v>30000</v>
      </c>
      <c r="K1109">
        <v>630000</v>
      </c>
      <c r="L1109" t="s">
        <v>884</v>
      </c>
      <c r="M1109" t="s">
        <v>901</v>
      </c>
      <c r="N1109" t="s">
        <v>905</v>
      </c>
      <c r="O1109" s="9">
        <v>45809</v>
      </c>
      <c r="P1109" t="s">
        <v>892</v>
      </c>
      <c r="Q1109">
        <v>600000</v>
      </c>
      <c r="R1109" t="s">
        <v>846</v>
      </c>
      <c r="S1109" t="s">
        <v>727</v>
      </c>
      <c r="T1109" t="s">
        <v>728</v>
      </c>
      <c r="U1109" t="s">
        <v>359</v>
      </c>
      <c r="V1109" t="s">
        <v>7</v>
      </c>
      <c r="W1109" t="s">
        <v>137</v>
      </c>
      <c r="X1109" t="s">
        <v>9</v>
      </c>
    </row>
    <row r="1110" spans="1:24">
      <c r="A1110" t="s">
        <v>2005</v>
      </c>
      <c r="B1110" s="8">
        <v>45710</v>
      </c>
      <c r="C1110" t="s">
        <v>52</v>
      </c>
      <c r="D1110" t="s">
        <v>781</v>
      </c>
      <c r="E1110">
        <v>2</v>
      </c>
      <c r="F1110">
        <v>50000</v>
      </c>
      <c r="G1110">
        <v>100000</v>
      </c>
      <c r="H1110" t="s">
        <v>879</v>
      </c>
      <c r="I1110">
        <v>20000</v>
      </c>
      <c r="J1110">
        <v>20000</v>
      </c>
      <c r="K1110">
        <v>100000</v>
      </c>
      <c r="L1110" t="s">
        <v>884</v>
      </c>
      <c r="M1110" t="s">
        <v>881</v>
      </c>
      <c r="N1110" t="s">
        <v>875</v>
      </c>
      <c r="O1110" s="9">
        <v>45689</v>
      </c>
      <c r="P1110" t="s">
        <v>877</v>
      </c>
      <c r="Q1110">
        <v>80000</v>
      </c>
      <c r="R1110" t="s">
        <v>782</v>
      </c>
      <c r="S1110" t="s">
        <v>743</v>
      </c>
      <c r="T1110" t="s">
        <v>744</v>
      </c>
      <c r="U1110" t="s">
        <v>53</v>
      </c>
      <c r="V1110" t="s">
        <v>23</v>
      </c>
      <c r="W1110" t="s">
        <v>51</v>
      </c>
      <c r="X1110" t="s">
        <v>24</v>
      </c>
    </row>
    <row r="1111" spans="1:24">
      <c r="A1111" t="s">
        <v>2006</v>
      </c>
      <c r="B1111" s="8">
        <v>45717</v>
      </c>
      <c r="C1111" t="s">
        <v>198</v>
      </c>
      <c r="D1111" t="s">
        <v>839</v>
      </c>
      <c r="E1111">
        <v>4</v>
      </c>
      <c r="F1111">
        <v>200000</v>
      </c>
      <c r="G1111">
        <v>800000</v>
      </c>
      <c r="H1111" t="s">
        <v>895</v>
      </c>
      <c r="I1111">
        <v>120000</v>
      </c>
      <c r="J1111">
        <v>30000</v>
      </c>
      <c r="K1111">
        <v>710000</v>
      </c>
      <c r="L1111" t="s">
        <v>884</v>
      </c>
      <c r="M1111" t="s">
        <v>874</v>
      </c>
      <c r="N1111" t="s">
        <v>890</v>
      </c>
      <c r="O1111" s="9">
        <v>45717</v>
      </c>
      <c r="P1111" t="s">
        <v>892</v>
      </c>
      <c r="Q1111">
        <v>680000</v>
      </c>
      <c r="R1111" t="s">
        <v>840</v>
      </c>
      <c r="S1111" t="s">
        <v>739</v>
      </c>
      <c r="T1111" t="s">
        <v>740</v>
      </c>
      <c r="U1111" t="s">
        <v>199</v>
      </c>
      <c r="V1111" t="s">
        <v>23</v>
      </c>
      <c r="W1111" t="s">
        <v>39</v>
      </c>
      <c r="X1111" t="s">
        <v>15</v>
      </c>
    </row>
    <row r="1112" spans="1:24">
      <c r="A1112" t="s">
        <v>2007</v>
      </c>
      <c r="B1112" s="8">
        <v>45799</v>
      </c>
      <c r="C1112" t="s">
        <v>522</v>
      </c>
      <c r="D1112" t="s">
        <v>799</v>
      </c>
      <c r="E1112">
        <v>1</v>
      </c>
      <c r="F1112">
        <v>35000</v>
      </c>
      <c r="G1112">
        <v>35000</v>
      </c>
      <c r="H1112" t="s">
        <v>872</v>
      </c>
      <c r="I1112">
        <v>0</v>
      </c>
      <c r="J1112">
        <v>20000</v>
      </c>
      <c r="K1112">
        <v>55000</v>
      </c>
      <c r="L1112" t="s">
        <v>889</v>
      </c>
      <c r="M1112" t="s">
        <v>874</v>
      </c>
      <c r="N1112" t="s">
        <v>875</v>
      </c>
      <c r="O1112" s="9">
        <v>45778</v>
      </c>
      <c r="P1112" t="s">
        <v>877</v>
      </c>
      <c r="Q1112">
        <v>35000</v>
      </c>
      <c r="R1112" t="s">
        <v>800</v>
      </c>
      <c r="S1112" t="s">
        <v>731</v>
      </c>
      <c r="T1112" t="s">
        <v>732</v>
      </c>
      <c r="U1112" t="s">
        <v>523</v>
      </c>
      <c r="V1112" t="s">
        <v>7</v>
      </c>
      <c r="W1112" t="s">
        <v>8</v>
      </c>
      <c r="X1112" t="s">
        <v>24</v>
      </c>
    </row>
    <row r="1113" spans="1:24">
      <c r="A1113" t="s">
        <v>2008</v>
      </c>
      <c r="B1113" s="8">
        <v>45662</v>
      </c>
      <c r="C1113" t="s">
        <v>172</v>
      </c>
      <c r="D1113" t="s">
        <v>799</v>
      </c>
      <c r="E1113">
        <v>1</v>
      </c>
      <c r="F1113">
        <v>35000</v>
      </c>
      <c r="G1113">
        <v>35000</v>
      </c>
      <c r="H1113" t="s">
        <v>872</v>
      </c>
      <c r="I1113">
        <v>0</v>
      </c>
      <c r="J1113">
        <v>25000</v>
      </c>
      <c r="K1113">
        <v>60000</v>
      </c>
      <c r="L1113" t="s">
        <v>873</v>
      </c>
      <c r="M1113" t="s">
        <v>901</v>
      </c>
      <c r="N1113" t="s">
        <v>875</v>
      </c>
      <c r="O1113" s="9">
        <v>45658</v>
      </c>
      <c r="P1113" t="s">
        <v>877</v>
      </c>
      <c r="Q1113">
        <v>35000</v>
      </c>
      <c r="R1113" t="s">
        <v>800</v>
      </c>
      <c r="S1113" t="s">
        <v>731</v>
      </c>
      <c r="T1113" t="s">
        <v>732</v>
      </c>
      <c r="U1113" t="s">
        <v>173</v>
      </c>
      <c r="V1113" t="s">
        <v>7</v>
      </c>
      <c r="W1113" t="s">
        <v>56</v>
      </c>
      <c r="X1113" t="s">
        <v>9</v>
      </c>
    </row>
    <row r="1114" spans="1:24">
      <c r="A1114" t="s">
        <v>2009</v>
      </c>
      <c r="B1114" s="8">
        <v>45788</v>
      </c>
      <c r="C1114" t="s">
        <v>474</v>
      </c>
      <c r="D1114" t="s">
        <v>789</v>
      </c>
      <c r="E1114">
        <v>2</v>
      </c>
      <c r="F1114">
        <v>200000</v>
      </c>
      <c r="G1114">
        <v>400000</v>
      </c>
      <c r="H1114" t="s">
        <v>872</v>
      </c>
      <c r="I1114">
        <v>0</v>
      </c>
      <c r="J1114">
        <v>25000</v>
      </c>
      <c r="K1114">
        <v>425000</v>
      </c>
      <c r="L1114" t="s">
        <v>884</v>
      </c>
      <c r="M1114" t="s">
        <v>901</v>
      </c>
      <c r="N1114" t="s">
        <v>875</v>
      </c>
      <c r="O1114" s="9">
        <v>45778</v>
      </c>
      <c r="P1114" t="s">
        <v>877</v>
      </c>
      <c r="Q1114">
        <v>400000</v>
      </c>
      <c r="R1114" t="s">
        <v>790</v>
      </c>
      <c r="S1114" t="s">
        <v>735</v>
      </c>
      <c r="T1114" t="s">
        <v>736</v>
      </c>
      <c r="U1114" t="s">
        <v>475</v>
      </c>
      <c r="V1114" t="s">
        <v>7</v>
      </c>
      <c r="W1114" t="s">
        <v>46</v>
      </c>
      <c r="X1114" t="s">
        <v>9</v>
      </c>
    </row>
    <row r="1115" spans="1:24">
      <c r="A1115" t="s">
        <v>2010</v>
      </c>
      <c r="B1115" s="8">
        <v>45682</v>
      </c>
      <c r="C1115" t="s">
        <v>486</v>
      </c>
      <c r="D1115" t="s">
        <v>823</v>
      </c>
      <c r="E1115">
        <v>3</v>
      </c>
      <c r="F1115">
        <v>500000</v>
      </c>
      <c r="G1115">
        <v>1500000</v>
      </c>
      <c r="H1115" t="s">
        <v>872</v>
      </c>
      <c r="I1115">
        <v>0</v>
      </c>
      <c r="J1115">
        <v>15000</v>
      </c>
      <c r="K1115">
        <v>1515000</v>
      </c>
      <c r="L1115" t="s">
        <v>880</v>
      </c>
      <c r="M1115" t="s">
        <v>874</v>
      </c>
      <c r="N1115" t="s">
        <v>875</v>
      </c>
      <c r="O1115" s="9">
        <v>45658</v>
      </c>
      <c r="P1115" t="s">
        <v>877</v>
      </c>
      <c r="Q1115">
        <v>1500000</v>
      </c>
      <c r="R1115" t="s">
        <v>824</v>
      </c>
      <c r="S1115" t="s">
        <v>731</v>
      </c>
      <c r="T1115" t="s">
        <v>732</v>
      </c>
      <c r="U1115" t="s">
        <v>487</v>
      </c>
      <c r="V1115" t="s">
        <v>23</v>
      </c>
      <c r="W1115" t="s">
        <v>36</v>
      </c>
      <c r="X1115" t="s">
        <v>24</v>
      </c>
    </row>
    <row r="1116" spans="1:24">
      <c r="A1116" t="s">
        <v>2011</v>
      </c>
      <c r="B1116" s="8">
        <v>45792</v>
      </c>
      <c r="C1116" t="s">
        <v>432</v>
      </c>
      <c r="D1116" t="s">
        <v>783</v>
      </c>
      <c r="E1116">
        <v>1</v>
      </c>
      <c r="F1116">
        <v>500000</v>
      </c>
      <c r="G1116">
        <v>500000</v>
      </c>
      <c r="H1116" t="s">
        <v>879</v>
      </c>
      <c r="I1116">
        <v>100000</v>
      </c>
      <c r="J1116">
        <v>10000</v>
      </c>
      <c r="K1116">
        <v>410000</v>
      </c>
      <c r="L1116" t="s">
        <v>884</v>
      </c>
      <c r="M1116" t="s">
        <v>901</v>
      </c>
      <c r="N1116" t="s">
        <v>890</v>
      </c>
      <c r="O1116" s="9">
        <v>45778</v>
      </c>
      <c r="P1116" t="s">
        <v>892</v>
      </c>
      <c r="Q1116">
        <v>400000</v>
      </c>
      <c r="R1116" t="s">
        <v>784</v>
      </c>
      <c r="S1116" t="s">
        <v>747</v>
      </c>
      <c r="T1116" t="s">
        <v>748</v>
      </c>
      <c r="U1116" t="s">
        <v>433</v>
      </c>
      <c r="V1116" t="s">
        <v>23</v>
      </c>
      <c r="W1116" t="s">
        <v>39</v>
      </c>
      <c r="X1116" t="s">
        <v>9</v>
      </c>
    </row>
    <row r="1117" spans="1:24">
      <c r="A1117" t="s">
        <v>2012</v>
      </c>
      <c r="B1117" s="8">
        <v>45715</v>
      </c>
      <c r="C1117" t="s">
        <v>194</v>
      </c>
      <c r="D1117" t="s">
        <v>801</v>
      </c>
      <c r="E1117">
        <v>2</v>
      </c>
      <c r="F1117">
        <v>100000</v>
      </c>
      <c r="G1117">
        <v>200000</v>
      </c>
      <c r="H1117" t="s">
        <v>886</v>
      </c>
      <c r="I1117">
        <v>20000</v>
      </c>
      <c r="J1117">
        <v>20000</v>
      </c>
      <c r="K1117">
        <v>200000</v>
      </c>
      <c r="L1117" t="s">
        <v>880</v>
      </c>
      <c r="M1117" t="s">
        <v>901</v>
      </c>
      <c r="N1117" t="s">
        <v>921</v>
      </c>
      <c r="O1117" s="9">
        <v>45689</v>
      </c>
      <c r="P1117" t="s">
        <v>892</v>
      </c>
      <c r="Q1117">
        <v>180000</v>
      </c>
      <c r="R1117" t="s">
        <v>802</v>
      </c>
      <c r="S1117" t="s">
        <v>735</v>
      </c>
      <c r="T1117" t="s">
        <v>736</v>
      </c>
      <c r="U1117" t="s">
        <v>195</v>
      </c>
      <c r="V1117" t="s">
        <v>7</v>
      </c>
      <c r="W1117" t="s">
        <v>36</v>
      </c>
      <c r="X1117" t="s">
        <v>24</v>
      </c>
    </row>
    <row r="1118" spans="1:24">
      <c r="A1118" t="s">
        <v>2013</v>
      </c>
      <c r="B1118" s="8">
        <v>45710</v>
      </c>
      <c r="C1118" t="s">
        <v>480</v>
      </c>
      <c r="D1118" t="s">
        <v>789</v>
      </c>
      <c r="E1118">
        <v>4</v>
      </c>
      <c r="F1118">
        <v>200000</v>
      </c>
      <c r="G1118">
        <v>800000</v>
      </c>
      <c r="H1118" t="s">
        <v>872</v>
      </c>
      <c r="I1118">
        <v>0</v>
      </c>
      <c r="J1118">
        <v>25000</v>
      </c>
      <c r="K1118">
        <v>825000</v>
      </c>
      <c r="L1118" t="s">
        <v>889</v>
      </c>
      <c r="M1118" t="s">
        <v>901</v>
      </c>
      <c r="N1118" t="s">
        <v>875</v>
      </c>
      <c r="O1118" s="9">
        <v>45689</v>
      </c>
      <c r="P1118" t="s">
        <v>877</v>
      </c>
      <c r="Q1118">
        <v>800000</v>
      </c>
      <c r="R1118" t="s">
        <v>790</v>
      </c>
      <c r="S1118" t="s">
        <v>735</v>
      </c>
      <c r="T1118" t="s">
        <v>736</v>
      </c>
      <c r="U1118" t="s">
        <v>481</v>
      </c>
      <c r="V1118" t="s">
        <v>7</v>
      </c>
      <c r="W1118" t="s">
        <v>8</v>
      </c>
      <c r="X1118" t="s">
        <v>24</v>
      </c>
    </row>
    <row r="1119" spans="1:24">
      <c r="A1119" t="s">
        <v>2014</v>
      </c>
      <c r="B1119" s="8">
        <v>45805</v>
      </c>
      <c r="C1119" t="s">
        <v>620</v>
      </c>
      <c r="D1119" t="s">
        <v>815</v>
      </c>
      <c r="E1119">
        <v>1</v>
      </c>
      <c r="F1119">
        <v>75000</v>
      </c>
      <c r="G1119">
        <v>75000</v>
      </c>
      <c r="H1119" t="s">
        <v>895</v>
      </c>
      <c r="I1119">
        <v>11250</v>
      </c>
      <c r="J1119">
        <v>30000</v>
      </c>
      <c r="K1119">
        <v>93750</v>
      </c>
      <c r="L1119" t="s">
        <v>889</v>
      </c>
      <c r="M1119" t="s">
        <v>901</v>
      </c>
      <c r="N1119" t="s">
        <v>890</v>
      </c>
      <c r="O1119" s="9">
        <v>45778</v>
      </c>
      <c r="P1119" t="s">
        <v>892</v>
      </c>
      <c r="Q1119">
        <v>63750</v>
      </c>
      <c r="R1119" t="s">
        <v>816</v>
      </c>
      <c r="S1119" t="s">
        <v>739</v>
      </c>
      <c r="T1119" t="s">
        <v>740</v>
      </c>
      <c r="U1119" t="s">
        <v>621</v>
      </c>
      <c r="V1119" t="s">
        <v>23</v>
      </c>
      <c r="W1119" t="s">
        <v>36</v>
      </c>
      <c r="X1119" t="s">
        <v>24</v>
      </c>
    </row>
    <row r="1120" spans="1:24">
      <c r="A1120" t="s">
        <v>2015</v>
      </c>
      <c r="B1120" s="8">
        <v>45702</v>
      </c>
      <c r="C1120" t="s">
        <v>172</v>
      </c>
      <c r="D1120" t="s">
        <v>855</v>
      </c>
      <c r="E1120">
        <v>1</v>
      </c>
      <c r="F1120">
        <v>150000</v>
      </c>
      <c r="G1120">
        <v>150000</v>
      </c>
      <c r="H1120" t="s">
        <v>895</v>
      </c>
      <c r="I1120">
        <v>22500</v>
      </c>
      <c r="J1120">
        <v>30000</v>
      </c>
      <c r="K1120">
        <v>157500</v>
      </c>
      <c r="L1120" t="s">
        <v>884</v>
      </c>
      <c r="M1120" t="s">
        <v>881</v>
      </c>
      <c r="N1120" t="s">
        <v>875</v>
      </c>
      <c r="O1120" s="9">
        <v>45689</v>
      </c>
      <c r="P1120" t="s">
        <v>877</v>
      </c>
      <c r="Q1120">
        <v>127500</v>
      </c>
      <c r="R1120" t="s">
        <v>856</v>
      </c>
      <c r="S1120" t="s">
        <v>747</v>
      </c>
      <c r="T1120" t="s">
        <v>748</v>
      </c>
      <c r="U1120" t="s">
        <v>173</v>
      </c>
      <c r="V1120" t="s">
        <v>7</v>
      </c>
      <c r="W1120" t="s">
        <v>56</v>
      </c>
      <c r="X1120" t="s">
        <v>9</v>
      </c>
    </row>
    <row r="1121" spans="1:24">
      <c r="A1121" t="s">
        <v>2016</v>
      </c>
      <c r="B1121" s="8">
        <v>45779</v>
      </c>
      <c r="C1121" t="s">
        <v>170</v>
      </c>
      <c r="D1121" t="s">
        <v>807</v>
      </c>
      <c r="E1121">
        <v>2</v>
      </c>
      <c r="F1121">
        <v>150000</v>
      </c>
      <c r="G1121">
        <v>300000</v>
      </c>
      <c r="H1121" t="s">
        <v>879</v>
      </c>
      <c r="I1121">
        <v>60000</v>
      </c>
      <c r="J1121">
        <v>20000</v>
      </c>
      <c r="K1121">
        <v>260000</v>
      </c>
      <c r="L1121" t="s">
        <v>880</v>
      </c>
      <c r="M1121" t="s">
        <v>901</v>
      </c>
      <c r="N1121" t="s">
        <v>890</v>
      </c>
      <c r="O1121" s="9">
        <v>45778</v>
      </c>
      <c r="P1121" t="s">
        <v>892</v>
      </c>
      <c r="Q1121">
        <v>240000</v>
      </c>
      <c r="R1121" t="s">
        <v>808</v>
      </c>
      <c r="S1121" t="s">
        <v>747</v>
      </c>
      <c r="T1121" t="s">
        <v>748</v>
      </c>
      <c r="U1121" t="s">
        <v>171</v>
      </c>
      <c r="V1121" t="s">
        <v>7</v>
      </c>
      <c r="W1121" t="s">
        <v>29</v>
      </c>
      <c r="X1121" t="s">
        <v>9</v>
      </c>
    </row>
    <row r="1122" spans="1:24">
      <c r="A1122" t="s">
        <v>2017</v>
      </c>
      <c r="B1122" s="8">
        <v>45658</v>
      </c>
      <c r="C1122" t="s">
        <v>506</v>
      </c>
      <c r="D1122" t="s">
        <v>803</v>
      </c>
      <c r="E1122">
        <v>2</v>
      </c>
      <c r="F1122">
        <v>50000</v>
      </c>
      <c r="G1122">
        <v>100000</v>
      </c>
      <c r="H1122" t="s">
        <v>872</v>
      </c>
      <c r="I1122">
        <v>0</v>
      </c>
      <c r="J1122">
        <v>25000</v>
      </c>
      <c r="K1122">
        <v>125000</v>
      </c>
      <c r="L1122" t="s">
        <v>889</v>
      </c>
      <c r="M1122" t="s">
        <v>901</v>
      </c>
      <c r="N1122" t="s">
        <v>875</v>
      </c>
      <c r="O1122" s="9">
        <v>45658</v>
      </c>
      <c r="P1122" t="s">
        <v>877</v>
      </c>
      <c r="Q1122">
        <v>100000</v>
      </c>
      <c r="R1122" t="s">
        <v>804</v>
      </c>
      <c r="S1122" t="s">
        <v>739</v>
      </c>
      <c r="T1122" t="s">
        <v>740</v>
      </c>
      <c r="U1122" t="s">
        <v>507</v>
      </c>
      <c r="V1122" t="s">
        <v>23</v>
      </c>
      <c r="W1122" t="s">
        <v>12</v>
      </c>
      <c r="X1122" t="s">
        <v>9</v>
      </c>
    </row>
    <row r="1123" spans="1:24">
      <c r="A1123" t="s">
        <v>2018</v>
      </c>
      <c r="B1123" s="8">
        <v>45708</v>
      </c>
      <c r="C1123" t="s">
        <v>688</v>
      </c>
      <c r="D1123" t="s">
        <v>797</v>
      </c>
      <c r="E1123">
        <v>3</v>
      </c>
      <c r="F1123">
        <v>150000</v>
      </c>
      <c r="G1123">
        <v>450000</v>
      </c>
      <c r="H1123" t="s">
        <v>895</v>
      </c>
      <c r="I1123">
        <v>67500</v>
      </c>
      <c r="J1123">
        <v>30000</v>
      </c>
      <c r="K1123">
        <v>412500</v>
      </c>
      <c r="L1123" t="s">
        <v>873</v>
      </c>
      <c r="M1123" t="s">
        <v>881</v>
      </c>
      <c r="N1123" t="s">
        <v>911</v>
      </c>
      <c r="O1123" s="9">
        <v>45689</v>
      </c>
      <c r="P1123" t="s">
        <v>892</v>
      </c>
      <c r="Q1123">
        <v>382500</v>
      </c>
      <c r="R1123" t="s">
        <v>798</v>
      </c>
      <c r="S1123" t="s">
        <v>727</v>
      </c>
      <c r="T1123" t="s">
        <v>728</v>
      </c>
      <c r="U1123" t="s">
        <v>689</v>
      </c>
      <c r="V1123" t="s">
        <v>7</v>
      </c>
      <c r="W1123" t="s">
        <v>46</v>
      </c>
      <c r="X1123" t="s">
        <v>24</v>
      </c>
    </row>
    <row r="1124" spans="1:24">
      <c r="A1124" t="s">
        <v>2019</v>
      </c>
      <c r="B1124" s="8">
        <v>45674</v>
      </c>
      <c r="C1124" t="s">
        <v>138</v>
      </c>
      <c r="D1124" t="s">
        <v>779</v>
      </c>
      <c r="E1124">
        <v>2</v>
      </c>
      <c r="F1124">
        <v>150000</v>
      </c>
      <c r="G1124">
        <v>300000</v>
      </c>
      <c r="H1124" t="s">
        <v>895</v>
      </c>
      <c r="I1124">
        <v>45000</v>
      </c>
      <c r="J1124">
        <v>15000</v>
      </c>
      <c r="K1124">
        <v>270000</v>
      </c>
      <c r="L1124" t="s">
        <v>880</v>
      </c>
      <c r="M1124" t="s">
        <v>881</v>
      </c>
      <c r="N1124" t="s">
        <v>911</v>
      </c>
      <c r="O1124" s="9">
        <v>45658</v>
      </c>
      <c r="P1124" t="s">
        <v>892</v>
      </c>
      <c r="Q1124">
        <v>255000</v>
      </c>
      <c r="R1124" t="s">
        <v>780</v>
      </c>
      <c r="S1124" t="s">
        <v>739</v>
      </c>
      <c r="T1124" t="s">
        <v>740</v>
      </c>
      <c r="U1124" t="s">
        <v>139</v>
      </c>
      <c r="V1124" t="s">
        <v>7</v>
      </c>
      <c r="W1124" t="s">
        <v>29</v>
      </c>
      <c r="X1124" t="s">
        <v>9</v>
      </c>
    </row>
    <row r="1125" spans="1:24">
      <c r="A1125" t="s">
        <v>2020</v>
      </c>
      <c r="B1125" s="8">
        <v>45696</v>
      </c>
      <c r="C1125" t="s">
        <v>156</v>
      </c>
      <c r="D1125" t="s">
        <v>823</v>
      </c>
      <c r="E1125">
        <v>2</v>
      </c>
      <c r="F1125">
        <v>500000</v>
      </c>
      <c r="G1125">
        <v>1000000</v>
      </c>
      <c r="H1125" t="s">
        <v>872</v>
      </c>
      <c r="I1125">
        <v>0</v>
      </c>
      <c r="J1125">
        <v>30000</v>
      </c>
      <c r="K1125">
        <v>1030000</v>
      </c>
      <c r="L1125" t="s">
        <v>880</v>
      </c>
      <c r="M1125" t="s">
        <v>874</v>
      </c>
      <c r="N1125" t="s">
        <v>921</v>
      </c>
      <c r="O1125" s="9">
        <v>45689</v>
      </c>
      <c r="P1125" t="s">
        <v>892</v>
      </c>
      <c r="Q1125">
        <v>1000000</v>
      </c>
      <c r="R1125" t="s">
        <v>824</v>
      </c>
      <c r="S1125" t="s">
        <v>731</v>
      </c>
      <c r="T1125" t="s">
        <v>732</v>
      </c>
      <c r="U1125" t="s">
        <v>157</v>
      </c>
      <c r="V1125" t="s">
        <v>23</v>
      </c>
      <c r="W1125" t="s">
        <v>137</v>
      </c>
      <c r="X1125" t="s">
        <v>15</v>
      </c>
    </row>
    <row r="1126" spans="1:24">
      <c r="A1126" t="s">
        <v>2021</v>
      </c>
      <c r="B1126" s="8">
        <v>45836</v>
      </c>
      <c r="C1126" t="s">
        <v>682</v>
      </c>
      <c r="D1126" t="s">
        <v>845</v>
      </c>
      <c r="E1126">
        <v>2</v>
      </c>
      <c r="F1126">
        <v>300000</v>
      </c>
      <c r="G1126">
        <v>600000</v>
      </c>
      <c r="H1126" t="s">
        <v>872</v>
      </c>
      <c r="I1126">
        <v>0</v>
      </c>
      <c r="J1126">
        <v>10000</v>
      </c>
      <c r="K1126">
        <v>610000</v>
      </c>
      <c r="L1126" t="s">
        <v>889</v>
      </c>
      <c r="M1126" t="s">
        <v>903</v>
      </c>
      <c r="N1126" t="s">
        <v>875</v>
      </c>
      <c r="O1126" s="9">
        <v>45809</v>
      </c>
      <c r="P1126" t="s">
        <v>877</v>
      </c>
      <c r="Q1126">
        <v>600000</v>
      </c>
      <c r="R1126" t="s">
        <v>846</v>
      </c>
      <c r="S1126" t="s">
        <v>727</v>
      </c>
      <c r="T1126" t="s">
        <v>728</v>
      </c>
      <c r="U1126" t="s">
        <v>683</v>
      </c>
      <c r="V1126" t="s">
        <v>7</v>
      </c>
      <c r="W1126" t="s">
        <v>137</v>
      </c>
      <c r="X1126" t="s">
        <v>9</v>
      </c>
    </row>
    <row r="1127" spans="1:24">
      <c r="A1127" t="s">
        <v>2022</v>
      </c>
      <c r="B1127" s="8">
        <v>45661</v>
      </c>
      <c r="C1127" t="s">
        <v>59</v>
      </c>
      <c r="D1127" t="s">
        <v>797</v>
      </c>
      <c r="E1127">
        <v>2</v>
      </c>
      <c r="F1127">
        <v>150000</v>
      </c>
      <c r="G1127">
        <v>300000</v>
      </c>
      <c r="H1127" t="s">
        <v>872</v>
      </c>
      <c r="I1127">
        <v>0</v>
      </c>
      <c r="J1127">
        <v>20000</v>
      </c>
      <c r="K1127">
        <v>320000</v>
      </c>
      <c r="L1127" t="s">
        <v>880</v>
      </c>
      <c r="M1127" t="s">
        <v>901</v>
      </c>
      <c r="N1127" t="s">
        <v>875</v>
      </c>
      <c r="O1127" s="9">
        <v>45658</v>
      </c>
      <c r="P1127" t="s">
        <v>877</v>
      </c>
      <c r="Q1127">
        <v>300000</v>
      </c>
      <c r="R1127" t="s">
        <v>798</v>
      </c>
      <c r="S1127" t="s">
        <v>727</v>
      </c>
      <c r="T1127" t="s">
        <v>728</v>
      </c>
      <c r="U1127" t="s">
        <v>60</v>
      </c>
      <c r="V1127" t="s">
        <v>7</v>
      </c>
      <c r="W1127" t="s">
        <v>39</v>
      </c>
      <c r="X1127" t="s">
        <v>15</v>
      </c>
    </row>
    <row r="1128" spans="1:24">
      <c r="A1128" t="s">
        <v>2023</v>
      </c>
      <c r="B1128" s="8">
        <v>45826</v>
      </c>
      <c r="C1128" t="s">
        <v>604</v>
      </c>
      <c r="D1128" t="s">
        <v>849</v>
      </c>
      <c r="E1128">
        <v>1</v>
      </c>
      <c r="F1128">
        <v>500000</v>
      </c>
      <c r="G1128">
        <v>500000</v>
      </c>
      <c r="H1128" t="s">
        <v>879</v>
      </c>
      <c r="I1128">
        <v>100000</v>
      </c>
      <c r="J1128">
        <v>15000</v>
      </c>
      <c r="K1128">
        <v>415000</v>
      </c>
      <c r="L1128" t="s">
        <v>889</v>
      </c>
      <c r="M1128" t="s">
        <v>874</v>
      </c>
      <c r="N1128" t="s">
        <v>875</v>
      </c>
      <c r="O1128" s="9">
        <v>45809</v>
      </c>
      <c r="P1128" t="s">
        <v>877</v>
      </c>
      <c r="Q1128">
        <v>400000</v>
      </c>
      <c r="R1128" t="s">
        <v>850</v>
      </c>
      <c r="S1128" t="s">
        <v>735</v>
      </c>
      <c r="T1128" t="s">
        <v>736</v>
      </c>
      <c r="U1128" t="s">
        <v>605</v>
      </c>
      <c r="V1128" t="s">
        <v>7</v>
      </c>
      <c r="W1128" t="s">
        <v>20</v>
      </c>
      <c r="X1128" t="s">
        <v>24</v>
      </c>
    </row>
    <row r="1129" spans="1:24">
      <c r="A1129" t="s">
        <v>2024</v>
      </c>
      <c r="B1129" s="8">
        <v>45733</v>
      </c>
      <c r="C1129" t="s">
        <v>412</v>
      </c>
      <c r="D1129" t="s">
        <v>811</v>
      </c>
      <c r="E1129">
        <v>3</v>
      </c>
      <c r="F1129">
        <v>35000</v>
      </c>
      <c r="G1129">
        <v>105000</v>
      </c>
      <c r="H1129" t="s">
        <v>886</v>
      </c>
      <c r="I1129">
        <v>10500</v>
      </c>
      <c r="J1129">
        <v>25000</v>
      </c>
      <c r="K1129">
        <v>119500</v>
      </c>
      <c r="L1129" t="s">
        <v>884</v>
      </c>
      <c r="M1129" t="s">
        <v>874</v>
      </c>
      <c r="N1129" t="s">
        <v>905</v>
      </c>
      <c r="O1129" s="9">
        <v>45717</v>
      </c>
      <c r="P1129" t="s">
        <v>892</v>
      </c>
      <c r="Q1129">
        <v>94500</v>
      </c>
      <c r="R1129" t="s">
        <v>812</v>
      </c>
      <c r="S1129" t="s">
        <v>731</v>
      </c>
      <c r="T1129" t="s">
        <v>732</v>
      </c>
      <c r="U1129" t="s">
        <v>413</v>
      </c>
      <c r="V1129" t="s">
        <v>7</v>
      </c>
      <c r="W1129" t="s">
        <v>8</v>
      </c>
      <c r="X1129" t="s">
        <v>9</v>
      </c>
    </row>
    <row r="1130" spans="1:24">
      <c r="A1130" t="s">
        <v>2025</v>
      </c>
      <c r="B1130" s="8">
        <v>45800</v>
      </c>
      <c r="C1130" t="s">
        <v>460</v>
      </c>
      <c r="D1130" t="s">
        <v>823</v>
      </c>
      <c r="E1130">
        <v>4</v>
      </c>
      <c r="F1130">
        <v>500000</v>
      </c>
      <c r="G1130">
        <v>2000000</v>
      </c>
      <c r="H1130" t="s">
        <v>872</v>
      </c>
      <c r="I1130">
        <v>0</v>
      </c>
      <c r="J1130">
        <v>15000</v>
      </c>
      <c r="K1130">
        <v>2015000</v>
      </c>
      <c r="L1130" t="s">
        <v>884</v>
      </c>
      <c r="M1130" t="s">
        <v>901</v>
      </c>
      <c r="N1130" t="s">
        <v>921</v>
      </c>
      <c r="O1130" s="9">
        <v>45778</v>
      </c>
      <c r="P1130" t="s">
        <v>892</v>
      </c>
      <c r="Q1130">
        <v>2000000</v>
      </c>
      <c r="R1130" t="s">
        <v>824</v>
      </c>
      <c r="S1130" t="s">
        <v>731</v>
      </c>
      <c r="T1130" t="s">
        <v>732</v>
      </c>
      <c r="U1130" t="s">
        <v>461</v>
      </c>
      <c r="V1130" t="s">
        <v>23</v>
      </c>
      <c r="W1130" t="s">
        <v>51</v>
      </c>
      <c r="X1130" t="s">
        <v>9</v>
      </c>
    </row>
    <row r="1131" spans="1:24">
      <c r="A1131" t="s">
        <v>2026</v>
      </c>
      <c r="B1131" s="8">
        <v>45672</v>
      </c>
      <c r="C1131" t="s">
        <v>486</v>
      </c>
      <c r="D1131" t="s">
        <v>737</v>
      </c>
      <c r="E1131">
        <v>1</v>
      </c>
      <c r="F1131">
        <v>300000</v>
      </c>
      <c r="G1131">
        <v>300000</v>
      </c>
      <c r="H1131" t="s">
        <v>883</v>
      </c>
      <c r="I1131">
        <v>30000</v>
      </c>
      <c r="J1131">
        <v>30000</v>
      </c>
      <c r="K1131">
        <v>300000</v>
      </c>
      <c r="L1131" t="s">
        <v>873</v>
      </c>
      <c r="M1131" t="s">
        <v>874</v>
      </c>
      <c r="N1131" t="s">
        <v>875</v>
      </c>
      <c r="O1131" s="9">
        <v>45658</v>
      </c>
      <c r="P1131" t="s">
        <v>877</v>
      </c>
      <c r="Q1131">
        <v>270000</v>
      </c>
      <c r="R1131" t="s">
        <v>738</v>
      </c>
      <c r="S1131" t="s">
        <v>739</v>
      </c>
      <c r="T1131" t="s">
        <v>740</v>
      </c>
      <c r="U1131" t="s">
        <v>487</v>
      </c>
      <c r="V1131" t="s">
        <v>23</v>
      </c>
      <c r="W1131" t="s">
        <v>36</v>
      </c>
      <c r="X1131" t="s">
        <v>24</v>
      </c>
    </row>
    <row r="1132" spans="1:24">
      <c r="A1132" t="s">
        <v>2027</v>
      </c>
      <c r="B1132" s="8">
        <v>45714</v>
      </c>
      <c r="C1132" t="s">
        <v>258</v>
      </c>
      <c r="D1132" t="s">
        <v>839</v>
      </c>
      <c r="E1132">
        <v>1</v>
      </c>
      <c r="F1132">
        <v>200000</v>
      </c>
      <c r="G1132">
        <v>200000</v>
      </c>
      <c r="H1132" t="s">
        <v>883</v>
      </c>
      <c r="I1132">
        <v>20000</v>
      </c>
      <c r="J1132">
        <v>20000</v>
      </c>
      <c r="K1132">
        <v>200000</v>
      </c>
      <c r="L1132" t="s">
        <v>889</v>
      </c>
      <c r="M1132" t="s">
        <v>874</v>
      </c>
      <c r="N1132" t="s">
        <v>875</v>
      </c>
      <c r="O1132" s="9">
        <v>45689</v>
      </c>
      <c r="P1132" t="s">
        <v>877</v>
      </c>
      <c r="Q1132">
        <v>180000</v>
      </c>
      <c r="R1132" t="s">
        <v>840</v>
      </c>
      <c r="S1132" t="s">
        <v>739</v>
      </c>
      <c r="T1132" t="s">
        <v>740</v>
      </c>
      <c r="U1132" t="s">
        <v>259</v>
      </c>
      <c r="V1132" t="s">
        <v>7</v>
      </c>
      <c r="W1132" t="s">
        <v>56</v>
      </c>
      <c r="X1132" t="s">
        <v>9</v>
      </c>
    </row>
    <row r="1133" spans="1:24">
      <c r="A1133" t="s">
        <v>2028</v>
      </c>
      <c r="B1133" s="8">
        <v>45737</v>
      </c>
      <c r="C1133" t="s">
        <v>99</v>
      </c>
      <c r="D1133" t="s">
        <v>843</v>
      </c>
      <c r="E1133">
        <v>3</v>
      </c>
      <c r="F1133">
        <v>100000</v>
      </c>
      <c r="G1133">
        <v>300000</v>
      </c>
      <c r="H1133" t="s">
        <v>879</v>
      </c>
      <c r="I1133">
        <v>60000</v>
      </c>
      <c r="J1133">
        <v>20000</v>
      </c>
      <c r="K1133">
        <v>260000</v>
      </c>
      <c r="L1133" t="s">
        <v>884</v>
      </c>
      <c r="M1133" t="s">
        <v>881</v>
      </c>
      <c r="N1133" t="s">
        <v>875</v>
      </c>
      <c r="O1133" s="9">
        <v>45717</v>
      </c>
      <c r="P1133" t="s">
        <v>877</v>
      </c>
      <c r="Q1133">
        <v>240000</v>
      </c>
      <c r="R1133" t="s">
        <v>844</v>
      </c>
      <c r="S1133" t="s">
        <v>747</v>
      </c>
      <c r="T1133" t="s">
        <v>748</v>
      </c>
      <c r="U1133" t="s">
        <v>100</v>
      </c>
      <c r="V1133" t="s">
        <v>7</v>
      </c>
      <c r="W1133" t="s">
        <v>39</v>
      </c>
      <c r="X1133" t="s">
        <v>9</v>
      </c>
    </row>
    <row r="1134" spans="1:24">
      <c r="A1134" t="s">
        <v>2029</v>
      </c>
      <c r="B1134" s="8">
        <v>45739</v>
      </c>
      <c r="C1134" t="s">
        <v>234</v>
      </c>
      <c r="D1134" t="s">
        <v>741</v>
      </c>
      <c r="E1134">
        <v>1</v>
      </c>
      <c r="F1134">
        <v>75000</v>
      </c>
      <c r="G1134">
        <v>75000</v>
      </c>
      <c r="H1134" t="s">
        <v>872</v>
      </c>
      <c r="I1134">
        <v>0</v>
      </c>
      <c r="J1134">
        <v>25000</v>
      </c>
      <c r="K1134">
        <v>100000</v>
      </c>
      <c r="L1134" t="s">
        <v>884</v>
      </c>
      <c r="M1134" t="s">
        <v>881</v>
      </c>
      <c r="N1134" t="s">
        <v>875</v>
      </c>
      <c r="O1134" s="9">
        <v>45717</v>
      </c>
      <c r="P1134" t="s">
        <v>877</v>
      </c>
      <c r="Q1134">
        <v>75000</v>
      </c>
      <c r="R1134" t="s">
        <v>742</v>
      </c>
      <c r="S1134" t="s">
        <v>743</v>
      </c>
      <c r="T1134" t="s">
        <v>744</v>
      </c>
      <c r="U1134" t="s">
        <v>235</v>
      </c>
      <c r="V1134" t="s">
        <v>7</v>
      </c>
      <c r="W1134" t="s">
        <v>29</v>
      </c>
      <c r="X1134" t="s">
        <v>9</v>
      </c>
    </row>
    <row r="1135" spans="1:24">
      <c r="A1135" t="s">
        <v>2030</v>
      </c>
      <c r="B1135" s="8">
        <v>45706</v>
      </c>
      <c r="C1135" t="s">
        <v>144</v>
      </c>
      <c r="D1135" t="s">
        <v>845</v>
      </c>
      <c r="E1135">
        <v>4</v>
      </c>
      <c r="F1135">
        <v>300000</v>
      </c>
      <c r="G1135">
        <v>1200000</v>
      </c>
      <c r="H1135" t="s">
        <v>895</v>
      </c>
      <c r="I1135">
        <v>180000</v>
      </c>
      <c r="J1135">
        <v>20000</v>
      </c>
      <c r="K1135">
        <v>1040000</v>
      </c>
      <c r="L1135" t="s">
        <v>873</v>
      </c>
      <c r="M1135" t="s">
        <v>881</v>
      </c>
      <c r="N1135" t="s">
        <v>890</v>
      </c>
      <c r="O1135" s="9">
        <v>45689</v>
      </c>
      <c r="P1135" t="s">
        <v>892</v>
      </c>
      <c r="Q1135">
        <v>1020000</v>
      </c>
      <c r="R1135" t="s">
        <v>846</v>
      </c>
      <c r="S1135" t="s">
        <v>727</v>
      </c>
      <c r="T1135" t="s">
        <v>728</v>
      </c>
      <c r="U1135" t="s">
        <v>145</v>
      </c>
      <c r="V1135" t="s">
        <v>23</v>
      </c>
      <c r="W1135" t="s">
        <v>51</v>
      </c>
      <c r="X1135" t="s">
        <v>9</v>
      </c>
    </row>
    <row r="1136" spans="1:24">
      <c r="A1136" t="s">
        <v>2031</v>
      </c>
      <c r="B1136" s="8">
        <v>45813</v>
      </c>
      <c r="C1136" t="s">
        <v>536</v>
      </c>
      <c r="D1136" t="s">
        <v>811</v>
      </c>
      <c r="E1136">
        <v>2</v>
      </c>
      <c r="F1136">
        <v>35000</v>
      </c>
      <c r="G1136">
        <v>70000</v>
      </c>
      <c r="H1136" t="s">
        <v>886</v>
      </c>
      <c r="I1136">
        <v>7000</v>
      </c>
      <c r="J1136">
        <v>30000</v>
      </c>
      <c r="K1136">
        <v>93000</v>
      </c>
      <c r="L1136" t="s">
        <v>873</v>
      </c>
      <c r="M1136" t="s">
        <v>901</v>
      </c>
      <c r="N1136" t="s">
        <v>875</v>
      </c>
      <c r="O1136" s="9">
        <v>45809</v>
      </c>
      <c r="P1136" t="s">
        <v>877</v>
      </c>
      <c r="Q1136">
        <v>63000</v>
      </c>
      <c r="R1136" t="s">
        <v>812</v>
      </c>
      <c r="S1136" t="s">
        <v>731</v>
      </c>
      <c r="T1136" t="s">
        <v>732</v>
      </c>
      <c r="U1136" t="s">
        <v>537</v>
      </c>
      <c r="V1136" t="s">
        <v>7</v>
      </c>
      <c r="W1136" t="s">
        <v>36</v>
      </c>
      <c r="X1136" t="s">
        <v>9</v>
      </c>
    </row>
    <row r="1137" spans="1:24">
      <c r="A1137" t="s">
        <v>2032</v>
      </c>
      <c r="B1137" s="8">
        <v>45666</v>
      </c>
      <c r="C1137" t="s">
        <v>148</v>
      </c>
      <c r="D1137" t="s">
        <v>733</v>
      </c>
      <c r="E1137">
        <v>4</v>
      </c>
      <c r="F1137">
        <v>150000</v>
      </c>
      <c r="G1137">
        <v>600000</v>
      </c>
      <c r="H1137" t="s">
        <v>883</v>
      </c>
      <c r="I1137">
        <v>60000</v>
      </c>
      <c r="J1137">
        <v>25000</v>
      </c>
      <c r="K1137">
        <v>565000</v>
      </c>
      <c r="L1137" t="s">
        <v>873</v>
      </c>
      <c r="M1137" t="s">
        <v>881</v>
      </c>
      <c r="N1137" t="s">
        <v>875</v>
      </c>
      <c r="O1137" s="9">
        <v>45658</v>
      </c>
      <c r="P1137" t="s">
        <v>877</v>
      </c>
      <c r="Q1137">
        <v>540000</v>
      </c>
      <c r="R1137" t="s">
        <v>734</v>
      </c>
      <c r="S1137" t="s">
        <v>735</v>
      </c>
      <c r="T1137" t="s">
        <v>736</v>
      </c>
      <c r="U1137" t="s">
        <v>149</v>
      </c>
      <c r="V1137" t="s">
        <v>7</v>
      </c>
      <c r="W1137" t="s">
        <v>20</v>
      </c>
      <c r="X1137" t="s">
        <v>9</v>
      </c>
    </row>
    <row r="1138" spans="1:24">
      <c r="A1138" t="s">
        <v>2033</v>
      </c>
      <c r="B1138" s="8">
        <v>45721</v>
      </c>
      <c r="C1138" t="s">
        <v>228</v>
      </c>
      <c r="D1138" t="s">
        <v>847</v>
      </c>
      <c r="E1138">
        <v>1</v>
      </c>
      <c r="F1138">
        <v>100000</v>
      </c>
      <c r="G1138">
        <v>100000</v>
      </c>
      <c r="H1138" t="s">
        <v>879</v>
      </c>
      <c r="I1138">
        <v>20000</v>
      </c>
      <c r="J1138">
        <v>10000</v>
      </c>
      <c r="K1138">
        <v>90000</v>
      </c>
      <c r="L1138" t="s">
        <v>884</v>
      </c>
      <c r="M1138" t="s">
        <v>881</v>
      </c>
      <c r="N1138" t="s">
        <v>875</v>
      </c>
      <c r="O1138" s="9">
        <v>45717</v>
      </c>
      <c r="P1138" t="s">
        <v>877</v>
      </c>
      <c r="Q1138">
        <v>80000</v>
      </c>
      <c r="R1138" t="s">
        <v>848</v>
      </c>
      <c r="S1138" t="s">
        <v>731</v>
      </c>
      <c r="T1138" t="s">
        <v>732</v>
      </c>
      <c r="U1138" t="s">
        <v>229</v>
      </c>
      <c r="V1138" t="s">
        <v>23</v>
      </c>
      <c r="W1138" t="s">
        <v>39</v>
      </c>
      <c r="X1138" t="s">
        <v>9</v>
      </c>
    </row>
    <row r="1139" spans="1:24">
      <c r="A1139" t="s">
        <v>2034</v>
      </c>
      <c r="B1139" s="8">
        <v>45659</v>
      </c>
      <c r="C1139" t="s">
        <v>646</v>
      </c>
      <c r="D1139" t="s">
        <v>773</v>
      </c>
      <c r="E1139">
        <v>3</v>
      </c>
      <c r="F1139">
        <v>500000</v>
      </c>
      <c r="G1139">
        <v>1500000</v>
      </c>
      <c r="H1139" t="s">
        <v>872</v>
      </c>
      <c r="I1139">
        <v>0</v>
      </c>
      <c r="J1139">
        <v>30000</v>
      </c>
      <c r="K1139">
        <v>1530000</v>
      </c>
      <c r="L1139" t="s">
        <v>880</v>
      </c>
      <c r="M1139" t="s">
        <v>903</v>
      </c>
      <c r="N1139" t="s">
        <v>875</v>
      </c>
      <c r="O1139" s="9">
        <v>45658</v>
      </c>
      <c r="P1139" t="s">
        <v>877</v>
      </c>
      <c r="Q1139">
        <v>1500000</v>
      </c>
      <c r="R1139" t="s">
        <v>774</v>
      </c>
      <c r="S1139" t="s">
        <v>727</v>
      </c>
      <c r="T1139" t="s">
        <v>728</v>
      </c>
      <c r="U1139" t="s">
        <v>647</v>
      </c>
      <c r="V1139" t="s">
        <v>23</v>
      </c>
      <c r="W1139" t="s">
        <v>56</v>
      </c>
      <c r="X1139" t="s">
        <v>15</v>
      </c>
    </row>
    <row r="1140" spans="1:24">
      <c r="A1140" t="s">
        <v>2035</v>
      </c>
      <c r="B1140" s="8">
        <v>45786</v>
      </c>
      <c r="C1140" t="s">
        <v>138</v>
      </c>
      <c r="D1140" t="s">
        <v>821</v>
      </c>
      <c r="E1140">
        <v>2</v>
      </c>
      <c r="F1140">
        <v>50000</v>
      </c>
      <c r="G1140">
        <v>100000</v>
      </c>
      <c r="H1140" t="s">
        <v>883</v>
      </c>
      <c r="I1140">
        <v>10000</v>
      </c>
      <c r="J1140">
        <v>30000</v>
      </c>
      <c r="K1140">
        <v>120000</v>
      </c>
      <c r="L1140" t="s">
        <v>880</v>
      </c>
      <c r="M1140" t="s">
        <v>874</v>
      </c>
      <c r="N1140" t="s">
        <v>875</v>
      </c>
      <c r="O1140" s="9">
        <v>45778</v>
      </c>
      <c r="P1140" t="s">
        <v>877</v>
      </c>
      <c r="Q1140">
        <v>90000</v>
      </c>
      <c r="R1140" t="s">
        <v>822</v>
      </c>
      <c r="S1140" t="s">
        <v>727</v>
      </c>
      <c r="T1140" t="s">
        <v>728</v>
      </c>
      <c r="U1140" t="s">
        <v>139</v>
      </c>
      <c r="V1140" t="s">
        <v>7</v>
      </c>
      <c r="W1140" t="s">
        <v>29</v>
      </c>
      <c r="X1140" t="s">
        <v>9</v>
      </c>
    </row>
    <row r="1141" spans="1:24">
      <c r="A1141" t="s">
        <v>2036</v>
      </c>
      <c r="B1141" s="8">
        <v>45746</v>
      </c>
      <c r="C1141" t="s">
        <v>650</v>
      </c>
      <c r="D1141" t="s">
        <v>787</v>
      </c>
      <c r="E1141">
        <v>4</v>
      </c>
      <c r="F1141">
        <v>200000</v>
      </c>
      <c r="G1141">
        <v>800000</v>
      </c>
      <c r="H1141" t="s">
        <v>872</v>
      </c>
      <c r="I1141">
        <v>0</v>
      </c>
      <c r="J1141">
        <v>10000</v>
      </c>
      <c r="K1141">
        <v>810000</v>
      </c>
      <c r="L1141" t="s">
        <v>884</v>
      </c>
      <c r="M1141" t="s">
        <v>903</v>
      </c>
      <c r="N1141" t="s">
        <v>875</v>
      </c>
      <c r="O1141" s="9">
        <v>45717</v>
      </c>
      <c r="P1141" t="s">
        <v>877</v>
      </c>
      <c r="Q1141">
        <v>800000</v>
      </c>
      <c r="R1141" t="s">
        <v>788</v>
      </c>
      <c r="S1141" t="s">
        <v>731</v>
      </c>
      <c r="T1141" t="s">
        <v>732</v>
      </c>
      <c r="U1141" t="s">
        <v>651</v>
      </c>
      <c r="V1141" t="s">
        <v>23</v>
      </c>
      <c r="W1141" t="s">
        <v>20</v>
      </c>
      <c r="X1141" t="s">
        <v>9</v>
      </c>
    </row>
    <row r="1142" spans="1:24">
      <c r="A1142" t="s">
        <v>2037</v>
      </c>
      <c r="B1142" s="8">
        <v>45823</v>
      </c>
      <c r="C1142" t="s">
        <v>274</v>
      </c>
      <c r="D1142" t="s">
        <v>825</v>
      </c>
      <c r="E1142">
        <v>3</v>
      </c>
      <c r="F1142">
        <v>100000</v>
      </c>
      <c r="G1142">
        <v>300000</v>
      </c>
      <c r="H1142" t="s">
        <v>886</v>
      </c>
      <c r="I1142">
        <v>30000</v>
      </c>
      <c r="J1142">
        <v>20000</v>
      </c>
      <c r="K1142">
        <v>290000</v>
      </c>
      <c r="L1142" t="s">
        <v>884</v>
      </c>
      <c r="M1142" t="s">
        <v>881</v>
      </c>
      <c r="N1142" t="s">
        <v>905</v>
      </c>
      <c r="O1142" s="9">
        <v>45809</v>
      </c>
      <c r="P1142" t="s">
        <v>892</v>
      </c>
      <c r="Q1142">
        <v>270000</v>
      </c>
      <c r="R1142" t="s">
        <v>826</v>
      </c>
      <c r="S1142" t="s">
        <v>735</v>
      </c>
      <c r="T1142" t="s">
        <v>736</v>
      </c>
      <c r="U1142" t="s">
        <v>275</v>
      </c>
      <c r="V1142" t="s">
        <v>7</v>
      </c>
      <c r="W1142" t="s">
        <v>8</v>
      </c>
      <c r="X1142" t="s">
        <v>9</v>
      </c>
    </row>
    <row r="1143" spans="1:24">
      <c r="A1143" t="s">
        <v>2038</v>
      </c>
      <c r="B1143" s="8">
        <v>45768</v>
      </c>
      <c r="C1143" t="s">
        <v>198</v>
      </c>
      <c r="D1143" t="s">
        <v>853</v>
      </c>
      <c r="E1143">
        <v>2</v>
      </c>
      <c r="F1143">
        <v>75000</v>
      </c>
      <c r="G1143">
        <v>150000</v>
      </c>
      <c r="H1143" t="s">
        <v>886</v>
      </c>
      <c r="I1143">
        <v>15000</v>
      </c>
      <c r="J1143">
        <v>15000</v>
      </c>
      <c r="K1143">
        <v>150000</v>
      </c>
      <c r="L1143" t="s">
        <v>884</v>
      </c>
      <c r="M1143" t="s">
        <v>901</v>
      </c>
      <c r="N1143" t="s">
        <v>875</v>
      </c>
      <c r="O1143" s="9">
        <v>45748</v>
      </c>
      <c r="P1143" t="s">
        <v>877</v>
      </c>
      <c r="Q1143">
        <v>135000</v>
      </c>
      <c r="R1143" t="s">
        <v>854</v>
      </c>
      <c r="S1143" t="s">
        <v>743</v>
      </c>
      <c r="T1143" t="s">
        <v>744</v>
      </c>
      <c r="U1143" t="s">
        <v>199</v>
      </c>
      <c r="V1143" t="s">
        <v>23</v>
      </c>
      <c r="W1143" t="s">
        <v>39</v>
      </c>
      <c r="X1143" t="s">
        <v>15</v>
      </c>
    </row>
    <row r="1144" spans="1:24">
      <c r="A1144" t="s">
        <v>2039</v>
      </c>
      <c r="B1144" s="8">
        <v>45777</v>
      </c>
      <c r="C1144" t="s">
        <v>604</v>
      </c>
      <c r="D1144" t="s">
        <v>831</v>
      </c>
      <c r="E1144">
        <v>4</v>
      </c>
      <c r="F1144">
        <v>300000</v>
      </c>
      <c r="G1144">
        <v>1200000</v>
      </c>
      <c r="H1144" t="s">
        <v>872</v>
      </c>
      <c r="I1144">
        <v>0</v>
      </c>
      <c r="J1144">
        <v>20000</v>
      </c>
      <c r="K1144">
        <v>1220000</v>
      </c>
      <c r="L1144" t="s">
        <v>884</v>
      </c>
      <c r="M1144" t="s">
        <v>901</v>
      </c>
      <c r="N1144" t="s">
        <v>875</v>
      </c>
      <c r="O1144" s="9">
        <v>45748</v>
      </c>
      <c r="P1144" t="s">
        <v>877</v>
      </c>
      <c r="Q1144">
        <v>1200000</v>
      </c>
      <c r="R1144" t="s">
        <v>832</v>
      </c>
      <c r="S1144" t="s">
        <v>747</v>
      </c>
      <c r="T1144" t="s">
        <v>748</v>
      </c>
      <c r="U1144" t="s">
        <v>605</v>
      </c>
      <c r="V1144" t="s">
        <v>7</v>
      </c>
      <c r="W1144" t="s">
        <v>20</v>
      </c>
      <c r="X1144" t="s">
        <v>24</v>
      </c>
    </row>
    <row r="1145" spans="1:24">
      <c r="A1145" t="s">
        <v>2040</v>
      </c>
      <c r="B1145" s="8">
        <v>45765</v>
      </c>
      <c r="C1145" t="s">
        <v>105</v>
      </c>
      <c r="D1145" t="s">
        <v>763</v>
      </c>
      <c r="E1145">
        <v>1</v>
      </c>
      <c r="F1145">
        <v>75000</v>
      </c>
      <c r="G1145">
        <v>75000</v>
      </c>
      <c r="H1145" t="s">
        <v>883</v>
      </c>
      <c r="I1145">
        <v>7500</v>
      </c>
      <c r="J1145">
        <v>15000</v>
      </c>
      <c r="K1145">
        <v>82500</v>
      </c>
      <c r="L1145" t="s">
        <v>884</v>
      </c>
      <c r="M1145" t="s">
        <v>874</v>
      </c>
      <c r="N1145" t="s">
        <v>875</v>
      </c>
      <c r="O1145" s="9">
        <v>45748</v>
      </c>
      <c r="P1145" t="s">
        <v>877</v>
      </c>
      <c r="Q1145">
        <v>67500</v>
      </c>
      <c r="R1145" t="s">
        <v>764</v>
      </c>
      <c r="S1145" t="s">
        <v>731</v>
      </c>
      <c r="T1145" t="s">
        <v>732</v>
      </c>
      <c r="U1145" t="s">
        <v>106</v>
      </c>
      <c r="V1145" t="s">
        <v>23</v>
      </c>
      <c r="W1145" t="s">
        <v>8</v>
      </c>
      <c r="X1145" t="s">
        <v>15</v>
      </c>
    </row>
    <row r="1146" spans="1:24">
      <c r="A1146" t="s">
        <v>2041</v>
      </c>
      <c r="B1146" s="8">
        <v>45801</v>
      </c>
      <c r="C1146" t="s">
        <v>550</v>
      </c>
      <c r="D1146" t="s">
        <v>825</v>
      </c>
      <c r="E1146">
        <v>1</v>
      </c>
      <c r="F1146">
        <v>100000</v>
      </c>
      <c r="G1146">
        <v>100000</v>
      </c>
      <c r="H1146" t="s">
        <v>883</v>
      </c>
      <c r="I1146">
        <v>10000</v>
      </c>
      <c r="J1146">
        <v>20000</v>
      </c>
      <c r="K1146">
        <v>110000</v>
      </c>
      <c r="L1146" t="s">
        <v>884</v>
      </c>
      <c r="M1146" t="s">
        <v>881</v>
      </c>
      <c r="N1146" t="s">
        <v>875</v>
      </c>
      <c r="O1146" s="9">
        <v>45778</v>
      </c>
      <c r="P1146" t="s">
        <v>877</v>
      </c>
      <c r="Q1146">
        <v>90000</v>
      </c>
      <c r="R1146" t="s">
        <v>826</v>
      </c>
      <c r="S1146" t="s">
        <v>735</v>
      </c>
      <c r="T1146" t="s">
        <v>736</v>
      </c>
      <c r="U1146" t="s">
        <v>551</v>
      </c>
      <c r="V1146" t="s">
        <v>23</v>
      </c>
      <c r="W1146" t="s">
        <v>36</v>
      </c>
      <c r="X1146" t="s">
        <v>15</v>
      </c>
    </row>
    <row r="1147" spans="1:24">
      <c r="A1147" t="s">
        <v>2042</v>
      </c>
      <c r="B1147" s="8">
        <v>45665</v>
      </c>
      <c r="C1147" t="s">
        <v>32</v>
      </c>
      <c r="D1147" t="s">
        <v>733</v>
      </c>
      <c r="E1147">
        <v>3</v>
      </c>
      <c r="F1147">
        <v>150000</v>
      </c>
      <c r="G1147">
        <v>450000</v>
      </c>
      <c r="H1147" t="s">
        <v>883</v>
      </c>
      <c r="I1147">
        <v>45000</v>
      </c>
      <c r="J1147">
        <v>25000</v>
      </c>
      <c r="K1147">
        <v>430000</v>
      </c>
      <c r="L1147" t="s">
        <v>873</v>
      </c>
      <c r="M1147" t="s">
        <v>903</v>
      </c>
      <c r="N1147" t="s">
        <v>875</v>
      </c>
      <c r="O1147" s="9">
        <v>45658</v>
      </c>
      <c r="P1147" t="s">
        <v>877</v>
      </c>
      <c r="Q1147">
        <v>405000</v>
      </c>
      <c r="R1147" t="s">
        <v>734</v>
      </c>
      <c r="S1147" t="s">
        <v>735</v>
      </c>
      <c r="T1147" t="s">
        <v>736</v>
      </c>
      <c r="U1147" t="s">
        <v>33</v>
      </c>
      <c r="V1147" t="s">
        <v>23</v>
      </c>
      <c r="W1147" t="s">
        <v>12</v>
      </c>
      <c r="X1147" t="s">
        <v>9</v>
      </c>
    </row>
    <row r="1148" spans="1:24">
      <c r="A1148" t="s">
        <v>2043</v>
      </c>
      <c r="B1148" s="8">
        <v>45683</v>
      </c>
      <c r="C1148" t="s">
        <v>550</v>
      </c>
      <c r="D1148" t="s">
        <v>829</v>
      </c>
      <c r="E1148">
        <v>2</v>
      </c>
      <c r="F1148">
        <v>500000</v>
      </c>
      <c r="G1148">
        <v>1000000</v>
      </c>
      <c r="H1148" t="s">
        <v>872</v>
      </c>
      <c r="I1148">
        <v>0</v>
      </c>
      <c r="J1148">
        <v>15000</v>
      </c>
      <c r="K1148">
        <v>1015000</v>
      </c>
      <c r="L1148" t="s">
        <v>889</v>
      </c>
      <c r="M1148" t="s">
        <v>881</v>
      </c>
      <c r="N1148" t="s">
        <v>875</v>
      </c>
      <c r="O1148" s="9">
        <v>45658</v>
      </c>
      <c r="P1148" t="s">
        <v>877</v>
      </c>
      <c r="Q1148">
        <v>1000000</v>
      </c>
      <c r="R1148" t="s">
        <v>830</v>
      </c>
      <c r="S1148" t="s">
        <v>743</v>
      </c>
      <c r="T1148" t="s">
        <v>744</v>
      </c>
      <c r="U1148" t="s">
        <v>551</v>
      </c>
      <c r="V1148" t="s">
        <v>23</v>
      </c>
      <c r="W1148" t="s">
        <v>36</v>
      </c>
      <c r="X1148" t="s">
        <v>15</v>
      </c>
    </row>
    <row r="1149" spans="1:24">
      <c r="A1149" t="s">
        <v>2044</v>
      </c>
      <c r="B1149" s="8">
        <v>45676</v>
      </c>
      <c r="C1149" t="s">
        <v>330</v>
      </c>
      <c r="D1149" t="s">
        <v>769</v>
      </c>
      <c r="E1149">
        <v>2</v>
      </c>
      <c r="F1149">
        <v>100000</v>
      </c>
      <c r="G1149">
        <v>200000</v>
      </c>
      <c r="H1149" t="s">
        <v>883</v>
      </c>
      <c r="I1149">
        <v>20000</v>
      </c>
      <c r="J1149">
        <v>20000</v>
      </c>
      <c r="K1149">
        <v>200000</v>
      </c>
      <c r="L1149" t="s">
        <v>880</v>
      </c>
      <c r="M1149" t="s">
        <v>901</v>
      </c>
      <c r="N1149" t="s">
        <v>875</v>
      </c>
      <c r="O1149" s="9">
        <v>45658</v>
      </c>
      <c r="P1149" t="s">
        <v>877</v>
      </c>
      <c r="Q1149">
        <v>180000</v>
      </c>
      <c r="R1149" t="s">
        <v>770</v>
      </c>
      <c r="S1149" t="s">
        <v>743</v>
      </c>
      <c r="T1149" t="s">
        <v>744</v>
      </c>
      <c r="U1149" t="s">
        <v>331</v>
      </c>
      <c r="V1149" t="s">
        <v>7</v>
      </c>
      <c r="W1149" t="s">
        <v>29</v>
      </c>
      <c r="X1149" t="s">
        <v>9</v>
      </c>
    </row>
    <row r="1150" spans="1:24">
      <c r="A1150" t="s">
        <v>2045</v>
      </c>
      <c r="B1150" s="8">
        <v>45833</v>
      </c>
      <c r="C1150" t="s">
        <v>630</v>
      </c>
      <c r="D1150" t="s">
        <v>791</v>
      </c>
      <c r="E1150">
        <v>1</v>
      </c>
      <c r="F1150">
        <v>50000</v>
      </c>
      <c r="G1150">
        <v>50000</v>
      </c>
      <c r="H1150" t="s">
        <v>886</v>
      </c>
      <c r="I1150">
        <v>5000</v>
      </c>
      <c r="J1150">
        <v>10000</v>
      </c>
      <c r="K1150">
        <v>55000</v>
      </c>
      <c r="L1150" t="s">
        <v>889</v>
      </c>
      <c r="M1150" t="s">
        <v>901</v>
      </c>
      <c r="N1150" t="s">
        <v>875</v>
      </c>
      <c r="O1150" s="9">
        <v>45809</v>
      </c>
      <c r="P1150" t="s">
        <v>877</v>
      </c>
      <c r="Q1150">
        <v>45000</v>
      </c>
      <c r="R1150" t="s">
        <v>792</v>
      </c>
      <c r="S1150" t="s">
        <v>739</v>
      </c>
      <c r="T1150" t="s">
        <v>740</v>
      </c>
      <c r="U1150" t="s">
        <v>631</v>
      </c>
      <c r="V1150" t="s">
        <v>7</v>
      </c>
      <c r="W1150" t="s">
        <v>36</v>
      </c>
      <c r="X1150" t="s">
        <v>24</v>
      </c>
    </row>
    <row r="1151" spans="1:24">
      <c r="A1151" t="s">
        <v>2046</v>
      </c>
      <c r="B1151" s="8">
        <v>45701</v>
      </c>
      <c r="C1151" t="s">
        <v>358</v>
      </c>
      <c r="D1151" t="s">
        <v>815</v>
      </c>
      <c r="E1151">
        <v>1</v>
      </c>
      <c r="F1151">
        <v>75000</v>
      </c>
      <c r="G1151">
        <v>75000</v>
      </c>
      <c r="H1151" t="s">
        <v>872</v>
      </c>
      <c r="I1151">
        <v>0</v>
      </c>
      <c r="J1151">
        <v>15000</v>
      </c>
      <c r="K1151">
        <v>90000</v>
      </c>
      <c r="L1151" t="s">
        <v>889</v>
      </c>
      <c r="M1151" t="s">
        <v>903</v>
      </c>
      <c r="N1151" t="s">
        <v>875</v>
      </c>
      <c r="O1151" s="9">
        <v>45689</v>
      </c>
      <c r="P1151" t="s">
        <v>877</v>
      </c>
      <c r="Q1151">
        <v>75000</v>
      </c>
      <c r="R1151" t="s">
        <v>816</v>
      </c>
      <c r="S1151" t="s">
        <v>739</v>
      </c>
      <c r="T1151" t="s">
        <v>740</v>
      </c>
      <c r="U1151" t="s">
        <v>359</v>
      </c>
      <c r="V1151" t="s">
        <v>7</v>
      </c>
      <c r="W1151" t="s">
        <v>137</v>
      </c>
      <c r="X1151" t="s">
        <v>9</v>
      </c>
    </row>
    <row r="1152" spans="1:24">
      <c r="A1152" t="s">
        <v>2047</v>
      </c>
      <c r="B1152" s="8">
        <v>45724</v>
      </c>
      <c r="C1152" t="s">
        <v>490</v>
      </c>
      <c r="D1152" t="s">
        <v>751</v>
      </c>
      <c r="E1152">
        <v>2</v>
      </c>
      <c r="F1152">
        <v>150000</v>
      </c>
      <c r="G1152">
        <v>300000</v>
      </c>
      <c r="H1152" t="s">
        <v>883</v>
      </c>
      <c r="I1152">
        <v>30000</v>
      </c>
      <c r="J1152">
        <v>10000</v>
      </c>
      <c r="K1152">
        <v>280000</v>
      </c>
      <c r="L1152" t="s">
        <v>884</v>
      </c>
      <c r="M1152" t="s">
        <v>901</v>
      </c>
      <c r="N1152" t="s">
        <v>875</v>
      </c>
      <c r="O1152" s="9">
        <v>45717</v>
      </c>
      <c r="P1152" t="s">
        <v>877</v>
      </c>
      <c r="Q1152">
        <v>270000</v>
      </c>
      <c r="R1152" t="s">
        <v>752</v>
      </c>
      <c r="S1152" t="s">
        <v>731</v>
      </c>
      <c r="T1152" t="s">
        <v>732</v>
      </c>
      <c r="U1152" t="s">
        <v>491</v>
      </c>
      <c r="V1152" t="s">
        <v>23</v>
      </c>
      <c r="W1152" t="s">
        <v>39</v>
      </c>
      <c r="X1152" t="s">
        <v>9</v>
      </c>
    </row>
    <row r="1153" spans="1:24">
      <c r="A1153" t="s">
        <v>2048</v>
      </c>
      <c r="B1153" s="8">
        <v>45765</v>
      </c>
      <c r="C1153" t="s">
        <v>348</v>
      </c>
      <c r="D1153" t="s">
        <v>761</v>
      </c>
      <c r="E1153">
        <v>1</v>
      </c>
      <c r="F1153">
        <v>75000</v>
      </c>
      <c r="G1153">
        <v>75000</v>
      </c>
      <c r="H1153" t="s">
        <v>895</v>
      </c>
      <c r="I1153">
        <v>11250</v>
      </c>
      <c r="J1153">
        <v>15000</v>
      </c>
      <c r="K1153">
        <v>78750</v>
      </c>
      <c r="L1153" t="s">
        <v>873</v>
      </c>
      <c r="M1153" t="s">
        <v>881</v>
      </c>
      <c r="N1153" t="s">
        <v>905</v>
      </c>
      <c r="O1153" s="9">
        <v>45748</v>
      </c>
      <c r="P1153" t="s">
        <v>892</v>
      </c>
      <c r="Q1153">
        <v>63750</v>
      </c>
      <c r="R1153" t="s">
        <v>762</v>
      </c>
      <c r="S1153" t="s">
        <v>727</v>
      </c>
      <c r="T1153" t="s">
        <v>728</v>
      </c>
      <c r="U1153" t="s">
        <v>349</v>
      </c>
      <c r="V1153" t="s">
        <v>23</v>
      </c>
      <c r="W1153" t="s">
        <v>56</v>
      </c>
      <c r="X1153" t="s">
        <v>9</v>
      </c>
    </row>
    <row r="1154" spans="1:24">
      <c r="A1154" t="s">
        <v>2049</v>
      </c>
      <c r="B1154" s="8">
        <v>45765</v>
      </c>
      <c r="C1154" t="s">
        <v>138</v>
      </c>
      <c r="D1154" t="s">
        <v>803</v>
      </c>
      <c r="E1154">
        <v>1</v>
      </c>
      <c r="F1154">
        <v>50000</v>
      </c>
      <c r="G1154">
        <v>50000</v>
      </c>
      <c r="H1154" t="s">
        <v>883</v>
      </c>
      <c r="I1154">
        <v>5000</v>
      </c>
      <c r="J1154">
        <v>10000</v>
      </c>
      <c r="K1154">
        <v>55000</v>
      </c>
      <c r="L1154" t="s">
        <v>873</v>
      </c>
      <c r="M1154" t="s">
        <v>881</v>
      </c>
      <c r="N1154" t="s">
        <v>905</v>
      </c>
      <c r="O1154" s="9">
        <v>45748</v>
      </c>
      <c r="P1154" t="s">
        <v>892</v>
      </c>
      <c r="Q1154">
        <v>45000</v>
      </c>
      <c r="R1154" t="s">
        <v>804</v>
      </c>
      <c r="S1154" t="s">
        <v>739</v>
      </c>
      <c r="T1154" t="s">
        <v>740</v>
      </c>
      <c r="U1154" t="s">
        <v>139</v>
      </c>
      <c r="V1154" t="s">
        <v>7</v>
      </c>
      <c r="W1154" t="s">
        <v>29</v>
      </c>
      <c r="X1154" t="s">
        <v>9</v>
      </c>
    </row>
    <row r="1155" spans="1:24">
      <c r="A1155" t="s">
        <v>2050</v>
      </c>
      <c r="B1155" s="8">
        <v>45701</v>
      </c>
      <c r="C1155" t="s">
        <v>348</v>
      </c>
      <c r="D1155" t="s">
        <v>831</v>
      </c>
      <c r="E1155">
        <v>1</v>
      </c>
      <c r="F1155">
        <v>300000</v>
      </c>
      <c r="G1155">
        <v>300000</v>
      </c>
      <c r="H1155" t="s">
        <v>872</v>
      </c>
      <c r="I1155">
        <v>0</v>
      </c>
      <c r="J1155">
        <v>10000</v>
      </c>
      <c r="K1155">
        <v>310000</v>
      </c>
      <c r="L1155" t="s">
        <v>873</v>
      </c>
      <c r="M1155" t="s">
        <v>903</v>
      </c>
      <c r="N1155" t="s">
        <v>905</v>
      </c>
      <c r="O1155" s="9">
        <v>45689</v>
      </c>
      <c r="P1155" t="s">
        <v>892</v>
      </c>
      <c r="Q1155">
        <v>300000</v>
      </c>
      <c r="R1155" t="s">
        <v>832</v>
      </c>
      <c r="S1155" t="s">
        <v>747</v>
      </c>
      <c r="T1155" t="s">
        <v>748</v>
      </c>
      <c r="U1155" t="s">
        <v>349</v>
      </c>
      <c r="V1155" t="s">
        <v>23</v>
      </c>
      <c r="W1155" t="s">
        <v>56</v>
      </c>
      <c r="X1155" t="s">
        <v>9</v>
      </c>
    </row>
    <row r="1156" spans="1:24">
      <c r="A1156" t="s">
        <v>2051</v>
      </c>
      <c r="B1156" s="8">
        <v>45687</v>
      </c>
      <c r="C1156" t="s">
        <v>426</v>
      </c>
      <c r="D1156" t="s">
        <v>823</v>
      </c>
      <c r="E1156">
        <v>2</v>
      </c>
      <c r="F1156">
        <v>500000</v>
      </c>
      <c r="G1156">
        <v>1000000</v>
      </c>
      <c r="H1156" t="s">
        <v>872</v>
      </c>
      <c r="I1156">
        <v>0</v>
      </c>
      <c r="J1156">
        <v>25000</v>
      </c>
      <c r="K1156">
        <v>1025000</v>
      </c>
      <c r="L1156" t="s">
        <v>873</v>
      </c>
      <c r="M1156" t="s">
        <v>874</v>
      </c>
      <c r="N1156" t="s">
        <v>875</v>
      </c>
      <c r="O1156" s="9">
        <v>45658</v>
      </c>
      <c r="P1156" t="s">
        <v>877</v>
      </c>
      <c r="Q1156">
        <v>1000000</v>
      </c>
      <c r="R1156" t="s">
        <v>824</v>
      </c>
      <c r="S1156" t="s">
        <v>731</v>
      </c>
      <c r="T1156" t="s">
        <v>732</v>
      </c>
      <c r="U1156" t="s">
        <v>427</v>
      </c>
      <c r="V1156" t="s">
        <v>7</v>
      </c>
      <c r="W1156" t="s">
        <v>20</v>
      </c>
      <c r="X1156" t="s">
        <v>9</v>
      </c>
    </row>
    <row r="1157" spans="1:24">
      <c r="A1157" t="s">
        <v>2052</v>
      </c>
      <c r="B1157" s="8">
        <v>45796</v>
      </c>
      <c r="C1157" t="s">
        <v>40</v>
      </c>
      <c r="D1157" t="s">
        <v>789</v>
      </c>
      <c r="E1157">
        <v>1</v>
      </c>
      <c r="F1157">
        <v>200000</v>
      </c>
      <c r="G1157">
        <v>200000</v>
      </c>
      <c r="H1157" t="s">
        <v>872</v>
      </c>
      <c r="I1157">
        <v>0</v>
      </c>
      <c r="J1157">
        <v>25000</v>
      </c>
      <c r="K1157">
        <v>225000</v>
      </c>
      <c r="L1157" t="s">
        <v>884</v>
      </c>
      <c r="M1157" t="s">
        <v>874</v>
      </c>
      <c r="N1157" t="s">
        <v>875</v>
      </c>
      <c r="O1157" s="9">
        <v>45778</v>
      </c>
      <c r="P1157" t="s">
        <v>877</v>
      </c>
      <c r="Q1157">
        <v>200000</v>
      </c>
      <c r="R1157" t="s">
        <v>790</v>
      </c>
      <c r="S1157" t="s">
        <v>735</v>
      </c>
      <c r="T1157" t="s">
        <v>736</v>
      </c>
      <c r="U1157" t="s">
        <v>41</v>
      </c>
      <c r="V1157" t="s">
        <v>7</v>
      </c>
      <c r="W1157" t="s">
        <v>36</v>
      </c>
      <c r="X1157" t="s">
        <v>15</v>
      </c>
    </row>
    <row r="1158" spans="1:24">
      <c r="A1158" t="s">
        <v>2053</v>
      </c>
      <c r="B1158" s="8">
        <v>45787</v>
      </c>
      <c r="C1158" t="s">
        <v>103</v>
      </c>
      <c r="D1158" t="s">
        <v>751</v>
      </c>
      <c r="E1158">
        <v>2</v>
      </c>
      <c r="F1158">
        <v>150000</v>
      </c>
      <c r="G1158">
        <v>300000</v>
      </c>
      <c r="H1158" t="s">
        <v>872</v>
      </c>
      <c r="I1158">
        <v>0</v>
      </c>
      <c r="J1158">
        <v>15000</v>
      </c>
      <c r="K1158">
        <v>315000</v>
      </c>
      <c r="L1158" t="s">
        <v>884</v>
      </c>
      <c r="M1158" t="s">
        <v>881</v>
      </c>
      <c r="N1158" t="s">
        <v>875</v>
      </c>
      <c r="O1158" s="9">
        <v>45778</v>
      </c>
      <c r="P1158" t="s">
        <v>877</v>
      </c>
      <c r="Q1158">
        <v>300000</v>
      </c>
      <c r="R1158" t="s">
        <v>752</v>
      </c>
      <c r="S1158" t="s">
        <v>731</v>
      </c>
      <c r="T1158" t="s">
        <v>732</v>
      </c>
      <c r="U1158" t="s">
        <v>104</v>
      </c>
      <c r="V1158" t="s">
        <v>23</v>
      </c>
      <c r="W1158" t="s">
        <v>29</v>
      </c>
      <c r="X1158" t="s">
        <v>9</v>
      </c>
    </row>
    <row r="1159" spans="1:24">
      <c r="A1159" t="s">
        <v>2054</v>
      </c>
      <c r="B1159" s="8">
        <v>45718</v>
      </c>
      <c r="C1159" t="s">
        <v>248</v>
      </c>
      <c r="D1159" t="s">
        <v>759</v>
      </c>
      <c r="E1159">
        <v>1</v>
      </c>
      <c r="F1159">
        <v>300000</v>
      </c>
      <c r="G1159">
        <v>300000</v>
      </c>
      <c r="H1159" t="s">
        <v>879</v>
      </c>
      <c r="I1159">
        <v>60000</v>
      </c>
      <c r="J1159">
        <v>20000</v>
      </c>
      <c r="K1159">
        <v>260000</v>
      </c>
      <c r="L1159" t="s">
        <v>889</v>
      </c>
      <c r="M1159" t="s">
        <v>881</v>
      </c>
      <c r="N1159" t="s">
        <v>875</v>
      </c>
      <c r="O1159" s="9">
        <v>45717</v>
      </c>
      <c r="P1159" t="s">
        <v>877</v>
      </c>
      <c r="Q1159">
        <v>240000</v>
      </c>
      <c r="R1159" t="s">
        <v>760</v>
      </c>
      <c r="S1159" t="s">
        <v>747</v>
      </c>
      <c r="T1159" t="s">
        <v>748</v>
      </c>
      <c r="U1159" t="s">
        <v>249</v>
      </c>
      <c r="V1159" t="s">
        <v>23</v>
      </c>
      <c r="W1159" t="s">
        <v>56</v>
      </c>
      <c r="X1159" t="s">
        <v>9</v>
      </c>
    </row>
    <row r="1160" spans="1:24">
      <c r="A1160" t="s">
        <v>2055</v>
      </c>
      <c r="B1160" s="8">
        <v>45659</v>
      </c>
      <c r="C1160" t="s">
        <v>362</v>
      </c>
      <c r="D1160" t="s">
        <v>809</v>
      </c>
      <c r="E1160">
        <v>3</v>
      </c>
      <c r="F1160">
        <v>100000</v>
      </c>
      <c r="G1160">
        <v>300000</v>
      </c>
      <c r="H1160" t="s">
        <v>883</v>
      </c>
      <c r="I1160">
        <v>30000</v>
      </c>
      <c r="J1160">
        <v>25000</v>
      </c>
      <c r="K1160">
        <v>295000</v>
      </c>
      <c r="L1160" t="s">
        <v>880</v>
      </c>
      <c r="M1160" t="s">
        <v>903</v>
      </c>
      <c r="N1160" t="s">
        <v>890</v>
      </c>
      <c r="O1160" s="9">
        <v>45658</v>
      </c>
      <c r="P1160" t="s">
        <v>892</v>
      </c>
      <c r="Q1160">
        <v>270000</v>
      </c>
      <c r="R1160" t="s">
        <v>810</v>
      </c>
      <c r="S1160" t="s">
        <v>727</v>
      </c>
      <c r="T1160" t="s">
        <v>728</v>
      </c>
      <c r="U1160" t="s">
        <v>363</v>
      </c>
      <c r="V1160" t="s">
        <v>23</v>
      </c>
      <c r="W1160" t="s">
        <v>29</v>
      </c>
      <c r="X1160" t="s">
        <v>9</v>
      </c>
    </row>
    <row r="1161" spans="1:24">
      <c r="A1161" t="s">
        <v>2056</v>
      </c>
      <c r="B1161" s="8">
        <v>45759</v>
      </c>
      <c r="C1161" t="s">
        <v>258</v>
      </c>
      <c r="D1161" t="s">
        <v>785</v>
      </c>
      <c r="E1161">
        <v>3</v>
      </c>
      <c r="F1161">
        <v>100000</v>
      </c>
      <c r="G1161">
        <v>300000</v>
      </c>
      <c r="H1161" t="s">
        <v>883</v>
      </c>
      <c r="I1161">
        <v>30000</v>
      </c>
      <c r="J1161">
        <v>10000</v>
      </c>
      <c r="K1161">
        <v>280000</v>
      </c>
      <c r="L1161" t="s">
        <v>889</v>
      </c>
      <c r="M1161" t="s">
        <v>901</v>
      </c>
      <c r="N1161" t="s">
        <v>875</v>
      </c>
      <c r="O1161" s="9">
        <v>45748</v>
      </c>
      <c r="P1161" t="s">
        <v>877</v>
      </c>
      <c r="Q1161">
        <v>270000</v>
      </c>
      <c r="R1161" t="s">
        <v>786</v>
      </c>
      <c r="S1161" t="s">
        <v>727</v>
      </c>
      <c r="T1161" t="s">
        <v>728</v>
      </c>
      <c r="U1161" t="s">
        <v>259</v>
      </c>
      <c r="V1161" t="s">
        <v>7</v>
      </c>
      <c r="W1161" t="s">
        <v>56</v>
      </c>
      <c r="X1161" t="s">
        <v>9</v>
      </c>
    </row>
    <row r="1162" spans="1:24">
      <c r="A1162" t="s">
        <v>2057</v>
      </c>
      <c r="B1162" s="8">
        <v>45773</v>
      </c>
      <c r="C1162" t="s">
        <v>488</v>
      </c>
      <c r="D1162" t="s">
        <v>779</v>
      </c>
      <c r="E1162">
        <v>2</v>
      </c>
      <c r="F1162">
        <v>150000</v>
      </c>
      <c r="G1162">
        <v>300000</v>
      </c>
      <c r="H1162" t="s">
        <v>886</v>
      </c>
      <c r="I1162">
        <v>30000</v>
      </c>
      <c r="J1162">
        <v>30000</v>
      </c>
      <c r="K1162">
        <v>300000</v>
      </c>
      <c r="L1162" t="s">
        <v>889</v>
      </c>
      <c r="M1162" t="s">
        <v>903</v>
      </c>
      <c r="N1162" t="s">
        <v>890</v>
      </c>
      <c r="O1162" s="9">
        <v>45748</v>
      </c>
      <c r="P1162" t="s">
        <v>892</v>
      </c>
      <c r="Q1162">
        <v>270000</v>
      </c>
      <c r="R1162" t="s">
        <v>780</v>
      </c>
      <c r="S1162" t="s">
        <v>739</v>
      </c>
      <c r="T1162" t="s">
        <v>740</v>
      </c>
      <c r="U1162" t="s">
        <v>489</v>
      </c>
      <c r="V1162" t="s">
        <v>23</v>
      </c>
      <c r="W1162" t="s">
        <v>20</v>
      </c>
      <c r="X1162" t="s">
        <v>15</v>
      </c>
    </row>
    <row r="1163" spans="1:24">
      <c r="A1163" t="s">
        <v>2058</v>
      </c>
      <c r="B1163" s="8">
        <v>45716</v>
      </c>
      <c r="C1163" t="s">
        <v>125</v>
      </c>
      <c r="D1163" t="s">
        <v>779</v>
      </c>
      <c r="E1163">
        <v>2</v>
      </c>
      <c r="F1163">
        <v>150000</v>
      </c>
      <c r="G1163">
        <v>300000</v>
      </c>
      <c r="H1163" t="s">
        <v>879</v>
      </c>
      <c r="I1163">
        <v>60000</v>
      </c>
      <c r="J1163">
        <v>10000</v>
      </c>
      <c r="K1163">
        <v>250000</v>
      </c>
      <c r="L1163" t="s">
        <v>873</v>
      </c>
      <c r="M1163" t="s">
        <v>874</v>
      </c>
      <c r="N1163" t="s">
        <v>875</v>
      </c>
      <c r="O1163" s="9">
        <v>45689</v>
      </c>
      <c r="P1163" t="s">
        <v>877</v>
      </c>
      <c r="Q1163">
        <v>240000</v>
      </c>
      <c r="R1163" t="s">
        <v>780</v>
      </c>
      <c r="S1163" t="s">
        <v>739</v>
      </c>
      <c r="T1163" t="s">
        <v>740</v>
      </c>
      <c r="U1163" t="s">
        <v>126</v>
      </c>
      <c r="V1163" t="s">
        <v>23</v>
      </c>
      <c r="W1163" t="s">
        <v>56</v>
      </c>
      <c r="X1163" t="s">
        <v>9</v>
      </c>
    </row>
    <row r="1164" spans="1:24">
      <c r="A1164" t="s">
        <v>2059</v>
      </c>
      <c r="B1164" s="8">
        <v>45831</v>
      </c>
      <c r="C1164" t="s">
        <v>482</v>
      </c>
      <c r="D1164" t="s">
        <v>763</v>
      </c>
      <c r="E1164">
        <v>2</v>
      </c>
      <c r="F1164">
        <v>75000</v>
      </c>
      <c r="G1164">
        <v>150000</v>
      </c>
      <c r="H1164" t="s">
        <v>872</v>
      </c>
      <c r="I1164">
        <v>0</v>
      </c>
      <c r="J1164">
        <v>30000</v>
      </c>
      <c r="K1164">
        <v>180000</v>
      </c>
      <c r="L1164" t="s">
        <v>880</v>
      </c>
      <c r="M1164" t="s">
        <v>874</v>
      </c>
      <c r="N1164" t="s">
        <v>875</v>
      </c>
      <c r="O1164" s="9">
        <v>45809</v>
      </c>
      <c r="P1164" t="s">
        <v>877</v>
      </c>
      <c r="Q1164">
        <v>150000</v>
      </c>
      <c r="R1164" t="s">
        <v>764</v>
      </c>
      <c r="S1164" t="s">
        <v>731</v>
      </c>
      <c r="T1164" t="s">
        <v>732</v>
      </c>
      <c r="U1164" t="s">
        <v>483</v>
      </c>
      <c r="V1164" t="s">
        <v>7</v>
      </c>
      <c r="W1164" t="s">
        <v>39</v>
      </c>
      <c r="X1164" t="s">
        <v>15</v>
      </c>
    </row>
    <row r="1165" spans="1:24">
      <c r="A1165" t="s">
        <v>2060</v>
      </c>
      <c r="B1165" s="8">
        <v>45686</v>
      </c>
      <c r="C1165" t="s">
        <v>54</v>
      </c>
      <c r="D1165" t="s">
        <v>829</v>
      </c>
      <c r="E1165">
        <v>4</v>
      </c>
      <c r="F1165">
        <v>500000</v>
      </c>
      <c r="G1165">
        <v>2000000</v>
      </c>
      <c r="H1165" t="s">
        <v>872</v>
      </c>
      <c r="I1165">
        <v>0</v>
      </c>
      <c r="J1165">
        <v>15000</v>
      </c>
      <c r="K1165">
        <v>2015000</v>
      </c>
      <c r="L1165" t="s">
        <v>873</v>
      </c>
      <c r="M1165" t="s">
        <v>901</v>
      </c>
      <c r="N1165" t="s">
        <v>875</v>
      </c>
      <c r="O1165" s="9">
        <v>45658</v>
      </c>
      <c r="P1165" t="s">
        <v>877</v>
      </c>
      <c r="Q1165">
        <v>2000000</v>
      </c>
      <c r="R1165" t="s">
        <v>830</v>
      </c>
      <c r="S1165" t="s">
        <v>743</v>
      </c>
      <c r="T1165" t="s">
        <v>744</v>
      </c>
      <c r="U1165" t="s">
        <v>55</v>
      </c>
      <c r="V1165" t="s">
        <v>7</v>
      </c>
      <c r="W1165" t="s">
        <v>56</v>
      </c>
      <c r="X1165" t="s">
        <v>24</v>
      </c>
    </row>
    <row r="1166" spans="1:24">
      <c r="A1166" t="s">
        <v>2061</v>
      </c>
      <c r="B1166" s="8">
        <v>45662</v>
      </c>
      <c r="C1166" t="s">
        <v>47</v>
      </c>
      <c r="D1166" t="s">
        <v>769</v>
      </c>
      <c r="E1166">
        <v>3</v>
      </c>
      <c r="F1166">
        <v>100000</v>
      </c>
      <c r="G1166">
        <v>300000</v>
      </c>
      <c r="H1166" t="s">
        <v>872</v>
      </c>
      <c r="I1166">
        <v>0</v>
      </c>
      <c r="J1166">
        <v>15000</v>
      </c>
      <c r="K1166">
        <v>315000</v>
      </c>
      <c r="L1166" t="s">
        <v>884</v>
      </c>
      <c r="M1166" t="s">
        <v>874</v>
      </c>
      <c r="N1166" t="s">
        <v>875</v>
      </c>
      <c r="O1166" s="9">
        <v>45658</v>
      </c>
      <c r="P1166" t="s">
        <v>877</v>
      </c>
      <c r="Q1166">
        <v>300000</v>
      </c>
      <c r="R1166" t="s">
        <v>770</v>
      </c>
      <c r="S1166" t="s">
        <v>743</v>
      </c>
      <c r="T1166" t="s">
        <v>744</v>
      </c>
      <c r="U1166" t="s">
        <v>48</v>
      </c>
      <c r="V1166" t="s">
        <v>23</v>
      </c>
      <c r="W1166" t="s">
        <v>36</v>
      </c>
      <c r="X1166" t="s">
        <v>9</v>
      </c>
    </row>
    <row r="1167" spans="1:24">
      <c r="A1167" t="s">
        <v>2062</v>
      </c>
      <c r="B1167" s="8">
        <v>45768</v>
      </c>
      <c r="C1167" t="s">
        <v>438</v>
      </c>
      <c r="D1167" t="s">
        <v>725</v>
      </c>
      <c r="E1167">
        <v>1</v>
      </c>
      <c r="F1167">
        <v>300000</v>
      </c>
      <c r="G1167">
        <v>300000</v>
      </c>
      <c r="H1167" t="s">
        <v>872</v>
      </c>
      <c r="I1167">
        <v>0</v>
      </c>
      <c r="J1167">
        <v>15000</v>
      </c>
      <c r="K1167">
        <v>315000</v>
      </c>
      <c r="L1167" t="s">
        <v>873</v>
      </c>
      <c r="M1167" t="s">
        <v>874</v>
      </c>
      <c r="N1167" t="s">
        <v>875</v>
      </c>
      <c r="O1167" s="9">
        <v>45748</v>
      </c>
      <c r="P1167" t="s">
        <v>877</v>
      </c>
      <c r="Q1167">
        <v>300000</v>
      </c>
      <c r="R1167" t="s">
        <v>726</v>
      </c>
      <c r="S1167" t="s">
        <v>727</v>
      </c>
      <c r="T1167" t="s">
        <v>728</v>
      </c>
      <c r="U1167" t="s">
        <v>439</v>
      </c>
      <c r="V1167" t="s">
        <v>7</v>
      </c>
      <c r="W1167" t="s">
        <v>137</v>
      </c>
      <c r="X1167" t="s">
        <v>24</v>
      </c>
    </row>
    <row r="1168" spans="1:24">
      <c r="A1168" t="s">
        <v>2063</v>
      </c>
      <c r="B1168" s="8">
        <v>45775</v>
      </c>
      <c r="C1168" t="s">
        <v>238</v>
      </c>
      <c r="D1168" t="s">
        <v>751</v>
      </c>
      <c r="E1168">
        <v>2</v>
      </c>
      <c r="F1168">
        <v>150000</v>
      </c>
      <c r="G1168">
        <v>300000</v>
      </c>
      <c r="H1168" t="s">
        <v>872</v>
      </c>
      <c r="I1168">
        <v>0</v>
      </c>
      <c r="J1168">
        <v>30000</v>
      </c>
      <c r="K1168">
        <v>330000</v>
      </c>
      <c r="L1168" t="s">
        <v>873</v>
      </c>
      <c r="M1168" t="s">
        <v>874</v>
      </c>
      <c r="N1168" t="s">
        <v>875</v>
      </c>
      <c r="O1168" s="9">
        <v>45748</v>
      </c>
      <c r="P1168" t="s">
        <v>877</v>
      </c>
      <c r="Q1168">
        <v>300000</v>
      </c>
      <c r="R1168" t="s">
        <v>752</v>
      </c>
      <c r="S1168" t="s">
        <v>731</v>
      </c>
      <c r="T1168" t="s">
        <v>732</v>
      </c>
      <c r="U1168" t="s">
        <v>239</v>
      </c>
      <c r="V1168" t="s">
        <v>23</v>
      </c>
      <c r="W1168" t="s">
        <v>46</v>
      </c>
      <c r="X1168" t="s">
        <v>9</v>
      </c>
    </row>
    <row r="1169" spans="1:24">
      <c r="A1169" t="s">
        <v>2064</v>
      </c>
      <c r="B1169" s="8">
        <v>45737</v>
      </c>
      <c r="C1169" t="s">
        <v>160</v>
      </c>
      <c r="D1169" t="s">
        <v>789</v>
      </c>
      <c r="E1169">
        <v>3</v>
      </c>
      <c r="F1169">
        <v>200000</v>
      </c>
      <c r="G1169">
        <v>600000</v>
      </c>
      <c r="H1169" t="s">
        <v>872</v>
      </c>
      <c r="I1169">
        <v>0</v>
      </c>
      <c r="J1169">
        <v>25000</v>
      </c>
      <c r="K1169">
        <v>625000</v>
      </c>
      <c r="L1169" t="s">
        <v>873</v>
      </c>
      <c r="M1169" t="s">
        <v>874</v>
      </c>
      <c r="N1169" t="s">
        <v>875</v>
      </c>
      <c r="O1169" s="9">
        <v>45717</v>
      </c>
      <c r="P1169" t="s">
        <v>877</v>
      </c>
      <c r="Q1169">
        <v>600000</v>
      </c>
      <c r="R1169" t="s">
        <v>790</v>
      </c>
      <c r="S1169" t="s">
        <v>735</v>
      </c>
      <c r="T1169" t="s">
        <v>736</v>
      </c>
      <c r="U1169" t="s">
        <v>161</v>
      </c>
      <c r="V1169" t="s">
        <v>23</v>
      </c>
      <c r="W1169" t="s">
        <v>137</v>
      </c>
      <c r="X1169" t="s">
        <v>9</v>
      </c>
    </row>
    <row r="1170" spans="1:24">
      <c r="A1170" t="s">
        <v>2065</v>
      </c>
      <c r="B1170" s="8">
        <v>45664</v>
      </c>
      <c r="C1170" t="s">
        <v>338</v>
      </c>
      <c r="D1170" t="s">
        <v>831</v>
      </c>
      <c r="E1170">
        <v>1</v>
      </c>
      <c r="F1170">
        <v>300000</v>
      </c>
      <c r="G1170">
        <v>300000</v>
      </c>
      <c r="H1170" t="s">
        <v>872</v>
      </c>
      <c r="I1170">
        <v>0</v>
      </c>
      <c r="J1170">
        <v>15000</v>
      </c>
      <c r="K1170">
        <v>315000</v>
      </c>
      <c r="L1170" t="s">
        <v>873</v>
      </c>
      <c r="M1170" t="s">
        <v>903</v>
      </c>
      <c r="N1170" t="s">
        <v>875</v>
      </c>
      <c r="O1170" s="9">
        <v>45658</v>
      </c>
      <c r="P1170" t="s">
        <v>877</v>
      </c>
      <c r="Q1170">
        <v>300000</v>
      </c>
      <c r="R1170" t="s">
        <v>832</v>
      </c>
      <c r="S1170" t="s">
        <v>747</v>
      </c>
      <c r="T1170" t="s">
        <v>748</v>
      </c>
      <c r="U1170" t="s">
        <v>339</v>
      </c>
      <c r="V1170" t="s">
        <v>7</v>
      </c>
      <c r="W1170" t="s">
        <v>36</v>
      </c>
      <c r="X1170" t="s">
        <v>15</v>
      </c>
    </row>
    <row r="1171" spans="1:24">
      <c r="A1171" t="s">
        <v>2066</v>
      </c>
      <c r="B1171" s="8">
        <v>45737</v>
      </c>
      <c r="C1171" t="s">
        <v>424</v>
      </c>
      <c r="D1171" t="s">
        <v>799</v>
      </c>
      <c r="E1171">
        <v>2</v>
      </c>
      <c r="F1171">
        <v>35000</v>
      </c>
      <c r="G1171">
        <v>70000</v>
      </c>
      <c r="H1171" t="s">
        <v>872</v>
      </c>
      <c r="I1171">
        <v>0</v>
      </c>
      <c r="J1171">
        <v>25000</v>
      </c>
      <c r="K1171">
        <v>95000</v>
      </c>
      <c r="L1171" t="s">
        <v>880</v>
      </c>
      <c r="M1171" t="s">
        <v>901</v>
      </c>
      <c r="N1171" t="s">
        <v>875</v>
      </c>
      <c r="O1171" s="9">
        <v>45717</v>
      </c>
      <c r="P1171" t="s">
        <v>877</v>
      </c>
      <c r="Q1171">
        <v>70000</v>
      </c>
      <c r="R1171" t="s">
        <v>800</v>
      </c>
      <c r="S1171" t="s">
        <v>731</v>
      </c>
      <c r="T1171" t="s">
        <v>732</v>
      </c>
      <c r="U1171" t="s">
        <v>425</v>
      </c>
      <c r="V1171" t="s">
        <v>7</v>
      </c>
      <c r="W1171" t="s">
        <v>8</v>
      </c>
      <c r="X1171" t="s">
        <v>24</v>
      </c>
    </row>
    <row r="1172" spans="1:24">
      <c r="A1172" t="s">
        <v>2067</v>
      </c>
      <c r="B1172" s="8">
        <v>45684</v>
      </c>
      <c r="C1172" t="s">
        <v>350</v>
      </c>
      <c r="D1172" t="s">
        <v>771</v>
      </c>
      <c r="E1172">
        <v>4</v>
      </c>
      <c r="F1172">
        <v>500000</v>
      </c>
      <c r="G1172">
        <v>2000000</v>
      </c>
      <c r="H1172" t="s">
        <v>886</v>
      </c>
      <c r="I1172">
        <v>200000</v>
      </c>
      <c r="J1172">
        <v>30000</v>
      </c>
      <c r="K1172">
        <v>1830000</v>
      </c>
      <c r="L1172" t="s">
        <v>884</v>
      </c>
      <c r="M1172" t="s">
        <v>901</v>
      </c>
      <c r="N1172" t="s">
        <v>875</v>
      </c>
      <c r="O1172" s="9">
        <v>45658</v>
      </c>
      <c r="P1172" t="s">
        <v>877</v>
      </c>
      <c r="Q1172">
        <v>1800000</v>
      </c>
      <c r="R1172" t="s">
        <v>772</v>
      </c>
      <c r="S1172" t="s">
        <v>747</v>
      </c>
      <c r="T1172" t="s">
        <v>748</v>
      </c>
      <c r="U1172" t="s">
        <v>351</v>
      </c>
      <c r="V1172" t="s">
        <v>23</v>
      </c>
      <c r="W1172" t="s">
        <v>36</v>
      </c>
      <c r="X1172" t="s">
        <v>9</v>
      </c>
    </row>
    <row r="1173" spans="1:24">
      <c r="A1173" t="s">
        <v>2068</v>
      </c>
      <c r="B1173" s="8">
        <v>45706</v>
      </c>
      <c r="C1173" t="s">
        <v>356</v>
      </c>
      <c r="D1173" t="s">
        <v>839</v>
      </c>
      <c r="E1173">
        <v>2</v>
      </c>
      <c r="F1173">
        <v>200000</v>
      </c>
      <c r="G1173">
        <v>400000</v>
      </c>
      <c r="H1173" t="s">
        <v>872</v>
      </c>
      <c r="I1173">
        <v>0</v>
      </c>
      <c r="J1173">
        <v>25000</v>
      </c>
      <c r="K1173">
        <v>425000</v>
      </c>
      <c r="L1173" t="s">
        <v>889</v>
      </c>
      <c r="M1173" t="s">
        <v>901</v>
      </c>
      <c r="N1173" t="s">
        <v>905</v>
      </c>
      <c r="O1173" s="9">
        <v>45689</v>
      </c>
      <c r="P1173" t="s">
        <v>892</v>
      </c>
      <c r="Q1173">
        <v>400000</v>
      </c>
      <c r="R1173" t="s">
        <v>840</v>
      </c>
      <c r="S1173" t="s">
        <v>739</v>
      </c>
      <c r="T1173" t="s">
        <v>740</v>
      </c>
      <c r="U1173" t="s">
        <v>357</v>
      </c>
      <c r="V1173" t="s">
        <v>7</v>
      </c>
      <c r="W1173" t="s">
        <v>56</v>
      </c>
      <c r="X1173" t="s">
        <v>9</v>
      </c>
    </row>
    <row r="1174" spans="1:24">
      <c r="A1174" t="s">
        <v>2069</v>
      </c>
      <c r="B1174" s="8">
        <v>45803</v>
      </c>
      <c r="C1174" t="s">
        <v>18</v>
      </c>
      <c r="D1174" t="s">
        <v>773</v>
      </c>
      <c r="E1174">
        <v>1</v>
      </c>
      <c r="F1174">
        <v>500000</v>
      </c>
      <c r="G1174">
        <v>500000</v>
      </c>
      <c r="H1174" t="s">
        <v>872</v>
      </c>
      <c r="I1174">
        <v>0</v>
      </c>
      <c r="J1174">
        <v>10000</v>
      </c>
      <c r="K1174">
        <v>510000</v>
      </c>
      <c r="L1174" t="s">
        <v>884</v>
      </c>
      <c r="M1174" t="s">
        <v>901</v>
      </c>
      <c r="N1174" t="s">
        <v>875</v>
      </c>
      <c r="O1174" s="9">
        <v>45778</v>
      </c>
      <c r="P1174" t="s">
        <v>877</v>
      </c>
      <c r="Q1174">
        <v>500000</v>
      </c>
      <c r="R1174" t="s">
        <v>774</v>
      </c>
      <c r="S1174" t="s">
        <v>727</v>
      </c>
      <c r="T1174" t="s">
        <v>728</v>
      </c>
      <c r="U1174" t="s">
        <v>19</v>
      </c>
      <c r="V1174" t="s">
        <v>7</v>
      </c>
      <c r="W1174" t="s">
        <v>20</v>
      </c>
      <c r="X1174" t="s">
        <v>9</v>
      </c>
    </row>
    <row r="1175" spans="1:24">
      <c r="A1175" t="s">
        <v>2070</v>
      </c>
      <c r="B1175" s="8">
        <v>45743</v>
      </c>
      <c r="C1175" t="s">
        <v>40</v>
      </c>
      <c r="D1175" t="s">
        <v>845</v>
      </c>
      <c r="E1175">
        <v>1</v>
      </c>
      <c r="F1175">
        <v>300000</v>
      </c>
      <c r="G1175">
        <v>300000</v>
      </c>
      <c r="H1175" t="s">
        <v>879</v>
      </c>
      <c r="I1175">
        <v>60000</v>
      </c>
      <c r="J1175">
        <v>30000</v>
      </c>
      <c r="K1175">
        <v>270000</v>
      </c>
      <c r="L1175" t="s">
        <v>884</v>
      </c>
      <c r="M1175" t="s">
        <v>903</v>
      </c>
      <c r="N1175" t="s">
        <v>890</v>
      </c>
      <c r="O1175" s="9">
        <v>45717</v>
      </c>
      <c r="P1175" t="s">
        <v>892</v>
      </c>
      <c r="Q1175">
        <v>240000</v>
      </c>
      <c r="R1175" t="s">
        <v>846</v>
      </c>
      <c r="S1175" t="s">
        <v>727</v>
      </c>
      <c r="T1175" t="s">
        <v>728</v>
      </c>
      <c r="U1175" t="s">
        <v>41</v>
      </c>
      <c r="V1175" t="s">
        <v>7</v>
      </c>
      <c r="W1175" t="s">
        <v>36</v>
      </c>
      <c r="X1175" t="s">
        <v>15</v>
      </c>
    </row>
    <row r="1176" spans="1:24">
      <c r="A1176" t="s">
        <v>2071</v>
      </c>
      <c r="B1176" s="8">
        <v>45676</v>
      </c>
      <c r="C1176" t="s">
        <v>458</v>
      </c>
      <c r="D1176" t="s">
        <v>827</v>
      </c>
      <c r="E1176">
        <v>1</v>
      </c>
      <c r="F1176">
        <v>100000</v>
      </c>
      <c r="G1176">
        <v>100000</v>
      </c>
      <c r="H1176" t="s">
        <v>883</v>
      </c>
      <c r="I1176">
        <v>10000</v>
      </c>
      <c r="J1176">
        <v>25000</v>
      </c>
      <c r="K1176">
        <v>115000</v>
      </c>
      <c r="L1176" t="s">
        <v>889</v>
      </c>
      <c r="M1176" t="s">
        <v>903</v>
      </c>
      <c r="N1176" t="s">
        <v>875</v>
      </c>
      <c r="O1176" s="9">
        <v>45658</v>
      </c>
      <c r="P1176" t="s">
        <v>877</v>
      </c>
      <c r="Q1176">
        <v>90000</v>
      </c>
      <c r="R1176" t="s">
        <v>828</v>
      </c>
      <c r="S1176" t="s">
        <v>739</v>
      </c>
      <c r="T1176" t="s">
        <v>740</v>
      </c>
      <c r="U1176" t="s">
        <v>459</v>
      </c>
      <c r="V1176" t="s">
        <v>23</v>
      </c>
      <c r="W1176" t="s">
        <v>20</v>
      </c>
      <c r="X1176" t="s">
        <v>15</v>
      </c>
    </row>
    <row r="1177" spans="1:24">
      <c r="A1177" t="s">
        <v>2072</v>
      </c>
      <c r="B1177" s="8">
        <v>45703</v>
      </c>
      <c r="C1177" t="s">
        <v>42</v>
      </c>
      <c r="D1177" t="s">
        <v>777</v>
      </c>
      <c r="E1177">
        <v>4</v>
      </c>
      <c r="F1177">
        <v>200000</v>
      </c>
      <c r="G1177">
        <v>800000</v>
      </c>
      <c r="H1177" t="s">
        <v>872</v>
      </c>
      <c r="I1177">
        <v>0</v>
      </c>
      <c r="J1177">
        <v>20000</v>
      </c>
      <c r="K1177">
        <v>820000</v>
      </c>
      <c r="L1177" t="s">
        <v>884</v>
      </c>
      <c r="M1177" t="s">
        <v>901</v>
      </c>
      <c r="N1177" t="s">
        <v>875</v>
      </c>
      <c r="O1177" s="9">
        <v>45689</v>
      </c>
      <c r="P1177" t="s">
        <v>877</v>
      </c>
      <c r="Q1177">
        <v>800000</v>
      </c>
      <c r="R1177" t="s">
        <v>778</v>
      </c>
      <c r="S1177" t="s">
        <v>735</v>
      </c>
      <c r="T1177" t="s">
        <v>736</v>
      </c>
      <c r="U1177" t="s">
        <v>43</v>
      </c>
      <c r="V1177" t="s">
        <v>23</v>
      </c>
      <c r="W1177" t="s">
        <v>39</v>
      </c>
      <c r="X1177" t="s">
        <v>15</v>
      </c>
    </row>
    <row r="1178" spans="1:24">
      <c r="A1178" t="s">
        <v>2073</v>
      </c>
      <c r="B1178" s="8">
        <v>45734</v>
      </c>
      <c r="C1178" t="s">
        <v>682</v>
      </c>
      <c r="D1178" t="s">
        <v>829</v>
      </c>
      <c r="E1178">
        <v>1</v>
      </c>
      <c r="F1178">
        <v>500000</v>
      </c>
      <c r="G1178">
        <v>500000</v>
      </c>
      <c r="H1178" t="s">
        <v>872</v>
      </c>
      <c r="I1178">
        <v>0</v>
      </c>
      <c r="J1178">
        <v>15000</v>
      </c>
      <c r="K1178">
        <v>515000</v>
      </c>
      <c r="L1178" t="s">
        <v>880</v>
      </c>
      <c r="M1178" t="s">
        <v>881</v>
      </c>
      <c r="N1178" t="s">
        <v>875</v>
      </c>
      <c r="O1178" s="9">
        <v>45717</v>
      </c>
      <c r="P1178" t="s">
        <v>877</v>
      </c>
      <c r="Q1178">
        <v>500000</v>
      </c>
      <c r="R1178" t="s">
        <v>830</v>
      </c>
      <c r="S1178" t="s">
        <v>743</v>
      </c>
      <c r="T1178" t="s">
        <v>744</v>
      </c>
      <c r="U1178" t="s">
        <v>683</v>
      </c>
      <c r="V1178" t="s">
        <v>7</v>
      </c>
      <c r="W1178" t="s">
        <v>137</v>
      </c>
      <c r="X1178" t="s">
        <v>9</v>
      </c>
    </row>
    <row r="1179" spans="1:24">
      <c r="A1179" t="s">
        <v>2074</v>
      </c>
      <c r="B1179" s="8">
        <v>45704</v>
      </c>
      <c r="C1179" t="s">
        <v>208</v>
      </c>
      <c r="D1179" t="s">
        <v>797</v>
      </c>
      <c r="E1179">
        <v>2</v>
      </c>
      <c r="F1179">
        <v>150000</v>
      </c>
      <c r="G1179">
        <v>300000</v>
      </c>
      <c r="H1179" t="s">
        <v>872</v>
      </c>
      <c r="I1179">
        <v>0</v>
      </c>
      <c r="J1179">
        <v>25000</v>
      </c>
      <c r="K1179">
        <v>325000</v>
      </c>
      <c r="L1179" t="s">
        <v>880</v>
      </c>
      <c r="M1179" t="s">
        <v>901</v>
      </c>
      <c r="N1179" t="s">
        <v>905</v>
      </c>
      <c r="O1179" s="9">
        <v>45689</v>
      </c>
      <c r="P1179" t="s">
        <v>892</v>
      </c>
      <c r="Q1179">
        <v>300000</v>
      </c>
      <c r="R1179" t="s">
        <v>798</v>
      </c>
      <c r="S1179" t="s">
        <v>727</v>
      </c>
      <c r="T1179" t="s">
        <v>728</v>
      </c>
      <c r="U1179" t="s">
        <v>209</v>
      </c>
      <c r="V1179" t="s">
        <v>7</v>
      </c>
      <c r="W1179" t="s">
        <v>20</v>
      </c>
      <c r="X1179" t="s">
        <v>9</v>
      </c>
    </row>
    <row r="1180" spans="1:24">
      <c r="A1180" t="s">
        <v>2075</v>
      </c>
      <c r="B1180" s="8">
        <v>45777</v>
      </c>
      <c r="C1180" t="s">
        <v>478</v>
      </c>
      <c r="D1180" t="s">
        <v>745</v>
      </c>
      <c r="E1180">
        <v>2</v>
      </c>
      <c r="F1180">
        <v>500000</v>
      </c>
      <c r="G1180">
        <v>1000000</v>
      </c>
      <c r="I1180">
        <v>0</v>
      </c>
      <c r="J1180">
        <v>15000</v>
      </c>
      <c r="K1180">
        <v>1015000</v>
      </c>
      <c r="L1180" t="s">
        <v>884</v>
      </c>
      <c r="M1180" t="s">
        <v>874</v>
      </c>
      <c r="N1180" t="s">
        <v>875</v>
      </c>
      <c r="O1180" s="9">
        <v>45748</v>
      </c>
      <c r="P1180" t="s">
        <v>877</v>
      </c>
      <c r="Q1180">
        <v>1000000</v>
      </c>
      <c r="R1180" t="s">
        <v>746</v>
      </c>
      <c r="S1180" t="s">
        <v>747</v>
      </c>
      <c r="T1180" t="s">
        <v>748</v>
      </c>
      <c r="U1180" t="s">
        <v>479</v>
      </c>
      <c r="V1180" t="s">
        <v>23</v>
      </c>
      <c r="W1180" t="s">
        <v>51</v>
      </c>
      <c r="X1180" t="s">
        <v>15</v>
      </c>
    </row>
    <row r="1181" spans="1:24">
      <c r="A1181" t="s">
        <v>2076</v>
      </c>
      <c r="B1181" s="8">
        <v>45752</v>
      </c>
      <c r="C1181" t="s">
        <v>129</v>
      </c>
      <c r="D1181" t="s">
        <v>799</v>
      </c>
      <c r="E1181">
        <v>2</v>
      </c>
      <c r="F1181">
        <v>35000</v>
      </c>
      <c r="G1181">
        <v>70000</v>
      </c>
      <c r="H1181" t="s">
        <v>872</v>
      </c>
      <c r="I1181">
        <v>0</v>
      </c>
      <c r="J1181">
        <v>10000</v>
      </c>
      <c r="K1181">
        <v>80000</v>
      </c>
      <c r="L1181" t="s">
        <v>889</v>
      </c>
      <c r="M1181" t="s">
        <v>901</v>
      </c>
      <c r="N1181" t="s">
        <v>875</v>
      </c>
      <c r="O1181" s="9">
        <v>45748</v>
      </c>
      <c r="P1181" t="s">
        <v>877</v>
      </c>
      <c r="Q1181">
        <v>70000</v>
      </c>
      <c r="R1181" t="s">
        <v>800</v>
      </c>
      <c r="S1181" t="s">
        <v>731</v>
      </c>
      <c r="T1181" t="s">
        <v>732</v>
      </c>
      <c r="U1181" t="s">
        <v>130</v>
      </c>
      <c r="V1181" t="s">
        <v>23</v>
      </c>
      <c r="W1181" t="s">
        <v>8</v>
      </c>
      <c r="X1181" t="s">
        <v>24</v>
      </c>
    </row>
    <row r="1182" spans="1:24">
      <c r="A1182" t="s">
        <v>2077</v>
      </c>
      <c r="B1182" s="8">
        <v>45744</v>
      </c>
      <c r="C1182" t="s">
        <v>59</v>
      </c>
      <c r="D1182" t="s">
        <v>845</v>
      </c>
      <c r="E1182">
        <v>2</v>
      </c>
      <c r="F1182">
        <v>300000</v>
      </c>
      <c r="G1182">
        <v>600000</v>
      </c>
      <c r="H1182" t="s">
        <v>872</v>
      </c>
      <c r="I1182">
        <v>0</v>
      </c>
      <c r="J1182">
        <v>15000</v>
      </c>
      <c r="K1182">
        <v>615000</v>
      </c>
      <c r="L1182" t="s">
        <v>880</v>
      </c>
      <c r="M1182" t="s">
        <v>881</v>
      </c>
      <c r="N1182" t="s">
        <v>875</v>
      </c>
      <c r="O1182" s="9">
        <v>45717</v>
      </c>
      <c r="P1182" t="s">
        <v>877</v>
      </c>
      <c r="Q1182">
        <v>600000</v>
      </c>
      <c r="R1182" t="s">
        <v>846</v>
      </c>
      <c r="S1182" t="s">
        <v>727</v>
      </c>
      <c r="T1182" t="s">
        <v>728</v>
      </c>
      <c r="U1182" t="s">
        <v>60</v>
      </c>
      <c r="V1182" t="s">
        <v>7</v>
      </c>
      <c r="W1182" t="s">
        <v>39</v>
      </c>
      <c r="X1182" t="s">
        <v>15</v>
      </c>
    </row>
    <row r="1183" spans="1:24">
      <c r="A1183" t="s">
        <v>2078</v>
      </c>
      <c r="B1183" s="8">
        <v>45772</v>
      </c>
      <c r="C1183" t="s">
        <v>113</v>
      </c>
      <c r="D1183" t="s">
        <v>853</v>
      </c>
      <c r="E1183">
        <v>3</v>
      </c>
      <c r="F1183">
        <v>75000</v>
      </c>
      <c r="G1183">
        <v>225000</v>
      </c>
      <c r="H1183" t="s">
        <v>872</v>
      </c>
      <c r="I1183">
        <v>0</v>
      </c>
      <c r="J1183">
        <v>15000</v>
      </c>
      <c r="K1183">
        <v>240000</v>
      </c>
      <c r="L1183" t="s">
        <v>873</v>
      </c>
      <c r="M1183" t="s">
        <v>901</v>
      </c>
      <c r="N1183" t="s">
        <v>875</v>
      </c>
      <c r="O1183" s="9">
        <v>45748</v>
      </c>
      <c r="P1183" t="s">
        <v>877</v>
      </c>
      <c r="Q1183">
        <v>225000</v>
      </c>
      <c r="R1183" t="s">
        <v>854</v>
      </c>
      <c r="S1183" t="s">
        <v>743</v>
      </c>
      <c r="T1183" t="s">
        <v>744</v>
      </c>
      <c r="U1183" t="s">
        <v>114</v>
      </c>
      <c r="V1183" t="s">
        <v>23</v>
      </c>
      <c r="W1183" t="s">
        <v>39</v>
      </c>
      <c r="X1183" t="s">
        <v>24</v>
      </c>
    </row>
    <row r="1184" spans="1:24">
      <c r="A1184" t="s">
        <v>2079</v>
      </c>
      <c r="B1184" s="8">
        <v>45659</v>
      </c>
      <c r="C1184" t="s">
        <v>640</v>
      </c>
      <c r="D1184" t="s">
        <v>815</v>
      </c>
      <c r="E1184">
        <v>3</v>
      </c>
      <c r="F1184">
        <v>75000</v>
      </c>
      <c r="G1184">
        <v>225000</v>
      </c>
      <c r="H1184" t="s">
        <v>886</v>
      </c>
      <c r="I1184">
        <v>22500</v>
      </c>
      <c r="J1184">
        <v>10000</v>
      </c>
      <c r="K1184">
        <v>212500</v>
      </c>
      <c r="L1184" t="s">
        <v>889</v>
      </c>
      <c r="M1184" t="s">
        <v>903</v>
      </c>
      <c r="N1184" t="s">
        <v>905</v>
      </c>
      <c r="O1184" s="9">
        <v>45658</v>
      </c>
      <c r="P1184" t="s">
        <v>892</v>
      </c>
      <c r="Q1184">
        <v>202500</v>
      </c>
      <c r="R1184" t="s">
        <v>816</v>
      </c>
      <c r="S1184" t="s">
        <v>739</v>
      </c>
      <c r="T1184" t="s">
        <v>740</v>
      </c>
      <c r="U1184" t="s">
        <v>641</v>
      </c>
      <c r="V1184" t="s">
        <v>23</v>
      </c>
      <c r="W1184" t="s">
        <v>137</v>
      </c>
      <c r="X1184" t="s">
        <v>15</v>
      </c>
    </row>
    <row r="1185" spans="1:24">
      <c r="A1185" t="s">
        <v>2080</v>
      </c>
      <c r="B1185" s="8">
        <v>45718</v>
      </c>
      <c r="C1185" t="s">
        <v>554</v>
      </c>
      <c r="D1185" t="s">
        <v>833</v>
      </c>
      <c r="E1185">
        <v>2</v>
      </c>
      <c r="F1185">
        <v>200000</v>
      </c>
      <c r="G1185">
        <v>400000</v>
      </c>
      <c r="H1185" t="s">
        <v>883</v>
      </c>
      <c r="I1185">
        <v>40000</v>
      </c>
      <c r="J1185">
        <v>10000</v>
      </c>
      <c r="K1185">
        <v>370000</v>
      </c>
      <c r="L1185" t="s">
        <v>884</v>
      </c>
      <c r="M1185" t="s">
        <v>881</v>
      </c>
      <c r="N1185" t="s">
        <v>875</v>
      </c>
      <c r="O1185" s="9">
        <v>45717</v>
      </c>
      <c r="P1185" t="s">
        <v>877</v>
      </c>
      <c r="Q1185">
        <v>360000</v>
      </c>
      <c r="R1185" t="s">
        <v>834</v>
      </c>
      <c r="S1185" t="s">
        <v>727</v>
      </c>
      <c r="T1185" t="s">
        <v>728</v>
      </c>
      <c r="U1185" t="s">
        <v>555</v>
      </c>
      <c r="V1185" t="s">
        <v>7</v>
      </c>
      <c r="W1185" t="s">
        <v>36</v>
      </c>
      <c r="X1185" t="s">
        <v>9</v>
      </c>
    </row>
    <row r="1186" spans="1:24">
      <c r="A1186" t="s">
        <v>2081</v>
      </c>
      <c r="B1186" s="8">
        <v>45673</v>
      </c>
      <c r="C1186" t="s">
        <v>350</v>
      </c>
      <c r="D1186" t="s">
        <v>821</v>
      </c>
      <c r="E1186">
        <v>1</v>
      </c>
      <c r="F1186">
        <v>50000</v>
      </c>
      <c r="G1186">
        <v>50000</v>
      </c>
      <c r="H1186" t="s">
        <v>872</v>
      </c>
      <c r="I1186">
        <v>0</v>
      </c>
      <c r="J1186">
        <v>25000</v>
      </c>
      <c r="K1186">
        <v>75000</v>
      </c>
      <c r="L1186" t="s">
        <v>884</v>
      </c>
      <c r="M1186" t="s">
        <v>901</v>
      </c>
      <c r="N1186" t="s">
        <v>875</v>
      </c>
      <c r="O1186" s="9">
        <v>45658</v>
      </c>
      <c r="P1186" t="s">
        <v>877</v>
      </c>
      <c r="Q1186">
        <v>50000</v>
      </c>
      <c r="R1186" t="s">
        <v>822</v>
      </c>
      <c r="S1186" t="s">
        <v>727</v>
      </c>
      <c r="T1186" t="s">
        <v>728</v>
      </c>
      <c r="U1186" t="s">
        <v>351</v>
      </c>
      <c r="V1186" t="s">
        <v>23</v>
      </c>
      <c r="W1186" t="s">
        <v>36</v>
      </c>
      <c r="X1186" t="s">
        <v>9</v>
      </c>
    </row>
    <row r="1187" spans="1:24">
      <c r="A1187" t="s">
        <v>2082</v>
      </c>
      <c r="B1187" s="8">
        <v>45797</v>
      </c>
      <c r="C1187" t="s">
        <v>300</v>
      </c>
      <c r="D1187" t="s">
        <v>807</v>
      </c>
      <c r="E1187">
        <v>4</v>
      </c>
      <c r="F1187">
        <v>150000</v>
      </c>
      <c r="G1187">
        <v>600000</v>
      </c>
      <c r="H1187" t="s">
        <v>872</v>
      </c>
      <c r="I1187">
        <v>0</v>
      </c>
      <c r="J1187">
        <v>25000</v>
      </c>
      <c r="K1187">
        <v>625000</v>
      </c>
      <c r="L1187" t="s">
        <v>873</v>
      </c>
      <c r="M1187" t="s">
        <v>874</v>
      </c>
      <c r="N1187" t="s">
        <v>875</v>
      </c>
      <c r="O1187" s="9">
        <v>45778</v>
      </c>
      <c r="P1187" t="s">
        <v>877</v>
      </c>
      <c r="Q1187">
        <v>600000</v>
      </c>
      <c r="R1187" t="s">
        <v>808</v>
      </c>
      <c r="S1187" t="s">
        <v>747</v>
      </c>
      <c r="T1187" t="s">
        <v>748</v>
      </c>
      <c r="U1187" t="s">
        <v>301</v>
      </c>
      <c r="V1187" t="s">
        <v>7</v>
      </c>
      <c r="W1187" t="s">
        <v>39</v>
      </c>
      <c r="X1187" t="s">
        <v>9</v>
      </c>
    </row>
    <row r="1188" spans="1:24">
      <c r="A1188" t="s">
        <v>2083</v>
      </c>
      <c r="B1188" s="8">
        <v>45697</v>
      </c>
      <c r="C1188" t="s">
        <v>546</v>
      </c>
      <c r="D1188" t="s">
        <v>751</v>
      </c>
      <c r="E1188">
        <v>1</v>
      </c>
      <c r="F1188">
        <v>150000</v>
      </c>
      <c r="G1188">
        <v>150000</v>
      </c>
      <c r="H1188" t="s">
        <v>872</v>
      </c>
      <c r="I1188">
        <v>0</v>
      </c>
      <c r="J1188">
        <v>30000</v>
      </c>
      <c r="K1188">
        <v>180000</v>
      </c>
      <c r="L1188" t="s">
        <v>884</v>
      </c>
      <c r="M1188" t="s">
        <v>874</v>
      </c>
      <c r="N1188" t="s">
        <v>875</v>
      </c>
      <c r="O1188" s="9">
        <v>45689</v>
      </c>
      <c r="P1188" t="s">
        <v>877</v>
      </c>
      <c r="Q1188">
        <v>150000</v>
      </c>
      <c r="R1188" t="s">
        <v>752</v>
      </c>
      <c r="S1188" t="s">
        <v>731</v>
      </c>
      <c r="T1188" t="s">
        <v>732</v>
      </c>
      <c r="U1188" t="s">
        <v>547</v>
      </c>
      <c r="V1188" t="s">
        <v>23</v>
      </c>
      <c r="W1188" t="s">
        <v>8</v>
      </c>
      <c r="X1188" t="s">
        <v>24</v>
      </c>
    </row>
    <row r="1189" spans="1:24">
      <c r="A1189" t="s">
        <v>2084</v>
      </c>
      <c r="B1189" s="8">
        <v>45836</v>
      </c>
      <c r="C1189" t="s">
        <v>190</v>
      </c>
      <c r="D1189" t="s">
        <v>741</v>
      </c>
      <c r="E1189">
        <v>4</v>
      </c>
      <c r="F1189">
        <v>75000</v>
      </c>
      <c r="G1189">
        <v>300000</v>
      </c>
      <c r="H1189" t="s">
        <v>872</v>
      </c>
      <c r="I1189">
        <v>0</v>
      </c>
      <c r="J1189">
        <v>30000</v>
      </c>
      <c r="K1189">
        <v>330000</v>
      </c>
      <c r="L1189" t="s">
        <v>884</v>
      </c>
      <c r="M1189" t="s">
        <v>901</v>
      </c>
      <c r="N1189" t="s">
        <v>921</v>
      </c>
      <c r="O1189" s="9">
        <v>45809</v>
      </c>
      <c r="P1189" t="s">
        <v>892</v>
      </c>
      <c r="Q1189">
        <v>300000</v>
      </c>
      <c r="R1189" t="s">
        <v>742</v>
      </c>
      <c r="S1189" t="s">
        <v>743</v>
      </c>
      <c r="T1189" t="s">
        <v>744</v>
      </c>
      <c r="U1189" t="s">
        <v>191</v>
      </c>
      <c r="V1189" t="s">
        <v>7</v>
      </c>
      <c r="W1189" t="s">
        <v>56</v>
      </c>
      <c r="X1189" t="s">
        <v>24</v>
      </c>
    </row>
    <row r="1190" spans="1:24">
      <c r="A1190" t="s">
        <v>2085</v>
      </c>
      <c r="B1190" s="8">
        <v>45744</v>
      </c>
      <c r="C1190" t="s">
        <v>578</v>
      </c>
      <c r="D1190" t="s">
        <v>803</v>
      </c>
      <c r="E1190">
        <v>4</v>
      </c>
      <c r="F1190">
        <v>50000</v>
      </c>
      <c r="G1190">
        <v>200000</v>
      </c>
      <c r="H1190" t="s">
        <v>886</v>
      </c>
      <c r="I1190">
        <v>20000</v>
      </c>
      <c r="J1190">
        <v>30000</v>
      </c>
      <c r="K1190">
        <v>210000</v>
      </c>
      <c r="L1190" t="s">
        <v>880</v>
      </c>
      <c r="M1190" t="s">
        <v>903</v>
      </c>
      <c r="N1190" t="s">
        <v>890</v>
      </c>
      <c r="O1190" s="9">
        <v>45717</v>
      </c>
      <c r="P1190" t="s">
        <v>892</v>
      </c>
      <c r="Q1190">
        <v>180000</v>
      </c>
      <c r="R1190" t="s">
        <v>804</v>
      </c>
      <c r="S1190" t="s">
        <v>739</v>
      </c>
      <c r="T1190" t="s">
        <v>740</v>
      </c>
      <c r="U1190" t="s">
        <v>579</v>
      </c>
      <c r="V1190" t="s">
        <v>23</v>
      </c>
      <c r="W1190" t="s">
        <v>56</v>
      </c>
      <c r="X1190" t="s">
        <v>24</v>
      </c>
    </row>
    <row r="1191" spans="1:24">
      <c r="A1191" t="s">
        <v>2086</v>
      </c>
      <c r="B1191" s="8">
        <v>45835</v>
      </c>
      <c r="C1191" t="s">
        <v>704</v>
      </c>
      <c r="D1191" t="s">
        <v>843</v>
      </c>
      <c r="E1191">
        <v>2</v>
      </c>
      <c r="F1191">
        <v>100000</v>
      </c>
      <c r="G1191">
        <v>200000</v>
      </c>
      <c r="H1191" t="s">
        <v>872</v>
      </c>
      <c r="I1191">
        <v>0</v>
      </c>
      <c r="J1191">
        <v>10000</v>
      </c>
      <c r="K1191">
        <v>210000</v>
      </c>
      <c r="L1191" t="s">
        <v>873</v>
      </c>
      <c r="M1191" t="s">
        <v>881</v>
      </c>
      <c r="N1191" t="s">
        <v>875</v>
      </c>
      <c r="O1191" s="9">
        <v>45809</v>
      </c>
      <c r="P1191" t="s">
        <v>877</v>
      </c>
      <c r="Q1191">
        <v>200000</v>
      </c>
      <c r="R1191" t="s">
        <v>844</v>
      </c>
      <c r="S1191" t="s">
        <v>747</v>
      </c>
      <c r="T1191" t="s">
        <v>748</v>
      </c>
      <c r="U1191" t="s">
        <v>705</v>
      </c>
      <c r="V1191" t="s">
        <v>7</v>
      </c>
      <c r="W1191" t="s">
        <v>12</v>
      </c>
      <c r="X1191" t="s">
        <v>24</v>
      </c>
    </row>
    <row r="1192" spans="1:24">
      <c r="A1192" t="s">
        <v>2087</v>
      </c>
      <c r="B1192" s="8">
        <v>45746</v>
      </c>
      <c r="C1192" t="s">
        <v>268</v>
      </c>
      <c r="D1192" t="s">
        <v>833</v>
      </c>
      <c r="E1192">
        <v>2</v>
      </c>
      <c r="F1192">
        <v>200000</v>
      </c>
      <c r="G1192">
        <v>400000</v>
      </c>
      <c r="H1192" t="s">
        <v>872</v>
      </c>
      <c r="I1192">
        <v>0</v>
      </c>
      <c r="J1192">
        <v>10000</v>
      </c>
      <c r="K1192">
        <v>410000</v>
      </c>
      <c r="L1192" t="s">
        <v>889</v>
      </c>
      <c r="M1192" t="s">
        <v>903</v>
      </c>
      <c r="N1192" t="s">
        <v>875</v>
      </c>
      <c r="O1192" s="9">
        <v>45717</v>
      </c>
      <c r="P1192" t="s">
        <v>877</v>
      </c>
      <c r="Q1192">
        <v>400000</v>
      </c>
      <c r="R1192" t="s">
        <v>834</v>
      </c>
      <c r="S1192" t="s">
        <v>727</v>
      </c>
      <c r="T1192" t="s">
        <v>728</v>
      </c>
      <c r="U1192" t="s">
        <v>269</v>
      </c>
      <c r="V1192" t="s">
        <v>7</v>
      </c>
      <c r="W1192" t="s">
        <v>8</v>
      </c>
      <c r="X1192" t="s">
        <v>9</v>
      </c>
    </row>
    <row r="1193" spans="1:24">
      <c r="A1193" t="s">
        <v>2088</v>
      </c>
      <c r="B1193" s="8">
        <v>45725</v>
      </c>
      <c r="C1193" t="s">
        <v>460</v>
      </c>
      <c r="D1193" t="s">
        <v>765</v>
      </c>
      <c r="E1193">
        <v>1</v>
      </c>
      <c r="F1193">
        <v>500000</v>
      </c>
      <c r="G1193">
        <v>500000</v>
      </c>
      <c r="H1193" t="s">
        <v>886</v>
      </c>
      <c r="I1193">
        <v>50000</v>
      </c>
      <c r="J1193">
        <v>25000</v>
      </c>
      <c r="K1193">
        <v>475000</v>
      </c>
      <c r="L1193" t="s">
        <v>884</v>
      </c>
      <c r="M1193" t="s">
        <v>901</v>
      </c>
      <c r="N1193" t="s">
        <v>875</v>
      </c>
      <c r="O1193" s="9">
        <v>45717</v>
      </c>
      <c r="P1193" t="s">
        <v>877</v>
      </c>
      <c r="Q1193">
        <v>450000</v>
      </c>
      <c r="R1193" t="s">
        <v>766</v>
      </c>
      <c r="S1193" t="s">
        <v>735</v>
      </c>
      <c r="T1193" t="s">
        <v>736</v>
      </c>
      <c r="U1193" t="s">
        <v>461</v>
      </c>
      <c r="V1193" t="s">
        <v>23</v>
      </c>
      <c r="W1193" t="s">
        <v>51</v>
      </c>
      <c r="X1193" t="s">
        <v>9</v>
      </c>
    </row>
    <row r="1194" spans="1:24">
      <c r="A1194" t="s">
        <v>2089</v>
      </c>
      <c r="B1194" s="8">
        <v>45734</v>
      </c>
      <c r="C1194" t="s">
        <v>288</v>
      </c>
      <c r="D1194" t="s">
        <v>751</v>
      </c>
      <c r="E1194">
        <v>2</v>
      </c>
      <c r="F1194">
        <v>150000</v>
      </c>
      <c r="G1194">
        <v>300000</v>
      </c>
      <c r="H1194" t="s">
        <v>886</v>
      </c>
      <c r="I1194">
        <v>30000</v>
      </c>
      <c r="J1194">
        <v>20000</v>
      </c>
      <c r="K1194">
        <v>290000</v>
      </c>
      <c r="L1194" t="s">
        <v>873</v>
      </c>
      <c r="M1194" t="s">
        <v>874</v>
      </c>
      <c r="N1194" t="s">
        <v>875</v>
      </c>
      <c r="O1194" s="9">
        <v>45717</v>
      </c>
      <c r="P1194" t="s">
        <v>877</v>
      </c>
      <c r="Q1194">
        <v>270000</v>
      </c>
      <c r="R1194" t="s">
        <v>752</v>
      </c>
      <c r="S1194" t="s">
        <v>731</v>
      </c>
      <c r="T1194" t="s">
        <v>732</v>
      </c>
      <c r="U1194" t="s">
        <v>289</v>
      </c>
      <c r="V1194" t="s">
        <v>7</v>
      </c>
      <c r="W1194" t="s">
        <v>56</v>
      </c>
      <c r="X1194" t="s">
        <v>9</v>
      </c>
    </row>
    <row r="1195" spans="1:24">
      <c r="A1195" t="s">
        <v>2090</v>
      </c>
      <c r="B1195" s="8">
        <v>45688</v>
      </c>
      <c r="C1195" t="s">
        <v>530</v>
      </c>
      <c r="D1195" t="s">
        <v>759</v>
      </c>
      <c r="E1195">
        <v>2</v>
      </c>
      <c r="F1195">
        <v>300000</v>
      </c>
      <c r="G1195">
        <v>600000</v>
      </c>
      <c r="H1195" t="s">
        <v>883</v>
      </c>
      <c r="I1195">
        <v>60000</v>
      </c>
      <c r="J1195">
        <v>10000</v>
      </c>
      <c r="K1195">
        <v>550000</v>
      </c>
      <c r="L1195" t="s">
        <v>880</v>
      </c>
      <c r="M1195" t="s">
        <v>874</v>
      </c>
      <c r="N1195" t="s">
        <v>890</v>
      </c>
      <c r="O1195" s="9">
        <v>45658</v>
      </c>
      <c r="P1195" t="s">
        <v>892</v>
      </c>
      <c r="Q1195">
        <v>540000</v>
      </c>
      <c r="R1195" t="s">
        <v>760</v>
      </c>
      <c r="S1195" t="s">
        <v>747</v>
      </c>
      <c r="T1195" t="s">
        <v>748</v>
      </c>
      <c r="U1195" t="s">
        <v>531</v>
      </c>
      <c r="V1195" t="s">
        <v>23</v>
      </c>
      <c r="W1195" t="s">
        <v>8</v>
      </c>
      <c r="X1195" t="s">
        <v>9</v>
      </c>
    </row>
    <row r="1196" spans="1:24">
      <c r="A1196" t="s">
        <v>2091</v>
      </c>
      <c r="B1196" s="8">
        <v>45820</v>
      </c>
      <c r="C1196" t="s">
        <v>376</v>
      </c>
      <c r="D1196" t="s">
        <v>737</v>
      </c>
      <c r="E1196">
        <v>4</v>
      </c>
      <c r="F1196">
        <v>300000</v>
      </c>
      <c r="G1196">
        <v>1200000</v>
      </c>
      <c r="H1196" t="s">
        <v>872</v>
      </c>
      <c r="I1196">
        <v>0</v>
      </c>
      <c r="J1196">
        <v>10000</v>
      </c>
      <c r="K1196">
        <v>1210000</v>
      </c>
      <c r="L1196" t="s">
        <v>889</v>
      </c>
      <c r="M1196" t="s">
        <v>901</v>
      </c>
      <c r="N1196" t="s">
        <v>875</v>
      </c>
      <c r="O1196" s="9">
        <v>45809</v>
      </c>
      <c r="P1196" t="s">
        <v>877</v>
      </c>
      <c r="Q1196">
        <v>1200000</v>
      </c>
      <c r="R1196" t="s">
        <v>738</v>
      </c>
      <c r="S1196" t="s">
        <v>739</v>
      </c>
      <c r="T1196" t="s">
        <v>740</v>
      </c>
      <c r="U1196" t="s">
        <v>377</v>
      </c>
      <c r="V1196" t="s">
        <v>7</v>
      </c>
      <c r="W1196" t="s">
        <v>8</v>
      </c>
      <c r="X1196" t="s">
        <v>9</v>
      </c>
    </row>
    <row r="1197" spans="1:24">
      <c r="A1197" t="s">
        <v>2092</v>
      </c>
      <c r="B1197" s="8">
        <v>45825</v>
      </c>
      <c r="C1197" t="s">
        <v>378</v>
      </c>
      <c r="D1197" t="s">
        <v>851</v>
      </c>
      <c r="E1197">
        <v>2</v>
      </c>
      <c r="F1197">
        <v>35000</v>
      </c>
      <c r="G1197">
        <v>70000</v>
      </c>
      <c r="H1197" t="s">
        <v>872</v>
      </c>
      <c r="I1197">
        <v>0</v>
      </c>
      <c r="J1197">
        <v>15000</v>
      </c>
      <c r="K1197">
        <v>85000</v>
      </c>
      <c r="L1197" t="s">
        <v>884</v>
      </c>
      <c r="M1197" t="s">
        <v>901</v>
      </c>
      <c r="N1197" t="s">
        <v>875</v>
      </c>
      <c r="O1197" s="9">
        <v>45809</v>
      </c>
      <c r="P1197" t="s">
        <v>877</v>
      </c>
      <c r="Q1197">
        <v>70000</v>
      </c>
      <c r="R1197" t="s">
        <v>852</v>
      </c>
      <c r="S1197" t="s">
        <v>739</v>
      </c>
      <c r="T1197" t="s">
        <v>740</v>
      </c>
      <c r="U1197" t="s">
        <v>379</v>
      </c>
      <c r="V1197" t="s">
        <v>23</v>
      </c>
      <c r="W1197" t="s">
        <v>137</v>
      </c>
      <c r="X1197" t="s">
        <v>9</v>
      </c>
    </row>
    <row r="1198" spans="1:24">
      <c r="A1198" t="s">
        <v>2093</v>
      </c>
      <c r="B1198" s="8">
        <v>45727</v>
      </c>
      <c r="C1198" t="s">
        <v>49</v>
      </c>
      <c r="D1198" t="s">
        <v>831</v>
      </c>
      <c r="E1198">
        <v>1</v>
      </c>
      <c r="F1198">
        <v>300000</v>
      </c>
      <c r="G1198">
        <v>300000</v>
      </c>
      <c r="H1198" t="s">
        <v>886</v>
      </c>
      <c r="I1198">
        <v>30000</v>
      </c>
      <c r="J1198">
        <v>10000</v>
      </c>
      <c r="K1198">
        <v>280000</v>
      </c>
      <c r="L1198" t="s">
        <v>889</v>
      </c>
      <c r="M1198" t="s">
        <v>901</v>
      </c>
      <c r="N1198" t="s">
        <v>875</v>
      </c>
      <c r="O1198" s="9">
        <v>45717</v>
      </c>
      <c r="P1198" t="s">
        <v>877</v>
      </c>
      <c r="Q1198">
        <v>270000</v>
      </c>
      <c r="R1198" t="s">
        <v>832</v>
      </c>
      <c r="S1198" t="s">
        <v>747</v>
      </c>
      <c r="T1198" t="s">
        <v>748</v>
      </c>
      <c r="U1198" t="s">
        <v>50</v>
      </c>
      <c r="V1198" t="s">
        <v>23</v>
      </c>
      <c r="W1198" t="s">
        <v>51</v>
      </c>
      <c r="X1198" t="s">
        <v>9</v>
      </c>
    </row>
    <row r="1199" spans="1:24">
      <c r="A1199" t="s">
        <v>2094</v>
      </c>
      <c r="B1199" s="8">
        <v>45714</v>
      </c>
      <c r="C1199" t="s">
        <v>184</v>
      </c>
      <c r="D1199" t="s">
        <v>801</v>
      </c>
      <c r="E1199">
        <v>1</v>
      </c>
      <c r="F1199">
        <v>100000</v>
      </c>
      <c r="G1199">
        <v>100000</v>
      </c>
      <c r="H1199" t="s">
        <v>886</v>
      </c>
      <c r="I1199">
        <v>10000</v>
      </c>
      <c r="J1199">
        <v>20000</v>
      </c>
      <c r="K1199">
        <v>110000</v>
      </c>
      <c r="L1199" t="s">
        <v>889</v>
      </c>
      <c r="M1199" t="s">
        <v>881</v>
      </c>
      <c r="N1199" t="s">
        <v>875</v>
      </c>
      <c r="O1199" s="9">
        <v>45689</v>
      </c>
      <c r="P1199" t="s">
        <v>877</v>
      </c>
      <c r="Q1199">
        <v>90000</v>
      </c>
      <c r="R1199" t="s">
        <v>802</v>
      </c>
      <c r="S1199" t="s">
        <v>735</v>
      </c>
      <c r="T1199" t="s">
        <v>736</v>
      </c>
      <c r="U1199" t="s">
        <v>185</v>
      </c>
      <c r="V1199" t="s">
        <v>23</v>
      </c>
      <c r="W1199" t="s">
        <v>12</v>
      </c>
      <c r="X1199" t="s">
        <v>15</v>
      </c>
    </row>
    <row r="1200" spans="1:24">
      <c r="A1200" t="s">
        <v>2095</v>
      </c>
      <c r="B1200" s="8">
        <v>45808</v>
      </c>
      <c r="C1200" t="s">
        <v>294</v>
      </c>
      <c r="D1200" t="s">
        <v>837</v>
      </c>
      <c r="E1200">
        <v>1</v>
      </c>
      <c r="F1200">
        <v>300000</v>
      </c>
      <c r="G1200">
        <v>300000</v>
      </c>
      <c r="H1200" t="s">
        <v>872</v>
      </c>
      <c r="I1200">
        <v>0</v>
      </c>
      <c r="J1200">
        <v>20000</v>
      </c>
      <c r="K1200">
        <v>320000</v>
      </c>
      <c r="L1200" t="s">
        <v>884</v>
      </c>
      <c r="M1200" t="s">
        <v>874</v>
      </c>
      <c r="N1200" t="s">
        <v>905</v>
      </c>
      <c r="O1200" s="9">
        <v>45778</v>
      </c>
      <c r="P1200" t="s">
        <v>892</v>
      </c>
      <c r="Q1200">
        <v>300000</v>
      </c>
      <c r="R1200" t="s">
        <v>838</v>
      </c>
      <c r="S1200" t="s">
        <v>735</v>
      </c>
      <c r="T1200" t="s">
        <v>736</v>
      </c>
      <c r="U1200" t="s">
        <v>295</v>
      </c>
      <c r="V1200" t="s">
        <v>23</v>
      </c>
      <c r="W1200" t="s">
        <v>39</v>
      </c>
      <c r="X1200" t="s">
        <v>9</v>
      </c>
    </row>
    <row r="1201" spans="1:24">
      <c r="A1201" t="s">
        <v>2096</v>
      </c>
      <c r="B1201" s="8">
        <v>45714</v>
      </c>
      <c r="C1201" t="s">
        <v>470</v>
      </c>
      <c r="D1201" t="s">
        <v>737</v>
      </c>
      <c r="E1201">
        <v>3</v>
      </c>
      <c r="F1201">
        <v>300000</v>
      </c>
      <c r="G1201">
        <v>900000</v>
      </c>
      <c r="H1201" t="s">
        <v>872</v>
      </c>
      <c r="I1201">
        <v>0</v>
      </c>
      <c r="J1201">
        <v>15000</v>
      </c>
      <c r="K1201">
        <v>915000</v>
      </c>
      <c r="L1201" t="s">
        <v>889</v>
      </c>
      <c r="M1201" t="s">
        <v>881</v>
      </c>
      <c r="N1201" t="s">
        <v>875</v>
      </c>
      <c r="O1201" s="9">
        <v>45689</v>
      </c>
      <c r="P1201" t="s">
        <v>877</v>
      </c>
      <c r="Q1201">
        <v>900000</v>
      </c>
      <c r="R1201" t="s">
        <v>738</v>
      </c>
      <c r="S1201" t="s">
        <v>739</v>
      </c>
      <c r="T1201" t="s">
        <v>740</v>
      </c>
      <c r="U1201" t="s">
        <v>471</v>
      </c>
      <c r="V1201" t="s">
        <v>7</v>
      </c>
      <c r="W1201" t="s">
        <v>36</v>
      </c>
      <c r="X1201"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D3AF-3EDF-424C-98EA-57666618F476}">
  <dimension ref="B1:P32"/>
  <sheetViews>
    <sheetView workbookViewId="0">
      <selection activeCell="D4" sqref="D4"/>
    </sheetView>
  </sheetViews>
  <sheetFormatPr defaultRowHeight="14.4"/>
  <cols>
    <col min="2" max="2" width="12.5546875" bestFit="1" customWidth="1"/>
    <col min="3" max="3" width="16" bestFit="1" customWidth="1"/>
    <col min="4" max="5" width="17.44140625" bestFit="1" customWidth="1"/>
    <col min="6" max="6" width="19.21875" bestFit="1" customWidth="1"/>
    <col min="7" max="8" width="17.44140625" bestFit="1" customWidth="1"/>
    <col min="9" max="9" width="15" bestFit="1" customWidth="1"/>
    <col min="10" max="10" width="12.5546875" bestFit="1" customWidth="1"/>
    <col min="11" max="11" width="18.44140625" bestFit="1" customWidth="1"/>
    <col min="12" max="12" width="16" bestFit="1" customWidth="1"/>
    <col min="13" max="13" width="7.77734375" bestFit="1" customWidth="1"/>
    <col min="14" max="14" width="17.44140625" bestFit="1" customWidth="1"/>
  </cols>
  <sheetData>
    <row r="1" spans="2:13">
      <c r="B1" s="59" t="s">
        <v>2122</v>
      </c>
      <c r="C1" s="60">
        <f>MIN(clean[order_date])</f>
        <v>45658</v>
      </c>
    </row>
    <row r="2" spans="2:13">
      <c r="B2" s="59" t="s">
        <v>2123</v>
      </c>
      <c r="C2" s="60">
        <f>MAX(clean[order_date])</f>
        <v>45838</v>
      </c>
    </row>
    <row r="5" spans="2:13">
      <c r="B5" s="66" t="s">
        <v>2139</v>
      </c>
      <c r="C5" s="66"/>
      <c r="D5" s="66"/>
      <c r="E5" s="66"/>
      <c r="F5" s="66"/>
      <c r="G5" s="66"/>
      <c r="H5" s="66"/>
      <c r="I5" s="66"/>
      <c r="K5" s="66" t="s">
        <v>2158</v>
      </c>
      <c r="L5" s="66"/>
      <c r="M5" s="66"/>
    </row>
    <row r="7" spans="2:13">
      <c r="B7" s="61" t="s">
        <v>2124</v>
      </c>
      <c r="C7" t="s">
        <v>2132</v>
      </c>
      <c r="D7" t="s">
        <v>2133</v>
      </c>
      <c r="E7" t="s">
        <v>2134</v>
      </c>
      <c r="F7" t="s">
        <v>2135</v>
      </c>
      <c r="G7" t="s">
        <v>2136</v>
      </c>
      <c r="H7" t="s">
        <v>2137</v>
      </c>
      <c r="I7" s="65" t="s">
        <v>2138</v>
      </c>
      <c r="K7" s="61" t="s">
        <v>2140</v>
      </c>
      <c r="L7" t="s">
        <v>2132</v>
      </c>
      <c r="M7" s="65" t="s">
        <v>2157</v>
      </c>
    </row>
    <row r="8" spans="2:13">
      <c r="B8" s="62" t="s">
        <v>2126</v>
      </c>
      <c r="C8">
        <v>216</v>
      </c>
      <c r="D8">
        <v>421</v>
      </c>
      <c r="E8" s="56">
        <v>83430000</v>
      </c>
      <c r="F8" s="56">
        <v>81608500</v>
      </c>
      <c r="G8" s="56">
        <v>77378500</v>
      </c>
      <c r="H8" s="56">
        <v>47920500</v>
      </c>
      <c r="I8" s="63">
        <v>0</v>
      </c>
      <c r="K8" s="62" t="s">
        <v>911</v>
      </c>
      <c r="L8">
        <v>79</v>
      </c>
      <c r="M8" s="63">
        <f>GETPIVOTDATA("order_id",$K$7,"order_status",K8)/GETPIVOTDATA("Count of order_id",$B$7)</f>
        <v>6.5833333333333327E-2</v>
      </c>
    </row>
    <row r="9" spans="2:13">
      <c r="B9" s="62" t="s">
        <v>2127</v>
      </c>
      <c r="C9">
        <v>171</v>
      </c>
      <c r="D9">
        <v>347</v>
      </c>
      <c r="E9" s="56">
        <v>69485000</v>
      </c>
      <c r="F9" s="56">
        <v>68041750</v>
      </c>
      <c r="G9" s="56">
        <v>64571750</v>
      </c>
      <c r="H9" s="56">
        <v>42315750</v>
      </c>
      <c r="I9" s="63">
        <f>(GETPIVOTDATA("Sum of revenue",$B$7,"Months (month)",B9)-GETPIVOTDATA("Sum of revenue",$B$7,"Months (month)",B8))/GETPIVOTDATA("Sum of revenue",$B$7,"Months (month)",B8)</f>
        <v>-0.11695933890506151</v>
      </c>
      <c r="K9" s="62" t="s">
        <v>875</v>
      </c>
      <c r="L9">
        <v>819</v>
      </c>
      <c r="M9" s="63">
        <f t="shared" ref="M9:M11" si="0">GETPIVOTDATA("order_id",$K$7,"order_status",K9)/GETPIVOTDATA("Count of order_id",$B$7)</f>
        <v>0.6825</v>
      </c>
    </row>
    <row r="10" spans="2:13">
      <c r="B10" s="62" t="s">
        <v>2128</v>
      </c>
      <c r="C10">
        <v>203</v>
      </c>
      <c r="D10">
        <v>394</v>
      </c>
      <c r="E10" s="56">
        <v>89540000</v>
      </c>
      <c r="F10" s="56">
        <v>87402500</v>
      </c>
      <c r="G10" s="56">
        <v>83297500</v>
      </c>
      <c r="H10" s="56">
        <v>59330250</v>
      </c>
      <c r="I10" s="63">
        <f t="shared" ref="I10:I13" si="1">(GETPIVOTDATA("Sum of revenue",$B$7,"Months (month)",B10)-GETPIVOTDATA("Sum of revenue",$B$7,"Months (month)",B9))/GETPIVOTDATA("Sum of revenue",$B$7,"Months (month)",B9)</f>
        <v>0.40208433030254692</v>
      </c>
      <c r="K10" s="62" t="s">
        <v>905</v>
      </c>
      <c r="L10">
        <v>109</v>
      </c>
      <c r="M10" s="63">
        <f t="shared" si="0"/>
        <v>9.0833333333333335E-2</v>
      </c>
    </row>
    <row r="11" spans="2:13">
      <c r="B11" s="62" t="s">
        <v>2129</v>
      </c>
      <c r="C11">
        <v>210</v>
      </c>
      <c r="D11">
        <v>430</v>
      </c>
      <c r="E11" s="56">
        <v>81245000</v>
      </c>
      <c r="F11" s="56">
        <v>79834750</v>
      </c>
      <c r="G11" s="56">
        <v>75629750</v>
      </c>
      <c r="H11" s="56">
        <v>56147000</v>
      </c>
      <c r="I11" s="63">
        <f t="shared" si="1"/>
        <v>-5.365306904993658E-2</v>
      </c>
      <c r="K11" s="62" t="s">
        <v>921</v>
      </c>
      <c r="L11">
        <v>49</v>
      </c>
      <c r="M11" s="63">
        <f t="shared" si="0"/>
        <v>4.0833333333333333E-2</v>
      </c>
    </row>
    <row r="12" spans="2:13">
      <c r="B12" s="62" t="s">
        <v>2130</v>
      </c>
      <c r="C12">
        <v>213</v>
      </c>
      <c r="D12">
        <v>411</v>
      </c>
      <c r="E12" s="56">
        <v>82270000</v>
      </c>
      <c r="F12" s="56">
        <v>80677750</v>
      </c>
      <c r="G12" s="56">
        <v>76462750</v>
      </c>
      <c r="H12" s="56">
        <v>53123000</v>
      </c>
      <c r="I12" s="63">
        <f t="shared" si="1"/>
        <v>-5.3858621119561155E-2</v>
      </c>
      <c r="K12" s="62" t="s">
        <v>890</v>
      </c>
      <c r="L12">
        <v>144</v>
      </c>
      <c r="M12" s="63">
        <f>GETPIVOTDATA("order_id",$K$7,"order_status",K12)/GETPIVOTDATA("Count of order_id",$B$7)</f>
        <v>0.12</v>
      </c>
    </row>
    <row r="13" spans="2:13">
      <c r="B13" s="62" t="s">
        <v>2131</v>
      </c>
      <c r="C13">
        <v>187</v>
      </c>
      <c r="D13">
        <v>365</v>
      </c>
      <c r="E13" s="56">
        <v>70965000</v>
      </c>
      <c r="F13" s="56">
        <v>69804500</v>
      </c>
      <c r="G13" s="56">
        <v>66124500</v>
      </c>
      <c r="H13" s="56">
        <v>40399750</v>
      </c>
      <c r="I13" s="63">
        <f t="shared" si="1"/>
        <v>-0.23950548726540294</v>
      </c>
      <c r="K13" s="62" t="s">
        <v>2125</v>
      </c>
      <c r="L13">
        <v>1200</v>
      </c>
    </row>
    <row r="14" spans="2:13">
      <c r="B14" s="62" t="s">
        <v>2125</v>
      </c>
      <c r="C14">
        <v>1200</v>
      </c>
      <c r="D14">
        <v>2368</v>
      </c>
      <c r="E14" s="56">
        <v>476935000</v>
      </c>
      <c r="F14" s="56">
        <v>467369750</v>
      </c>
      <c r="G14" s="56">
        <v>443464750</v>
      </c>
      <c r="H14" s="56">
        <v>299236250</v>
      </c>
    </row>
    <row r="15" spans="2:13">
      <c r="K15" s="76" t="s">
        <v>2175</v>
      </c>
      <c r="L15">
        <f>GETPIVOTDATA("order_id",$K$7,"order_status","Processing")+GETPIVOTDATA("order_id",$K$7,"order_status","Shipped")</f>
        <v>253</v>
      </c>
      <c r="M15" s="63">
        <f>L15/GETPIVOTDATA("order_id",$K$7)</f>
        <v>0.21083333333333334</v>
      </c>
    </row>
    <row r="16" spans="2:13">
      <c r="B16" s="66" t="s">
        <v>2155</v>
      </c>
      <c r="C16" s="66"/>
      <c r="D16" s="66"/>
      <c r="E16" s="66"/>
      <c r="G16" t="s">
        <v>2156</v>
      </c>
      <c r="K16" s="76" t="s">
        <v>2173</v>
      </c>
      <c r="L16">
        <f>GETPIVOTDATA("order_id",$K$7,"order_status","Cancelled")+GETPIVOTDATA("order_id",$K$7,"order_status","Returned")</f>
        <v>128</v>
      </c>
      <c r="M16" s="63">
        <f>L16/GETPIVOTDATA("order_id",$K$7)</f>
        <v>0.10666666666666667</v>
      </c>
    </row>
    <row r="17" spans="2:16">
      <c r="L17">
        <f>L15+L16</f>
        <v>381</v>
      </c>
      <c r="M17" s="63">
        <f>L17/GETPIVOTDATA("order_id",$K$7)</f>
        <v>0.3175</v>
      </c>
    </row>
    <row r="18" spans="2:16">
      <c r="B18" s="61" t="s">
        <v>2124</v>
      </c>
      <c r="C18" t="s">
        <v>2132</v>
      </c>
      <c r="D18" t="s">
        <v>2137</v>
      </c>
      <c r="E18" s="65" t="s">
        <v>2174</v>
      </c>
      <c r="G18" s="65" t="s">
        <v>2149</v>
      </c>
      <c r="H18">
        <f>GETPIVOTDATA("Count of order_id",$B$7)</f>
        <v>1200</v>
      </c>
    </row>
    <row r="19" spans="2:16">
      <c r="B19" s="62" t="s">
        <v>56</v>
      </c>
      <c r="C19" s="75">
        <v>127</v>
      </c>
      <c r="D19" s="56">
        <v>42270250</v>
      </c>
      <c r="E19" s="64">
        <f>GETPIVOTDATA("Sum of revenue",$B$18,"city",B19)/GETPIVOTDATA("Count of order_id",$B$18,"city",B19)</f>
        <v>332836.61417322833</v>
      </c>
      <c r="G19" s="65" t="s">
        <v>2150</v>
      </c>
      <c r="H19">
        <f>GETPIVOTDATA("Sum of quantity",$B$7)</f>
        <v>2368</v>
      </c>
    </row>
    <row r="20" spans="2:16">
      <c r="B20" s="62" t="s">
        <v>137</v>
      </c>
      <c r="C20" s="75">
        <v>159</v>
      </c>
      <c r="D20" s="56">
        <v>38708000</v>
      </c>
      <c r="E20" s="64">
        <f t="shared" ref="E20:E28" si="2">GETPIVOTDATA("Sum of revenue",$B$18,"city",B20)/GETPIVOTDATA("Count of order_id",$B$18,"city",B20)</f>
        <v>243446.54088050313</v>
      </c>
      <c r="G20" s="65" t="s">
        <v>2151</v>
      </c>
      <c r="H20" s="64">
        <f>GETPIVOTDATA("Sum of gross_sales",$B$7)</f>
        <v>476935000</v>
      </c>
      <c r="J20" s="65" t="s">
        <v>2177</v>
      </c>
    </row>
    <row r="21" spans="2:16">
      <c r="B21" s="62" t="s">
        <v>46</v>
      </c>
      <c r="C21" s="75">
        <v>147</v>
      </c>
      <c r="D21" s="56">
        <v>38575000</v>
      </c>
      <c r="E21" s="64">
        <f t="shared" si="2"/>
        <v>262414.96598639456</v>
      </c>
      <c r="G21" s="65" t="s">
        <v>2152</v>
      </c>
      <c r="H21" s="64">
        <f>GETPIVOTDATA("Sum of total_amount",$B$7)</f>
        <v>467369750</v>
      </c>
      <c r="J21" s="81" t="s">
        <v>2176</v>
      </c>
      <c r="K21" s="82"/>
      <c r="L21" s="82"/>
      <c r="M21" s="82"/>
      <c r="N21" s="82"/>
      <c r="O21" s="82"/>
      <c r="P21" s="82"/>
    </row>
    <row r="22" spans="2:16">
      <c r="B22" s="62" t="s">
        <v>36</v>
      </c>
      <c r="C22" s="75">
        <v>120</v>
      </c>
      <c r="D22" s="56">
        <v>38030500</v>
      </c>
      <c r="E22" s="64">
        <f t="shared" si="2"/>
        <v>316920.83333333331</v>
      </c>
      <c r="G22" s="65" t="s">
        <v>2153</v>
      </c>
      <c r="H22" s="64">
        <f>GETPIVOTDATA("Sum of net_sales",$B$7)</f>
        <v>443464750</v>
      </c>
      <c r="J22" s="82"/>
      <c r="K22" s="82"/>
      <c r="L22" s="82"/>
      <c r="M22" s="82"/>
      <c r="N22" s="82"/>
      <c r="O22" s="82"/>
      <c r="P22" s="82"/>
    </row>
    <row r="23" spans="2:16">
      <c r="B23" s="62" t="s">
        <v>39</v>
      </c>
      <c r="C23" s="75">
        <v>161</v>
      </c>
      <c r="D23" s="56">
        <v>32218750</v>
      </c>
      <c r="E23" s="64">
        <f t="shared" si="2"/>
        <v>200116.4596273292</v>
      </c>
      <c r="G23" s="65" t="s">
        <v>2154</v>
      </c>
      <c r="H23" s="64">
        <f>GETPIVOTDATA("Sum of revenue",$B$7)</f>
        <v>299236250</v>
      </c>
      <c r="J23" s="82"/>
      <c r="K23" s="82"/>
      <c r="L23" s="82"/>
      <c r="M23" s="82"/>
      <c r="N23" s="82"/>
      <c r="O23" s="82"/>
      <c r="P23" s="82"/>
    </row>
    <row r="24" spans="2:16">
      <c r="B24" s="62" t="s">
        <v>8</v>
      </c>
      <c r="C24" s="75">
        <v>141</v>
      </c>
      <c r="D24" s="56">
        <v>25736750</v>
      </c>
      <c r="E24" s="64">
        <f t="shared" si="2"/>
        <v>182530.14184397162</v>
      </c>
      <c r="G24" s="65" t="s">
        <v>2148</v>
      </c>
      <c r="H24" s="64">
        <f>GETPIVOTDATA("Sum of revenue",$B$7)/GETPIVOTDATA("Count of order_id",$B$7)</f>
        <v>249363.54166666666</v>
      </c>
      <c r="J24" s="82"/>
      <c r="K24" s="82"/>
      <c r="L24" s="82"/>
      <c r="M24" s="82"/>
      <c r="N24" s="82"/>
      <c r="O24" s="82"/>
      <c r="P24" s="82"/>
    </row>
    <row r="25" spans="2:16">
      <c r="B25" s="62" t="s">
        <v>12</v>
      </c>
      <c r="C25" s="75">
        <v>96</v>
      </c>
      <c r="D25" s="56">
        <v>23666750</v>
      </c>
      <c r="E25" s="64">
        <f t="shared" si="2"/>
        <v>246528.64583333334</v>
      </c>
      <c r="G25" s="65" t="s">
        <v>2168</v>
      </c>
      <c r="H25" s="63">
        <f>GETPIVOTDATA("order_id",$K$7,"order_status",K9)/GETPIVOTDATA("Count of order_id",$B$7)</f>
        <v>0.6825</v>
      </c>
      <c r="J25" s="82"/>
      <c r="K25" s="82"/>
      <c r="L25" s="82"/>
      <c r="M25" s="82"/>
      <c r="N25" s="82"/>
      <c r="O25" s="82"/>
      <c r="P25" s="82"/>
    </row>
    <row r="26" spans="2:16">
      <c r="B26" s="62" t="s">
        <v>20</v>
      </c>
      <c r="C26" s="75">
        <v>80</v>
      </c>
      <c r="D26" s="56">
        <v>22599000</v>
      </c>
      <c r="E26" s="64">
        <f t="shared" si="2"/>
        <v>282487.5</v>
      </c>
      <c r="J26" s="82"/>
      <c r="K26" s="82"/>
      <c r="L26" s="82"/>
      <c r="M26" s="82"/>
      <c r="N26" s="82"/>
      <c r="O26" s="82"/>
      <c r="P26" s="82"/>
    </row>
    <row r="27" spans="2:16">
      <c r="B27" s="62" t="s">
        <v>29</v>
      </c>
      <c r="C27" s="75">
        <v>93</v>
      </c>
      <c r="D27" s="56">
        <v>20798000</v>
      </c>
      <c r="E27" s="64">
        <f t="shared" si="2"/>
        <v>223634.40860215054</v>
      </c>
      <c r="J27" s="82"/>
      <c r="K27" s="82"/>
      <c r="L27" s="82"/>
      <c r="M27" s="82"/>
      <c r="N27" s="82"/>
      <c r="O27" s="82"/>
      <c r="P27" s="82"/>
    </row>
    <row r="28" spans="2:16">
      <c r="B28" s="62" t="s">
        <v>51</v>
      </c>
      <c r="C28" s="75">
        <v>76</v>
      </c>
      <c r="D28" s="56">
        <v>16633250</v>
      </c>
      <c r="E28" s="64">
        <f t="shared" si="2"/>
        <v>218858.55263157896</v>
      </c>
      <c r="J28" s="82"/>
      <c r="K28" s="82"/>
      <c r="L28" s="82"/>
      <c r="M28" s="82"/>
      <c r="N28" s="82"/>
      <c r="O28" s="82"/>
      <c r="P28" s="82"/>
    </row>
    <row r="29" spans="2:16">
      <c r="B29" s="62" t="s">
        <v>2125</v>
      </c>
      <c r="C29" s="75">
        <v>1200</v>
      </c>
      <c r="D29" s="56">
        <v>299236250</v>
      </c>
      <c r="J29" s="82"/>
      <c r="K29" s="82"/>
      <c r="L29" s="82"/>
      <c r="M29" s="82"/>
      <c r="N29" s="82"/>
      <c r="O29" s="82"/>
      <c r="P29" s="82"/>
    </row>
    <row r="30" spans="2:16">
      <c r="J30" s="82"/>
      <c r="K30" s="82"/>
      <c r="L30" s="82"/>
      <c r="M30" s="82"/>
      <c r="N30" s="82"/>
      <c r="O30" s="82"/>
      <c r="P30" s="82"/>
    </row>
    <row r="31" spans="2:16">
      <c r="J31" s="82"/>
      <c r="K31" s="82"/>
      <c r="L31" s="82"/>
      <c r="M31" s="82"/>
      <c r="N31" s="82"/>
      <c r="O31" s="82"/>
      <c r="P31" s="82"/>
    </row>
    <row r="32" spans="2:16">
      <c r="J32" s="82"/>
      <c r="K32" s="82"/>
      <c r="L32" s="82"/>
      <c r="M32" s="82"/>
      <c r="N32" s="82"/>
      <c r="O32" s="82"/>
      <c r="P32" s="82"/>
    </row>
  </sheetData>
  <mergeCells count="4">
    <mergeCell ref="B5:I5"/>
    <mergeCell ref="B16:E16"/>
    <mergeCell ref="K5:M5"/>
    <mergeCell ref="J21:P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85BF-627D-45D1-B137-62F97DE5D333}">
  <dimension ref="B1:S34"/>
  <sheetViews>
    <sheetView workbookViewId="0">
      <selection activeCell="L23" sqref="L23"/>
    </sheetView>
  </sheetViews>
  <sheetFormatPr defaultRowHeight="14.4"/>
  <cols>
    <col min="2" max="2" width="12.5546875" bestFit="1" customWidth="1"/>
    <col min="3" max="3" width="16" bestFit="1" customWidth="1"/>
    <col min="4" max="4" width="14.6640625" bestFit="1" customWidth="1"/>
    <col min="5" max="5" width="17.44140625" bestFit="1" customWidth="1"/>
    <col min="6" max="6" width="33.33203125" bestFit="1" customWidth="1"/>
    <col min="7" max="7" width="14.6640625" bestFit="1" customWidth="1"/>
    <col min="8" max="8" width="19" bestFit="1" customWidth="1"/>
    <col min="9" max="9" width="14.6640625" bestFit="1" customWidth="1"/>
    <col min="10" max="10" width="33.33203125" bestFit="1" customWidth="1"/>
    <col min="11" max="11" width="17.44140625" bestFit="1" customWidth="1"/>
    <col min="12" max="12" width="19" bestFit="1" customWidth="1"/>
  </cols>
  <sheetData>
    <row r="1" spans="2:14">
      <c r="B1" s="59" t="s">
        <v>2122</v>
      </c>
      <c r="C1" s="60">
        <f>MIN(clean[order_date])</f>
        <v>45658</v>
      </c>
    </row>
    <row r="2" spans="2:14">
      <c r="B2" s="59" t="s">
        <v>2123</v>
      </c>
      <c r="C2" s="60">
        <f>MAX(clean[order_date])</f>
        <v>45838</v>
      </c>
    </row>
    <row r="4" spans="2:14">
      <c r="B4" t="s">
        <v>2169</v>
      </c>
      <c r="C4">
        <f>GETPIVOTDATA("Count of order_id",sales_performance!$B$7)</f>
        <v>1200</v>
      </c>
    </row>
    <row r="5" spans="2:14">
      <c r="B5" s="66" t="s">
        <v>2161</v>
      </c>
      <c r="C5" s="66"/>
      <c r="D5" s="66"/>
      <c r="F5" s="66" t="s">
        <v>2162</v>
      </c>
      <c r="G5" s="66"/>
      <c r="H5" s="66"/>
      <c r="J5" s="66" t="s">
        <v>2163</v>
      </c>
      <c r="K5" s="66"/>
      <c r="L5" s="66"/>
    </row>
    <row r="7" spans="2:14">
      <c r="B7" s="61" t="s">
        <v>2124</v>
      </c>
      <c r="C7" t="s">
        <v>2132</v>
      </c>
      <c r="D7" s="65" t="s">
        <v>2164</v>
      </c>
      <c r="F7" s="61" t="s">
        <v>2124</v>
      </c>
      <c r="G7" t="s">
        <v>2133</v>
      </c>
      <c r="H7" s="65" t="s">
        <v>2164</v>
      </c>
      <c r="J7" s="61" t="s">
        <v>2124</v>
      </c>
      <c r="K7" t="s">
        <v>2137</v>
      </c>
      <c r="L7" s="65" t="s">
        <v>2164</v>
      </c>
    </row>
    <row r="8" spans="2:14">
      <c r="B8" s="62" t="s">
        <v>846</v>
      </c>
      <c r="C8" s="75">
        <v>31</v>
      </c>
      <c r="D8" s="63">
        <f>GETPIVOTDATA("order_id",B7,"product_name",B8)/GETPIVOTDATA("Count of order_id",sales_performance!$B$7)</f>
        <v>2.5833333333333333E-2</v>
      </c>
      <c r="F8" s="62" t="s">
        <v>846</v>
      </c>
      <c r="G8" s="75">
        <v>63</v>
      </c>
      <c r="H8" s="63">
        <f>GETPIVOTDATA("quantity",F7,"product_name",F8)/GETPIVOTDATA("Sum of quantity",sales_performance!$B$7)</f>
        <v>2.6604729729729729E-2</v>
      </c>
      <c r="J8" s="62" t="s">
        <v>766</v>
      </c>
      <c r="K8" s="56">
        <v>16675000</v>
      </c>
      <c r="L8" s="63">
        <f>GETPIVOTDATA("revenue",J7,"product_name",J8)/GETPIVOTDATA("Sum of revenue",sales_performance!$B$7)</f>
        <v>5.5725200406033695E-2</v>
      </c>
    </row>
    <row r="9" spans="2:14">
      <c r="B9" s="62" t="s">
        <v>752</v>
      </c>
      <c r="C9" s="75">
        <v>30</v>
      </c>
      <c r="D9" s="63">
        <f>GETPIVOTDATA("order_id",B8,"product_name",B9)/GETPIVOTDATA("Count of order_id",sales_performance!$B$7)</f>
        <v>2.5000000000000001E-2</v>
      </c>
      <c r="F9" s="62" t="s">
        <v>738</v>
      </c>
      <c r="G9" s="75">
        <v>56</v>
      </c>
      <c r="H9" s="63">
        <f>GETPIVOTDATA("quantity",F8,"product_name",F9)/GETPIVOTDATA("Sum of quantity",sales_performance!$B$7)</f>
        <v>2.364864864864865E-2</v>
      </c>
      <c r="J9" s="62" t="s">
        <v>772</v>
      </c>
      <c r="K9" s="56">
        <v>16450000</v>
      </c>
      <c r="L9" s="63">
        <f>GETPIVOTDATA("revenue",J8,"product_name",J9)/GETPIVOTDATA("Sum of revenue",sales_performance!$B$7)</f>
        <v>5.4973286157676417E-2</v>
      </c>
    </row>
    <row r="10" spans="2:14">
      <c r="B10" s="62" t="s">
        <v>762</v>
      </c>
      <c r="C10" s="75">
        <v>27</v>
      </c>
      <c r="D10" s="63">
        <f>GETPIVOTDATA("order_id",B9,"product_name",B10)/GETPIVOTDATA("Count of order_id",sales_performance!$B$7)</f>
        <v>2.2499999999999999E-2</v>
      </c>
      <c r="F10" s="62" t="s">
        <v>772</v>
      </c>
      <c r="G10" s="75">
        <v>56</v>
      </c>
      <c r="H10" s="63">
        <f>GETPIVOTDATA("quantity",F9,"product_name",F10)/GETPIVOTDATA("Sum of quantity",sales_performance!$B$7)</f>
        <v>2.364864864864865E-2</v>
      </c>
      <c r="J10" s="62" t="s">
        <v>830</v>
      </c>
      <c r="K10" s="56">
        <v>14850000</v>
      </c>
      <c r="L10" s="63">
        <f>GETPIVOTDATA("revenue",J9,"product_name",J10)/GETPIVOTDATA("Sum of revenue",sales_performance!$B$7)</f>
        <v>4.9626340391580231E-2</v>
      </c>
      <c r="N10" s="63"/>
    </row>
    <row r="11" spans="2:14">
      <c r="B11" s="62" t="s">
        <v>804</v>
      </c>
      <c r="C11" s="75">
        <v>27</v>
      </c>
      <c r="D11" s="63">
        <f>GETPIVOTDATA("order_id",B10,"product_name",B11)/GETPIVOTDATA("Count of order_id",sales_performance!$B$7)</f>
        <v>2.2499999999999999E-2</v>
      </c>
      <c r="F11" s="62" t="s">
        <v>854</v>
      </c>
      <c r="G11" s="75">
        <v>56</v>
      </c>
      <c r="H11" s="63">
        <f>GETPIVOTDATA("quantity",F10,"product_name",F11)/GETPIVOTDATA("Sum of quantity",sales_performance!$B$7)</f>
        <v>2.364864864864865E-2</v>
      </c>
      <c r="J11" s="62" t="s">
        <v>784</v>
      </c>
      <c r="K11" s="56">
        <v>13850000</v>
      </c>
      <c r="L11" s="63">
        <f>GETPIVOTDATA("revenue",J10,"product_name",J11)/GETPIVOTDATA("Sum of revenue",sales_performance!$B$7)</f>
        <v>4.6284499287770113E-2</v>
      </c>
    </row>
    <row r="12" spans="2:14">
      <c r="B12" s="62" t="s">
        <v>784</v>
      </c>
      <c r="C12" s="75">
        <v>27</v>
      </c>
      <c r="D12" s="63">
        <f>GETPIVOTDATA("order_id",B11,"product_name",B12)/GETPIVOTDATA("Count of order_id",sales_performance!$B$7)</f>
        <v>2.2499999999999999E-2</v>
      </c>
      <c r="F12" s="62" t="s">
        <v>734</v>
      </c>
      <c r="G12" s="75">
        <v>54</v>
      </c>
      <c r="H12" s="63">
        <f>GETPIVOTDATA("quantity",F11,"product_name",F12)/GETPIVOTDATA("Sum of quantity",sales_performance!$B$7)</f>
        <v>2.2804054054054054E-2</v>
      </c>
      <c r="J12" s="62" t="s">
        <v>774</v>
      </c>
      <c r="K12" s="56">
        <v>12050000</v>
      </c>
      <c r="L12" s="63">
        <f>GETPIVOTDATA("revenue",J11,"product_name",J12)/GETPIVOTDATA("Sum of revenue",sales_performance!$B$7)</f>
        <v>4.0269185300911906E-2</v>
      </c>
    </row>
    <row r="13" spans="2:14">
      <c r="B13" s="62" t="s">
        <v>800</v>
      </c>
      <c r="C13" s="75">
        <v>26</v>
      </c>
      <c r="D13" s="63">
        <f>GETPIVOTDATA("order_id",B12,"product_name",B13)/GETPIVOTDATA("Count of order_id",sales_performance!$B$7)</f>
        <v>2.1666666666666667E-2</v>
      </c>
      <c r="F13" s="62" t="s">
        <v>832</v>
      </c>
      <c r="G13" s="75">
        <v>54</v>
      </c>
      <c r="H13" s="63">
        <f>GETPIVOTDATA("quantity",F12,"product_name",F13)/GETPIVOTDATA("Sum of quantity",sales_performance!$B$7)</f>
        <v>2.2804054054054054E-2</v>
      </c>
      <c r="J13" s="62" t="s">
        <v>794</v>
      </c>
      <c r="K13" s="56">
        <v>11700000</v>
      </c>
      <c r="L13" s="63">
        <f>GETPIVOTDATA("revenue",J12,"product_name",J13)/GETPIVOTDATA("Sum of revenue",sales_performance!$B$7)</f>
        <v>3.9099540914578367E-2</v>
      </c>
    </row>
    <row r="14" spans="2:14">
      <c r="B14" s="62" t="s">
        <v>738</v>
      </c>
      <c r="C14" s="75">
        <v>25</v>
      </c>
      <c r="D14" s="63">
        <f>GETPIVOTDATA("order_id",B13,"product_name",B14)/GETPIVOTDATA("Count of order_id",sales_performance!$B$7)</f>
        <v>2.0833333333333332E-2</v>
      </c>
      <c r="F14" s="62" t="s">
        <v>770</v>
      </c>
      <c r="G14" s="75">
        <v>52</v>
      </c>
      <c r="H14" s="63">
        <f>GETPIVOTDATA("quantity",F13,"product_name",F14)/GETPIVOTDATA("Sum of quantity",sales_performance!$B$7)</f>
        <v>2.1959459459459461E-2</v>
      </c>
      <c r="J14" s="62" t="s">
        <v>846</v>
      </c>
      <c r="K14" s="56">
        <v>11670000</v>
      </c>
      <c r="L14" s="63">
        <f>GETPIVOTDATA("revenue",J13,"product_name",J14)/GETPIVOTDATA("Sum of revenue",sales_performance!$B$7)</f>
        <v>3.899928568146406E-2</v>
      </c>
    </row>
    <row r="15" spans="2:14">
      <c r="B15" s="62" t="s">
        <v>776</v>
      </c>
      <c r="C15" s="75">
        <v>25</v>
      </c>
      <c r="D15" s="63">
        <f>GETPIVOTDATA("order_id",B14,"product_name",B15)/GETPIVOTDATA("Count of order_id",sales_performance!$B$7)</f>
        <v>2.0833333333333332E-2</v>
      </c>
      <c r="F15" s="62" t="s">
        <v>752</v>
      </c>
      <c r="G15" s="75">
        <v>52</v>
      </c>
      <c r="H15" s="63">
        <f>GETPIVOTDATA("quantity",F14,"product_name",F15)/GETPIVOTDATA("Sum of quantity",sales_performance!$B$7)</f>
        <v>2.1959459459459461E-2</v>
      </c>
      <c r="J15" s="62" t="s">
        <v>824</v>
      </c>
      <c r="K15" s="56">
        <v>11625000</v>
      </c>
      <c r="L15" s="63">
        <f>GETPIVOTDATA("revenue",J14,"product_name",J15)/GETPIVOTDATA("Sum of revenue",sales_performance!$B$7)</f>
        <v>3.8848902831792605E-2</v>
      </c>
    </row>
    <row r="16" spans="2:14">
      <c r="B16" s="62" t="s">
        <v>770</v>
      </c>
      <c r="C16" s="75">
        <v>25</v>
      </c>
      <c r="D16" s="63">
        <f>GETPIVOTDATA("order_id",B15,"product_name",B16)/GETPIVOTDATA("Count of order_id",sales_performance!$B$7)</f>
        <v>2.0833333333333332E-2</v>
      </c>
      <c r="F16" s="62" t="s">
        <v>762</v>
      </c>
      <c r="G16" s="75">
        <v>51</v>
      </c>
      <c r="H16" s="63">
        <f>GETPIVOTDATA("quantity",F15,"product_name",F16)/GETPIVOTDATA("Sum of quantity",sales_performance!$B$7)</f>
        <v>2.1537162162162161E-2</v>
      </c>
      <c r="J16" s="62" t="s">
        <v>850</v>
      </c>
      <c r="K16" s="56">
        <v>10975000</v>
      </c>
      <c r="L16" s="63">
        <f>GETPIVOTDATA("revenue",J15,"product_name",J16)/GETPIVOTDATA("Sum of revenue",sales_performance!$B$7)</f>
        <v>3.6676706114316032E-2</v>
      </c>
    </row>
    <row r="17" spans="2:19">
      <c r="B17" s="62" t="s">
        <v>772</v>
      </c>
      <c r="C17" s="75">
        <v>25</v>
      </c>
      <c r="D17" s="63">
        <f>GETPIVOTDATA("order_id",B16,"product_name",B17)/GETPIVOTDATA("Count of order_id",sales_performance!$B$7)</f>
        <v>2.0833333333333332E-2</v>
      </c>
      <c r="F17" s="62" t="s">
        <v>804</v>
      </c>
      <c r="G17" s="75">
        <v>51</v>
      </c>
      <c r="H17" s="63">
        <f>GETPIVOTDATA("quantity",F16,"product_name",F17)/GETPIVOTDATA("Sum of quantity",sales_performance!$B$7)</f>
        <v>2.1537162162162161E-2</v>
      </c>
      <c r="J17" s="62" t="s">
        <v>832</v>
      </c>
      <c r="K17" s="56">
        <v>10815000</v>
      </c>
      <c r="L17" s="63">
        <f>GETPIVOTDATA("revenue",J16,"product_name",J17)/GETPIVOTDATA("Sum of revenue",sales_performance!$B$7)</f>
        <v>3.6142011537706409E-2</v>
      </c>
    </row>
    <row r="18" spans="2:19">
      <c r="B18" s="62" t="s">
        <v>766</v>
      </c>
      <c r="C18" s="75">
        <v>25</v>
      </c>
      <c r="D18" s="63">
        <f>GETPIVOTDATA("order_id",B17,"product_name",B18)/GETPIVOTDATA("Count of order_id",sales_performance!$B$7)</f>
        <v>2.0833333333333332E-2</v>
      </c>
      <c r="F18" s="62" t="s">
        <v>2125</v>
      </c>
      <c r="G18" s="75">
        <v>545</v>
      </c>
      <c r="J18" s="62" t="s">
        <v>2125</v>
      </c>
      <c r="K18" s="56">
        <v>130660000</v>
      </c>
      <c r="L18" s="77">
        <f>GETPIVOTDATA("revenue",$J$7)/GETPIVOTDATA("Sum of revenue",sales_performance!$B$7)</f>
        <v>0.43664495862382985</v>
      </c>
    </row>
    <row r="19" spans="2:19">
      <c r="B19" s="62" t="s">
        <v>2125</v>
      </c>
      <c r="C19" s="75">
        <v>293</v>
      </c>
    </row>
    <row r="21" spans="2:19">
      <c r="B21" s="66" t="s">
        <v>2159</v>
      </c>
      <c r="C21" s="66"/>
      <c r="D21" s="66"/>
      <c r="E21" s="66"/>
      <c r="G21" s="66" t="s">
        <v>2160</v>
      </c>
      <c r="H21" s="66"/>
      <c r="I21" s="66"/>
      <c r="J21" s="66"/>
    </row>
    <row r="23" spans="2:19">
      <c r="B23" s="61" t="s">
        <v>2124</v>
      </c>
      <c r="C23" t="s">
        <v>2132</v>
      </c>
      <c r="D23" t="s">
        <v>2133</v>
      </c>
      <c r="E23" t="s">
        <v>2137</v>
      </c>
      <c r="G23" s="61" t="s">
        <v>2124</v>
      </c>
      <c r="H23" t="s">
        <v>2132</v>
      </c>
      <c r="I23" t="s">
        <v>2133</v>
      </c>
      <c r="J23" t="s">
        <v>2137</v>
      </c>
      <c r="L23" s="65" t="s">
        <v>2177</v>
      </c>
    </row>
    <row r="24" spans="2:19">
      <c r="B24" s="62" t="s">
        <v>747</v>
      </c>
      <c r="C24" s="75">
        <v>209</v>
      </c>
      <c r="D24" s="75">
        <v>416</v>
      </c>
      <c r="E24" s="56">
        <v>80540000</v>
      </c>
      <c r="G24" s="62" t="s">
        <v>744</v>
      </c>
      <c r="H24">
        <v>200</v>
      </c>
      <c r="I24">
        <v>428</v>
      </c>
      <c r="J24" s="56">
        <v>45548750</v>
      </c>
      <c r="L24" s="79" t="s">
        <v>2178</v>
      </c>
      <c r="M24" s="80"/>
      <c r="N24" s="80"/>
      <c r="O24" s="80"/>
      <c r="P24" s="80"/>
      <c r="Q24" s="80"/>
      <c r="R24" s="80"/>
      <c r="S24" s="80"/>
    </row>
    <row r="25" spans="2:19">
      <c r="B25" s="62" t="s">
        <v>735</v>
      </c>
      <c r="C25" s="75">
        <v>198</v>
      </c>
      <c r="D25" s="75">
        <v>386</v>
      </c>
      <c r="E25" s="56">
        <v>59276250</v>
      </c>
      <c r="G25" s="62" t="s">
        <v>728</v>
      </c>
      <c r="H25">
        <v>199</v>
      </c>
      <c r="I25">
        <v>386</v>
      </c>
      <c r="J25" s="56">
        <v>52222500</v>
      </c>
      <c r="L25" s="80"/>
      <c r="M25" s="80"/>
      <c r="N25" s="80"/>
      <c r="O25" s="80"/>
      <c r="P25" s="80"/>
      <c r="Q25" s="80"/>
      <c r="R25" s="80"/>
      <c r="S25" s="80"/>
    </row>
    <row r="26" spans="2:19">
      <c r="B26" s="62" t="s">
        <v>727</v>
      </c>
      <c r="C26" s="75">
        <v>199</v>
      </c>
      <c r="D26" s="75">
        <v>386</v>
      </c>
      <c r="E26" s="56">
        <v>52222500</v>
      </c>
      <c r="F26" s="78"/>
      <c r="G26" s="62" t="s">
        <v>736</v>
      </c>
      <c r="H26">
        <v>198</v>
      </c>
      <c r="I26">
        <v>386</v>
      </c>
      <c r="J26" s="56">
        <v>59276250</v>
      </c>
      <c r="L26" s="80"/>
      <c r="M26" s="80"/>
      <c r="N26" s="80"/>
      <c r="O26" s="80"/>
      <c r="P26" s="80"/>
      <c r="Q26" s="80"/>
      <c r="R26" s="80"/>
      <c r="S26" s="80"/>
    </row>
    <row r="27" spans="2:19">
      <c r="B27" s="62" t="s">
        <v>743</v>
      </c>
      <c r="C27" s="75">
        <v>200</v>
      </c>
      <c r="D27" s="75">
        <v>428</v>
      </c>
      <c r="E27" s="56">
        <v>45548750</v>
      </c>
      <c r="G27" s="62" t="s">
        <v>740</v>
      </c>
      <c r="H27">
        <v>199</v>
      </c>
      <c r="I27">
        <v>389</v>
      </c>
      <c r="J27" s="56">
        <v>29023000</v>
      </c>
      <c r="L27" s="80"/>
      <c r="M27" s="80"/>
      <c r="N27" s="80"/>
      <c r="O27" s="80"/>
      <c r="P27" s="80"/>
      <c r="Q27" s="80"/>
      <c r="R27" s="80"/>
      <c r="S27" s="80"/>
    </row>
    <row r="28" spans="2:19">
      <c r="B28" s="62" t="s">
        <v>731</v>
      </c>
      <c r="C28" s="75">
        <v>195</v>
      </c>
      <c r="D28" s="75">
        <v>363</v>
      </c>
      <c r="E28" s="56">
        <v>32625750</v>
      </c>
      <c r="G28" s="62" t="s">
        <v>748</v>
      </c>
      <c r="H28">
        <v>209</v>
      </c>
      <c r="I28">
        <v>416</v>
      </c>
      <c r="J28" s="56">
        <v>80540000</v>
      </c>
      <c r="L28" s="80"/>
      <c r="M28" s="80"/>
      <c r="N28" s="80"/>
      <c r="O28" s="80"/>
      <c r="P28" s="80"/>
      <c r="Q28" s="80"/>
      <c r="R28" s="80"/>
      <c r="S28" s="80"/>
    </row>
    <row r="29" spans="2:19">
      <c r="B29" s="62" t="s">
        <v>739</v>
      </c>
      <c r="C29" s="75">
        <v>199</v>
      </c>
      <c r="D29" s="75">
        <v>389</v>
      </c>
      <c r="E29" s="56">
        <v>29023000</v>
      </c>
      <c r="G29" s="62" t="s">
        <v>732</v>
      </c>
      <c r="H29">
        <v>195</v>
      </c>
      <c r="I29">
        <v>363</v>
      </c>
      <c r="J29" s="56">
        <v>32625750</v>
      </c>
      <c r="L29" s="80"/>
      <c r="M29" s="80"/>
      <c r="N29" s="80"/>
      <c r="O29" s="80"/>
      <c r="P29" s="80"/>
      <c r="Q29" s="80"/>
      <c r="R29" s="80"/>
      <c r="S29" s="80"/>
    </row>
    <row r="30" spans="2:19">
      <c r="B30" s="62" t="s">
        <v>2125</v>
      </c>
      <c r="C30" s="75">
        <v>1200</v>
      </c>
      <c r="D30" s="75">
        <v>2368</v>
      </c>
      <c r="E30" s="56">
        <v>299236250</v>
      </c>
      <c r="G30" s="62" t="s">
        <v>2125</v>
      </c>
      <c r="H30">
        <v>1200</v>
      </c>
      <c r="I30">
        <v>2368</v>
      </c>
      <c r="J30" s="56">
        <v>299236250</v>
      </c>
      <c r="L30" s="80"/>
      <c r="M30" s="80"/>
      <c r="N30" s="80"/>
      <c r="O30" s="80"/>
      <c r="P30" s="80"/>
      <c r="Q30" s="80"/>
      <c r="R30" s="80"/>
      <c r="S30" s="80"/>
    </row>
    <row r="31" spans="2:19">
      <c r="L31" s="80"/>
      <c r="M31" s="80"/>
      <c r="N31" s="80"/>
      <c r="O31" s="80"/>
      <c r="P31" s="80"/>
      <c r="Q31" s="80"/>
      <c r="R31" s="80"/>
      <c r="S31" s="80"/>
    </row>
    <row r="32" spans="2:19">
      <c r="L32" s="80"/>
      <c r="M32" s="80"/>
      <c r="N32" s="80"/>
      <c r="O32" s="80"/>
      <c r="P32" s="80"/>
      <c r="Q32" s="80"/>
      <c r="R32" s="80"/>
      <c r="S32" s="80"/>
    </row>
    <row r="33" spans="12:19">
      <c r="L33" s="80"/>
      <c r="M33" s="80"/>
      <c r="N33" s="80"/>
      <c r="O33" s="80"/>
      <c r="P33" s="80"/>
      <c r="Q33" s="80"/>
      <c r="R33" s="80"/>
      <c r="S33" s="80"/>
    </row>
    <row r="34" spans="12:19">
      <c r="L34" s="80"/>
      <c r="M34" s="80"/>
      <c r="N34" s="80"/>
      <c r="O34" s="80"/>
      <c r="P34" s="80"/>
      <c r="Q34" s="80"/>
      <c r="R34" s="80"/>
      <c r="S34" s="80"/>
    </row>
  </sheetData>
  <mergeCells count="6">
    <mergeCell ref="L24:S34"/>
    <mergeCell ref="B5:D5"/>
    <mergeCell ref="F5:H5"/>
    <mergeCell ref="J5:L5"/>
    <mergeCell ref="B21:E21"/>
    <mergeCell ref="G21:J21"/>
  </mergeCells>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A714-9D7C-4D5F-B355-F0B38B58E3DE}">
  <dimension ref="B1:M322"/>
  <sheetViews>
    <sheetView workbookViewId="0">
      <selection activeCell="F10" sqref="F10:F11"/>
    </sheetView>
  </sheetViews>
  <sheetFormatPr defaultRowHeight="14.4"/>
  <cols>
    <col min="2" max="2" width="30.44140625" bestFit="1" customWidth="1"/>
    <col min="3" max="3" width="20.33203125" bestFit="1" customWidth="1"/>
    <col min="4" max="4" width="16" bestFit="1" customWidth="1"/>
    <col min="5" max="5" width="28.6640625" bestFit="1" customWidth="1"/>
    <col min="6" max="6" width="20.33203125" bestFit="1" customWidth="1"/>
    <col min="8" max="8" width="26.6640625" bestFit="1" customWidth="1"/>
    <col min="9" max="9" width="20.33203125" bestFit="1" customWidth="1"/>
    <col min="10" max="10" width="14.6640625" bestFit="1" customWidth="1"/>
    <col min="11" max="11" width="17.44140625" bestFit="1" customWidth="1"/>
    <col min="12" max="12" width="14.6640625" bestFit="1" customWidth="1"/>
    <col min="13" max="13" width="21.44140625" bestFit="1" customWidth="1"/>
  </cols>
  <sheetData>
    <row r="1" spans="2:11">
      <c r="B1" s="59" t="s">
        <v>2122</v>
      </c>
      <c r="C1" s="60">
        <f>MIN(clean[order_date])</f>
        <v>45658</v>
      </c>
    </row>
    <row r="2" spans="2:11">
      <c r="B2" s="59" t="s">
        <v>2123</v>
      </c>
      <c r="C2" s="60">
        <f>MAX(clean[order_date])</f>
        <v>45838</v>
      </c>
    </row>
    <row r="4" spans="2:11">
      <c r="B4" t="s">
        <v>2141</v>
      </c>
      <c r="C4">
        <f>COUNTA(_xlfn.UNIQUE(customers[customer_id]))</f>
        <v>350</v>
      </c>
      <c r="E4" t="s">
        <v>2142</v>
      </c>
      <c r="F4">
        <f>COUNTA(_xlfn.UNIQUE(clean[customer_id]))</f>
        <v>340</v>
      </c>
      <c r="H4" t="s">
        <v>2143</v>
      </c>
      <c r="I4" cm="1">
        <f t="array" ref="I4">SUM(--(COUNTIF(clean[customer_name],customers[customer_name])=0))</f>
        <v>10</v>
      </c>
    </row>
    <row r="5" spans="2:11">
      <c r="B5" s="85" t="s">
        <v>2165</v>
      </c>
      <c r="C5" s="85"/>
      <c r="D5" s="85"/>
      <c r="E5" s="85"/>
    </row>
    <row r="6" spans="2:11">
      <c r="B6" s="83"/>
      <c r="C6" s="83"/>
      <c r="D6" s="83"/>
      <c r="E6" s="83"/>
    </row>
    <row r="7" spans="2:11">
      <c r="B7" s="86" t="s">
        <v>2124</v>
      </c>
      <c r="C7" s="83" t="s">
        <v>2137</v>
      </c>
      <c r="D7" s="83" t="s">
        <v>2132</v>
      </c>
      <c r="E7" s="83" t="s">
        <v>2133</v>
      </c>
      <c r="H7" s="61" t="s">
        <v>2124</v>
      </c>
      <c r="I7" t="s">
        <v>2132</v>
      </c>
      <c r="J7" t="s">
        <v>2133</v>
      </c>
      <c r="K7" t="s">
        <v>2137</v>
      </c>
    </row>
    <row r="8" spans="2:11">
      <c r="B8" s="87" t="s">
        <v>647</v>
      </c>
      <c r="C8" s="84">
        <v>4496500</v>
      </c>
      <c r="D8" s="83">
        <v>7</v>
      </c>
      <c r="E8" s="83">
        <v>14</v>
      </c>
      <c r="H8" s="62" t="s">
        <v>23</v>
      </c>
      <c r="I8">
        <v>621</v>
      </c>
      <c r="J8">
        <v>1203</v>
      </c>
      <c r="K8" s="56">
        <v>160825750</v>
      </c>
    </row>
    <row r="9" spans="2:11">
      <c r="B9" s="87" t="s">
        <v>471</v>
      </c>
      <c r="C9" s="84">
        <v>3355000</v>
      </c>
      <c r="D9" s="83">
        <v>6</v>
      </c>
      <c r="E9" s="83">
        <v>14</v>
      </c>
      <c r="H9" s="62" t="s">
        <v>7</v>
      </c>
      <c r="I9">
        <v>579</v>
      </c>
      <c r="J9">
        <v>1165</v>
      </c>
      <c r="K9" s="56">
        <v>138410500</v>
      </c>
    </row>
    <row r="10" spans="2:11">
      <c r="B10" s="87" t="s">
        <v>487</v>
      </c>
      <c r="C10" s="84">
        <v>3270000</v>
      </c>
      <c r="D10" s="83">
        <v>6</v>
      </c>
      <c r="E10" s="83">
        <v>15</v>
      </c>
      <c r="H10" s="62" t="s">
        <v>2125</v>
      </c>
      <c r="I10">
        <v>1200</v>
      </c>
      <c r="J10">
        <v>2368</v>
      </c>
      <c r="K10" s="56">
        <v>299236250</v>
      </c>
    </row>
    <row r="11" spans="2:11">
      <c r="B11" s="87" t="s">
        <v>38</v>
      </c>
      <c r="C11" s="84">
        <v>3262500</v>
      </c>
      <c r="D11" s="83">
        <v>6</v>
      </c>
      <c r="E11" s="83">
        <v>11</v>
      </c>
    </row>
    <row r="12" spans="2:11">
      <c r="B12" s="87" t="s">
        <v>321</v>
      </c>
      <c r="C12" s="84">
        <v>3080000</v>
      </c>
      <c r="D12" s="83">
        <v>3</v>
      </c>
      <c r="E12" s="83">
        <v>9</v>
      </c>
    </row>
    <row r="13" spans="2:11">
      <c r="B13" s="87" t="s">
        <v>387</v>
      </c>
      <c r="C13" s="84">
        <v>3040000</v>
      </c>
      <c r="D13" s="83">
        <v>5</v>
      </c>
      <c r="E13" s="83">
        <v>13</v>
      </c>
    </row>
    <row r="14" spans="2:11">
      <c r="B14" s="87" t="s">
        <v>651</v>
      </c>
      <c r="C14" s="84">
        <v>2950000</v>
      </c>
      <c r="D14" s="83">
        <v>7</v>
      </c>
      <c r="E14" s="83">
        <v>17</v>
      </c>
      <c r="H14" s="61" t="s">
        <v>2124</v>
      </c>
      <c r="I14" t="s">
        <v>2132</v>
      </c>
      <c r="J14" t="s">
        <v>2133</v>
      </c>
      <c r="K14" t="s">
        <v>2137</v>
      </c>
    </row>
    <row r="15" spans="2:11">
      <c r="B15" s="87" t="s">
        <v>70</v>
      </c>
      <c r="C15" s="84">
        <v>2940000</v>
      </c>
      <c r="D15" s="83">
        <v>6</v>
      </c>
      <c r="E15" s="83">
        <v>13</v>
      </c>
      <c r="H15" s="62" t="s">
        <v>9</v>
      </c>
      <c r="I15">
        <v>671</v>
      </c>
      <c r="J15">
        <v>1322</v>
      </c>
      <c r="K15" s="56">
        <v>156556750</v>
      </c>
    </row>
    <row r="16" spans="2:11">
      <c r="B16" s="87" t="s">
        <v>709</v>
      </c>
      <c r="C16" s="84">
        <v>2940000</v>
      </c>
      <c r="D16" s="83">
        <v>5</v>
      </c>
      <c r="E16" s="83">
        <v>9</v>
      </c>
      <c r="H16" s="62" t="s">
        <v>15</v>
      </c>
      <c r="I16">
        <v>190</v>
      </c>
      <c r="J16">
        <v>365</v>
      </c>
      <c r="K16" s="56">
        <v>50753000</v>
      </c>
    </row>
    <row r="17" spans="2:13">
      <c r="B17" s="87" t="s">
        <v>231</v>
      </c>
      <c r="C17" s="84">
        <v>2840000</v>
      </c>
      <c r="D17" s="83">
        <v>7</v>
      </c>
      <c r="E17" s="83">
        <v>19</v>
      </c>
      <c r="H17" s="62" t="s">
        <v>24</v>
      </c>
      <c r="I17">
        <v>339</v>
      </c>
      <c r="J17">
        <v>681</v>
      </c>
      <c r="K17" s="56">
        <v>91926500</v>
      </c>
    </row>
    <row r="18" spans="2:13">
      <c r="B18" s="87" t="s">
        <v>2125</v>
      </c>
      <c r="C18" s="84">
        <v>32174000</v>
      </c>
      <c r="D18" s="83">
        <v>58</v>
      </c>
      <c r="E18" s="83">
        <v>134</v>
      </c>
      <c r="H18" s="62" t="s">
        <v>2125</v>
      </c>
      <c r="I18">
        <v>1200</v>
      </c>
      <c r="J18">
        <v>2368</v>
      </c>
      <c r="K18" s="56">
        <v>299236250</v>
      </c>
    </row>
    <row r="19" spans="2:13">
      <c r="E19" s="66"/>
      <c r="F19" s="66"/>
    </row>
    <row r="20" spans="2:13">
      <c r="B20" s="66" t="s">
        <v>2170</v>
      </c>
      <c r="C20" s="66"/>
      <c r="E20" s="66" t="s">
        <v>2171</v>
      </c>
      <c r="F20" s="66"/>
      <c r="H20" s="66" t="s">
        <v>2172</v>
      </c>
      <c r="I20" s="66"/>
    </row>
    <row r="22" spans="2:13">
      <c r="B22" s="65" t="s">
        <v>1</v>
      </c>
      <c r="C22" s="65" t="s">
        <v>2144</v>
      </c>
      <c r="E22" s="65" t="s">
        <v>1</v>
      </c>
      <c r="F22" s="65" t="s">
        <v>2144</v>
      </c>
      <c r="H22" s="65" t="s">
        <v>1</v>
      </c>
      <c r="I22" s="65" t="s">
        <v>2144</v>
      </c>
      <c r="K22" s="65" t="s">
        <v>2140</v>
      </c>
      <c r="L22" s="65" t="s">
        <v>2166</v>
      </c>
      <c r="M22" s="65" t="s">
        <v>2167</v>
      </c>
    </row>
    <row r="23" spans="2:13">
      <c r="B23" t="str" cm="1">
        <f t="array" ref="B23:B322">_xlfn.UNIQUE(_xlfn._xlws.FILTER(clean[customer_name],COUNTIF(clean[customer_name],clean[customer_name])&gt;1))</f>
        <v>Rafi Pangestu</v>
      </c>
      <c r="C23" cm="1">
        <f t="array" ref="C23:C322">COUNTIF(clean[customer_name],_xlfn.ANCHORARRAY(B23))</f>
        <v>2</v>
      </c>
      <c r="E23" t="str" cm="1">
        <f t="array" ref="E23:E62">_xlfn.UNIQUE(_xlfn._xlws.FILTER(clean[customer_name],COUNTIF(clean[customer_name],clean[customer_name])=1))</f>
        <v>Naufal Bintang Anggraini Wibowo</v>
      </c>
      <c r="F23" cm="1">
        <f t="array" ref="F23:F62">COUNTIF(clean[customer_name],_xlfn.ANCHORARRAY(E23))</f>
        <v>1</v>
      </c>
      <c r="H23" t="str" cm="1">
        <f t="array" ref="H23:H32">_xlfn._xlws.FILTER(customers[customer_name],COUNTIF(clean[customer_name],customers[customer_name])=0)</f>
        <v>Dinda Utami</v>
      </c>
      <c r="I23">
        <v>0</v>
      </c>
      <c r="K23" t="s">
        <v>2145</v>
      </c>
      <c r="L23">
        <f>COUNTA(_xlfn.ANCHORARRAY(B23))</f>
        <v>300</v>
      </c>
      <c r="M23" s="63">
        <f>L23/C4</f>
        <v>0.8571428571428571</v>
      </c>
    </row>
    <row r="24" spans="2:13">
      <c r="B24" t="str">
        <v>Laura Dian Permadi</v>
      </c>
      <c r="C24">
        <v>6</v>
      </c>
      <c r="E24" t="str">
        <v>Ganesha Ananda</v>
      </c>
      <c r="F24">
        <v>1</v>
      </c>
      <c r="H24" t="str">
        <v>Sofyan Abdullah</v>
      </c>
      <c r="I24">
        <v>0</v>
      </c>
      <c r="K24" t="s">
        <v>2146</v>
      </c>
      <c r="L24">
        <f>COUNTA(_xlfn.ANCHORARRAY(E23))</f>
        <v>40</v>
      </c>
      <c r="M24" s="63">
        <f>L24/C4</f>
        <v>0.11428571428571428</v>
      </c>
    </row>
    <row r="25" spans="2:13">
      <c r="B25" t="str">
        <v>Rosa Dwi Laksono Wulandari</v>
      </c>
      <c r="C25">
        <v>6</v>
      </c>
      <c r="E25" t="str">
        <v>Laura Anjani Prasetyo</v>
      </c>
      <c r="F25">
        <v>1</v>
      </c>
      <c r="H25" t="str">
        <v>Sofyan Dwi Siregar</v>
      </c>
      <c r="I25">
        <v>0</v>
      </c>
      <c r="K25" t="s">
        <v>2147</v>
      </c>
      <c r="L25">
        <f>COUNTA(_xlfn.ANCHORARRAY(H23))</f>
        <v>10</v>
      </c>
      <c r="M25" s="63">
        <f>L25/C4</f>
        <v>2.8571428571428571E-2</v>
      </c>
    </row>
    <row r="26" spans="2:13">
      <c r="B26" t="str">
        <v>Mia Santoso</v>
      </c>
      <c r="C26">
        <v>6</v>
      </c>
      <c r="E26" t="str">
        <v>Nisa Siregar</v>
      </c>
      <c r="F26">
        <v>1</v>
      </c>
      <c r="H26" t="str">
        <v>Dinda Salim</v>
      </c>
      <c r="I26">
        <v>0</v>
      </c>
    </row>
    <row r="27" spans="2:13">
      <c r="B27" t="str">
        <v>Fikri Herlambang</v>
      </c>
      <c r="C27">
        <v>3</v>
      </c>
      <c r="E27" t="str">
        <v>Fauzan Utami</v>
      </c>
      <c r="F27">
        <v>1</v>
      </c>
      <c r="H27" t="str">
        <v>Surya Setyawan</v>
      </c>
      <c r="I27">
        <v>0</v>
      </c>
    </row>
    <row r="28" spans="2:13">
      <c r="B28" t="str">
        <v>Oscar Bintang Maulana</v>
      </c>
      <c r="C28">
        <v>5</v>
      </c>
      <c r="E28" t="str">
        <v>Aisyah Lestari</v>
      </c>
      <c r="F28">
        <v>1</v>
      </c>
      <c r="H28" t="str">
        <v>Nadia Sari Suryanto</v>
      </c>
      <c r="I28">
        <v>0</v>
      </c>
    </row>
    <row r="29" spans="2:13">
      <c r="B29" t="str">
        <v>Sheila Bayu Kusnadi</v>
      </c>
      <c r="C29">
        <v>3</v>
      </c>
      <c r="E29" t="str">
        <v>Andika Kirana Wardana</v>
      </c>
      <c r="F29">
        <v>1</v>
      </c>
      <c r="H29" t="str">
        <v>Nadia Ramadhan</v>
      </c>
      <c r="I29">
        <v>0</v>
      </c>
    </row>
    <row r="30" spans="2:13">
      <c r="B30" t="str">
        <v>Elang Hidayat</v>
      </c>
      <c r="C30">
        <v>3</v>
      </c>
      <c r="E30" t="str">
        <v>Ganesha Putri</v>
      </c>
      <c r="F30">
        <v>1</v>
      </c>
      <c r="H30" t="str">
        <v>Nabila Galang Wardana</v>
      </c>
      <c r="I30">
        <v>0</v>
      </c>
    </row>
    <row r="31" spans="2:13">
      <c r="B31" t="str">
        <v>Indra Kurnia</v>
      </c>
      <c r="C31">
        <v>5</v>
      </c>
      <c r="E31" t="str">
        <v>Elsa Firmansyah</v>
      </c>
      <c r="F31">
        <v>1</v>
      </c>
      <c r="H31" t="str">
        <v>Salsa Fajar Maulana Putri</v>
      </c>
      <c r="I31">
        <v>0</v>
      </c>
    </row>
    <row r="32" spans="2:13">
      <c r="B32" t="str">
        <v>Miko Anjani Wulandari</v>
      </c>
      <c r="C32">
        <v>3</v>
      </c>
      <c r="E32" t="str">
        <v>Yudha Ayu Putri</v>
      </c>
      <c r="F32">
        <v>1</v>
      </c>
      <c r="H32" t="str">
        <v>Julia Irawan</v>
      </c>
      <c r="I32">
        <v>0</v>
      </c>
    </row>
    <row r="33" spans="2:12">
      <c r="B33" t="str">
        <v>Aulia Citra Kusuma Cahyani</v>
      </c>
      <c r="C33">
        <v>5</v>
      </c>
      <c r="E33" t="str">
        <v>Hanif Ningsih</v>
      </c>
      <c r="F33">
        <v>1</v>
      </c>
    </row>
    <row r="34" spans="2:12">
      <c r="B34" t="str">
        <v>Aditya Anggraini</v>
      </c>
      <c r="C34">
        <v>4</v>
      </c>
      <c r="E34" t="str">
        <v>Dania Bintang Suryani</v>
      </c>
      <c r="F34">
        <v>1</v>
      </c>
    </row>
    <row r="35" spans="2:12">
      <c r="B35" t="str">
        <v>Deni Adi Irawan Nugroho</v>
      </c>
      <c r="C35">
        <v>4</v>
      </c>
      <c r="E35" t="str">
        <v>Rani Yuliani</v>
      </c>
      <c r="F35">
        <v>1</v>
      </c>
    </row>
    <row r="36" spans="2:12">
      <c r="B36" t="str">
        <v>Nisa Bayu Kusnadi</v>
      </c>
      <c r="C36">
        <v>6</v>
      </c>
      <c r="E36" t="str">
        <v>Irfan Fajar Prasetyo</v>
      </c>
      <c r="F36">
        <v>1</v>
      </c>
      <c r="H36" s="65" t="s">
        <v>2179</v>
      </c>
    </row>
    <row r="37" spans="2:12">
      <c r="B37" t="str">
        <v>Aditya Naufal Hidayat</v>
      </c>
      <c r="C37">
        <v>7</v>
      </c>
      <c r="E37" t="str">
        <v>Laura Adi Saputra</v>
      </c>
      <c r="F37">
        <v>1</v>
      </c>
      <c r="H37" s="79" t="s">
        <v>2180</v>
      </c>
      <c r="I37" s="80"/>
      <c r="J37" s="80"/>
      <c r="K37" s="80"/>
      <c r="L37" s="80"/>
    </row>
    <row r="38" spans="2:12">
      <c r="B38" t="str">
        <v>Fadli Rahman</v>
      </c>
      <c r="C38">
        <v>3</v>
      </c>
      <c r="E38" t="str">
        <v>Nadia Permata</v>
      </c>
      <c r="F38">
        <v>1</v>
      </c>
      <c r="H38" s="80"/>
      <c r="I38" s="80"/>
      <c r="J38" s="80"/>
      <c r="K38" s="80"/>
      <c r="L38" s="80"/>
    </row>
    <row r="39" spans="2:12">
      <c r="B39" t="str">
        <v>Yusuf Fauzi</v>
      </c>
      <c r="C39">
        <v>3</v>
      </c>
      <c r="E39" t="str">
        <v>Putri Rizal Saputra</v>
      </c>
      <c r="F39">
        <v>1</v>
      </c>
      <c r="H39" s="80"/>
      <c r="I39" s="80"/>
      <c r="J39" s="80"/>
      <c r="K39" s="80"/>
      <c r="L39" s="80"/>
    </row>
    <row r="40" spans="2:12">
      <c r="B40" t="str">
        <v>Rizky Hidayat</v>
      </c>
      <c r="C40">
        <v>5</v>
      </c>
      <c r="E40" t="str">
        <v>Daffa Rizal Suryanto Wardana</v>
      </c>
      <c r="F40">
        <v>1</v>
      </c>
      <c r="H40" s="80"/>
      <c r="I40" s="80"/>
      <c r="J40" s="80"/>
      <c r="K40" s="80"/>
      <c r="L40" s="80"/>
    </row>
    <row r="41" spans="2:12">
      <c r="B41" t="str">
        <v>Arman Ayu Maulana</v>
      </c>
      <c r="C41">
        <v>5</v>
      </c>
      <c r="E41" t="str">
        <v>Hafiz Citra Iskandar</v>
      </c>
      <c r="F41">
        <v>1</v>
      </c>
      <c r="H41" s="80"/>
      <c r="I41" s="80"/>
      <c r="J41" s="80"/>
      <c r="K41" s="80"/>
      <c r="L41" s="80"/>
    </row>
    <row r="42" spans="2:12">
      <c r="B42" t="str">
        <v>Raka Naufal Kusuma</v>
      </c>
      <c r="C42">
        <v>6</v>
      </c>
      <c r="E42" t="str">
        <v>Irene Adi Nugroho Hidayat</v>
      </c>
      <c r="F42">
        <v>1</v>
      </c>
      <c r="H42" s="80"/>
      <c r="I42" s="80"/>
      <c r="J42" s="80"/>
      <c r="K42" s="80"/>
      <c r="L42" s="80"/>
    </row>
    <row r="43" spans="2:12">
      <c r="B43" t="str">
        <v>Ratih Putri Kusnadi</v>
      </c>
      <c r="C43">
        <v>3</v>
      </c>
      <c r="E43" t="str">
        <v>Rafi Utami</v>
      </c>
      <c r="F43">
        <v>1</v>
      </c>
      <c r="H43" s="80"/>
      <c r="I43" s="80"/>
      <c r="J43" s="80"/>
      <c r="K43" s="80"/>
      <c r="L43" s="80"/>
    </row>
    <row r="44" spans="2:12">
      <c r="B44" t="str">
        <v>Febri Kusuma</v>
      </c>
      <c r="C44">
        <v>6</v>
      </c>
      <c r="E44" t="str">
        <v>Daffa Dian Irawan Permadi</v>
      </c>
      <c r="F44">
        <v>1</v>
      </c>
      <c r="H44" s="80"/>
      <c r="I44" s="80"/>
      <c r="J44" s="80"/>
      <c r="K44" s="80"/>
      <c r="L44" s="80"/>
    </row>
    <row r="45" spans="2:12">
      <c r="B45" t="str">
        <v>Bella Naufal Nugroho</v>
      </c>
      <c r="C45">
        <v>2</v>
      </c>
      <c r="E45" t="str">
        <v>Rian Hakim</v>
      </c>
      <c r="F45">
        <v>1</v>
      </c>
      <c r="H45" s="80"/>
      <c r="I45" s="80"/>
      <c r="J45" s="80"/>
      <c r="K45" s="80"/>
      <c r="L45" s="80"/>
    </row>
    <row r="46" spans="2:12">
      <c r="B46" t="str">
        <v>Zahra Wibowo</v>
      </c>
      <c r="C46">
        <v>3</v>
      </c>
      <c r="E46" t="str">
        <v>Hana Kurniawan</v>
      </c>
      <c r="F46">
        <v>1</v>
      </c>
      <c r="H46" s="80"/>
      <c r="I46" s="80"/>
      <c r="J46" s="80"/>
      <c r="K46" s="80"/>
      <c r="L46" s="80"/>
    </row>
    <row r="47" spans="2:12">
      <c r="B47" t="str">
        <v>Rizal Rizki Wulandari</v>
      </c>
      <c r="C47">
        <v>4</v>
      </c>
      <c r="E47" t="str">
        <v>Vina Laksono</v>
      </c>
      <c r="F47">
        <v>1</v>
      </c>
      <c r="H47" s="80"/>
      <c r="I47" s="80"/>
      <c r="J47" s="80"/>
      <c r="K47" s="80"/>
      <c r="L47" s="80"/>
    </row>
    <row r="48" spans="2:12">
      <c r="B48" t="str">
        <v>Bima Wardana</v>
      </c>
      <c r="C48">
        <v>8</v>
      </c>
      <c r="E48" t="str">
        <v>Agung Hidayat</v>
      </c>
      <c r="F48">
        <v>1</v>
      </c>
      <c r="H48" s="80"/>
      <c r="I48" s="80"/>
      <c r="J48" s="80"/>
      <c r="K48" s="80"/>
      <c r="L48" s="80"/>
    </row>
    <row r="49" spans="2:6">
      <c r="B49" t="str">
        <v>Bayu Rizki Permadi</v>
      </c>
      <c r="C49">
        <v>3</v>
      </c>
      <c r="E49" t="str">
        <v>Oscar Fauzi</v>
      </c>
      <c r="F49">
        <v>1</v>
      </c>
    </row>
    <row r="50" spans="2:6">
      <c r="B50" t="str">
        <v>Adit Setyawan</v>
      </c>
      <c r="C50">
        <v>4</v>
      </c>
      <c r="E50" t="str">
        <v>Satria Pranoto</v>
      </c>
      <c r="F50">
        <v>1</v>
      </c>
    </row>
    <row r="51" spans="2:6">
      <c r="B51" t="str">
        <v>Della Kirana Nugroho</v>
      </c>
      <c r="C51">
        <v>3</v>
      </c>
      <c r="E51" t="str">
        <v>Iqbal Wibowo</v>
      </c>
      <c r="F51">
        <v>1</v>
      </c>
    </row>
    <row r="52" spans="2:6">
      <c r="B52" t="str">
        <v>Sania Maulana</v>
      </c>
      <c r="C52">
        <v>7</v>
      </c>
      <c r="E52" t="str">
        <v>Clara Prasetyo</v>
      </c>
      <c r="F52">
        <v>1</v>
      </c>
    </row>
    <row r="53" spans="2:6">
      <c r="B53" t="str">
        <v>Ghani Ramadhan</v>
      </c>
      <c r="C53">
        <v>3</v>
      </c>
      <c r="E53" t="str">
        <v>Yani Kusnadi</v>
      </c>
      <c r="F53">
        <v>1</v>
      </c>
    </row>
    <row r="54" spans="2:6">
      <c r="B54" t="str">
        <v>Dewi Utami</v>
      </c>
      <c r="C54">
        <v>7</v>
      </c>
      <c r="E54" t="str">
        <v>Ratih Abdullah</v>
      </c>
      <c r="F54">
        <v>1</v>
      </c>
    </row>
    <row r="55" spans="2:6">
      <c r="B55" t="str">
        <v>Andika Mahendra</v>
      </c>
      <c r="C55">
        <v>3</v>
      </c>
      <c r="E55" t="str">
        <v>Hanif Wibowo</v>
      </c>
      <c r="F55">
        <v>1</v>
      </c>
    </row>
    <row r="56" spans="2:6">
      <c r="B56" t="str">
        <v>Ardi Wibowo</v>
      </c>
      <c r="C56">
        <v>5</v>
      </c>
      <c r="E56" t="str">
        <v>Joko Aulia Ramadhan</v>
      </c>
      <c r="F56">
        <v>1</v>
      </c>
    </row>
    <row r="57" spans="2:6">
      <c r="B57" t="str">
        <v>Oki Setyawan</v>
      </c>
      <c r="C57">
        <v>2</v>
      </c>
      <c r="E57" t="str">
        <v>Oki Anjani Rahman</v>
      </c>
      <c r="F57">
        <v>1</v>
      </c>
    </row>
    <row r="58" spans="2:6">
      <c r="B58" t="str">
        <v>Julia Adi Wulandari</v>
      </c>
      <c r="C58">
        <v>7</v>
      </c>
      <c r="E58" t="str">
        <v>Rosa Irawan</v>
      </c>
      <c r="F58">
        <v>1</v>
      </c>
    </row>
    <row r="59" spans="2:6">
      <c r="B59" t="str">
        <v>Celine Fauzi</v>
      </c>
      <c r="C59">
        <v>4</v>
      </c>
      <c r="E59" t="str">
        <v>Julia Dian Maulana</v>
      </c>
      <c r="F59">
        <v>1</v>
      </c>
    </row>
    <row r="60" spans="2:6">
      <c r="B60" t="str">
        <v>Fauzan Naufal Firmansyah Purnama</v>
      </c>
      <c r="C60">
        <v>4</v>
      </c>
      <c r="E60" t="str">
        <v>Ghani Herlambang</v>
      </c>
      <c r="F60">
        <v>1</v>
      </c>
    </row>
    <row r="61" spans="2:6">
      <c r="B61" t="str">
        <v>Rizky Herlambang</v>
      </c>
      <c r="C61">
        <v>5</v>
      </c>
      <c r="E61" t="str">
        <v>Karina Rahman</v>
      </c>
      <c r="F61">
        <v>1</v>
      </c>
    </row>
    <row r="62" spans="2:6">
      <c r="B62" t="str">
        <v>Celine Naufal Pranoto</v>
      </c>
      <c r="C62">
        <v>2</v>
      </c>
      <c r="E62" t="str">
        <v>Mira Handayani</v>
      </c>
      <c r="F62">
        <v>1</v>
      </c>
    </row>
    <row r="63" spans="2:6">
      <c r="B63" t="str">
        <v>Putri Nur Saputra</v>
      </c>
      <c r="C63">
        <v>2</v>
      </c>
    </row>
    <row r="64" spans="2:6">
      <c r="B64" t="str">
        <v>Raka Maulana</v>
      </c>
      <c r="C64">
        <v>4</v>
      </c>
    </row>
    <row r="65" spans="2:3">
      <c r="B65" t="str">
        <v>Aulia Rizal Anggraini</v>
      </c>
      <c r="C65">
        <v>2</v>
      </c>
    </row>
    <row r="66" spans="2:3">
      <c r="B66" t="str">
        <v>Mia Aulia Ningsih</v>
      </c>
      <c r="C66">
        <v>2</v>
      </c>
    </row>
    <row r="67" spans="2:3">
      <c r="B67" t="str">
        <v>Della Gunawan</v>
      </c>
      <c r="C67">
        <v>5</v>
      </c>
    </row>
    <row r="68" spans="2:3">
      <c r="B68" t="str">
        <v>Ratih Irawan</v>
      </c>
      <c r="C68">
        <v>3</v>
      </c>
    </row>
    <row r="69" spans="2:3">
      <c r="B69" t="str">
        <v>Elsa Mulyadi</v>
      </c>
      <c r="C69">
        <v>2</v>
      </c>
    </row>
    <row r="70" spans="2:3">
      <c r="B70" t="str">
        <v>Sheila Anjani Pangestu</v>
      </c>
      <c r="C70">
        <v>4</v>
      </c>
    </row>
    <row r="71" spans="2:3">
      <c r="B71" t="str">
        <v>Doni Irawan</v>
      </c>
      <c r="C71">
        <v>5</v>
      </c>
    </row>
    <row r="72" spans="2:3">
      <c r="B72" t="str">
        <v>Ghani Galang Mulyadi</v>
      </c>
      <c r="C72">
        <v>4</v>
      </c>
    </row>
    <row r="73" spans="2:3">
      <c r="B73" t="str">
        <v>Alya Anjani Hidayat</v>
      </c>
      <c r="C73">
        <v>5</v>
      </c>
    </row>
    <row r="74" spans="2:3">
      <c r="B74" t="str">
        <v>Fadli Kirana Mulyadi</v>
      </c>
      <c r="C74">
        <v>3</v>
      </c>
    </row>
    <row r="75" spans="2:3">
      <c r="B75" t="str">
        <v>Fauzan Rizki Saputra</v>
      </c>
      <c r="C75">
        <v>2</v>
      </c>
    </row>
    <row r="76" spans="2:3">
      <c r="B76" t="str">
        <v>Aulia Kusnadi</v>
      </c>
      <c r="C76">
        <v>6</v>
      </c>
    </row>
    <row r="77" spans="2:3">
      <c r="B77" t="str">
        <v>Nanda Ayu Salim</v>
      </c>
      <c r="C77">
        <v>6</v>
      </c>
    </row>
    <row r="78" spans="2:3">
      <c r="B78" t="str">
        <v>Andika Suryani</v>
      </c>
      <c r="C78">
        <v>8</v>
      </c>
    </row>
    <row r="79" spans="2:3">
      <c r="B79" t="str">
        <v>Ratih Sari Rahman</v>
      </c>
      <c r="C79">
        <v>3</v>
      </c>
    </row>
    <row r="80" spans="2:3">
      <c r="B80" t="str">
        <v>Putra Maulana</v>
      </c>
      <c r="C80">
        <v>3</v>
      </c>
    </row>
    <row r="81" spans="2:3">
      <c r="B81" t="str">
        <v>Nadia Kirana Mahendra</v>
      </c>
      <c r="C81">
        <v>3</v>
      </c>
    </row>
    <row r="82" spans="2:3">
      <c r="B82" t="str">
        <v>Vania Dwi Santoso</v>
      </c>
      <c r="C82">
        <v>5</v>
      </c>
    </row>
    <row r="83" spans="2:3">
      <c r="B83" t="str">
        <v>Nia Wibowo</v>
      </c>
      <c r="C83">
        <v>5</v>
      </c>
    </row>
    <row r="84" spans="2:3">
      <c r="B84" t="str">
        <v>Sari Yuliani</v>
      </c>
      <c r="C84">
        <v>6</v>
      </c>
    </row>
    <row r="85" spans="2:3">
      <c r="B85" t="str">
        <v>Olivia Wardana</v>
      </c>
      <c r="C85">
        <v>5</v>
      </c>
    </row>
    <row r="86" spans="2:3">
      <c r="B86" t="str">
        <v>Doni Wibowo</v>
      </c>
      <c r="C86">
        <v>4</v>
      </c>
    </row>
    <row r="87" spans="2:3">
      <c r="B87" t="str">
        <v>Gita Suryanto</v>
      </c>
      <c r="C87">
        <v>5</v>
      </c>
    </row>
    <row r="88" spans="2:3">
      <c r="B88" t="str">
        <v>Surya Kusuma</v>
      </c>
      <c r="C88">
        <v>5</v>
      </c>
    </row>
    <row r="89" spans="2:3">
      <c r="B89" t="str">
        <v>Oscar Dian Wardana Laksono</v>
      </c>
      <c r="C89">
        <v>2</v>
      </c>
    </row>
    <row r="90" spans="2:3">
      <c r="B90" t="str">
        <v>Della Santoso</v>
      </c>
      <c r="C90">
        <v>6</v>
      </c>
    </row>
    <row r="91" spans="2:3">
      <c r="B91" t="str">
        <v>Dimas Wijaya</v>
      </c>
      <c r="C91">
        <v>2</v>
      </c>
    </row>
    <row r="92" spans="2:3">
      <c r="B92" t="str">
        <v>Joko Kusuma</v>
      </c>
      <c r="C92">
        <v>4</v>
      </c>
    </row>
    <row r="93" spans="2:3">
      <c r="B93" t="str">
        <v>Karina Adi Kurnia</v>
      </c>
      <c r="C93">
        <v>2</v>
      </c>
    </row>
    <row r="94" spans="2:3">
      <c r="B94" t="str">
        <v>Rara Purnama</v>
      </c>
      <c r="C94">
        <v>6</v>
      </c>
    </row>
    <row r="95" spans="2:3">
      <c r="B95" t="str">
        <v>Dania Pratama</v>
      </c>
      <c r="C95">
        <v>3</v>
      </c>
    </row>
    <row r="96" spans="2:3">
      <c r="B96" t="str">
        <v>Bagas Fauzi</v>
      </c>
      <c r="C96">
        <v>4</v>
      </c>
    </row>
    <row r="97" spans="2:3">
      <c r="B97" t="str">
        <v>Olivia Rizal Maulana</v>
      </c>
      <c r="C97">
        <v>3</v>
      </c>
    </row>
    <row r="98" spans="2:3">
      <c r="B98" t="str">
        <v>Dara Irawan</v>
      </c>
      <c r="C98">
        <v>6</v>
      </c>
    </row>
    <row r="99" spans="2:3">
      <c r="B99" t="str">
        <v>Anisa Kirana Maulana</v>
      </c>
      <c r="C99">
        <v>4</v>
      </c>
    </row>
    <row r="100" spans="2:3">
      <c r="B100" t="str">
        <v>Danu Pangestu</v>
      </c>
      <c r="C100">
        <v>6</v>
      </c>
    </row>
    <row r="101" spans="2:3">
      <c r="B101" t="str">
        <v>Wawan Permadi</v>
      </c>
      <c r="C101">
        <v>3</v>
      </c>
    </row>
    <row r="102" spans="2:3">
      <c r="B102" t="str">
        <v>Elang Wijaya</v>
      </c>
      <c r="C102">
        <v>7</v>
      </c>
    </row>
    <row r="103" spans="2:3">
      <c r="B103" t="str">
        <v>Wawan Prasetyo</v>
      </c>
      <c r="C103">
        <v>2</v>
      </c>
    </row>
    <row r="104" spans="2:3">
      <c r="B104" t="str">
        <v>Laura Saputra</v>
      </c>
      <c r="C104">
        <v>5</v>
      </c>
    </row>
    <row r="105" spans="2:3">
      <c r="B105" t="str">
        <v>Rizky Naufal Ananda</v>
      </c>
      <c r="C105">
        <v>3</v>
      </c>
    </row>
    <row r="106" spans="2:3">
      <c r="B106" t="str">
        <v>Irene Putra Nugroho</v>
      </c>
      <c r="C106">
        <v>3</v>
      </c>
    </row>
    <row r="107" spans="2:3">
      <c r="B107" t="str">
        <v>Lina Lestari</v>
      </c>
      <c r="C107">
        <v>5</v>
      </c>
    </row>
    <row r="108" spans="2:3">
      <c r="B108" t="str">
        <v>Bayu Sari Ramadhan</v>
      </c>
      <c r="C108">
        <v>7</v>
      </c>
    </row>
    <row r="109" spans="2:3">
      <c r="B109" t="str">
        <v>Putri Ananda</v>
      </c>
      <c r="C109">
        <v>3</v>
      </c>
    </row>
    <row r="110" spans="2:3">
      <c r="B110" t="str">
        <v>Bayu Kusnadi</v>
      </c>
      <c r="C110">
        <v>7</v>
      </c>
    </row>
    <row r="111" spans="2:3">
      <c r="B111" t="str">
        <v>Gina Pratama</v>
      </c>
      <c r="C111">
        <v>2</v>
      </c>
    </row>
    <row r="112" spans="2:3">
      <c r="B112" t="str">
        <v>Dara Naufal Kurniawan</v>
      </c>
      <c r="C112">
        <v>4</v>
      </c>
    </row>
    <row r="113" spans="2:3">
      <c r="B113" t="str">
        <v>Febri Sari Nugroho</v>
      </c>
      <c r="C113">
        <v>3</v>
      </c>
    </row>
    <row r="114" spans="2:3">
      <c r="B114" t="str">
        <v>Raka Utami</v>
      </c>
      <c r="C114">
        <v>3</v>
      </c>
    </row>
    <row r="115" spans="2:3">
      <c r="B115" t="str">
        <v>Dimas Nur Permadi</v>
      </c>
      <c r="C115">
        <v>3</v>
      </c>
    </row>
    <row r="116" spans="2:3">
      <c r="B116" t="str">
        <v>Fauzan Siregar</v>
      </c>
      <c r="C116">
        <v>2</v>
      </c>
    </row>
    <row r="117" spans="2:3">
      <c r="B117" t="str">
        <v>Adit Kirana Pranoto</v>
      </c>
      <c r="C117">
        <v>4</v>
      </c>
    </row>
    <row r="118" spans="2:3">
      <c r="B118" t="str">
        <v>Iqbal Naufal Irawan</v>
      </c>
      <c r="C118">
        <v>3</v>
      </c>
    </row>
    <row r="119" spans="2:3">
      <c r="B119" t="str">
        <v>Naufal Bayu Kusnadi</v>
      </c>
      <c r="C119">
        <v>4</v>
      </c>
    </row>
    <row r="120" spans="2:3">
      <c r="B120" t="str">
        <v>Rani Bayu Permata</v>
      </c>
      <c r="C120">
        <v>5</v>
      </c>
    </row>
    <row r="121" spans="2:3">
      <c r="B121" t="str">
        <v>Agung Nur Wijaya</v>
      </c>
      <c r="C121">
        <v>6</v>
      </c>
    </row>
    <row r="122" spans="2:3">
      <c r="B122" t="str">
        <v>Cahya Bintang Kurnia</v>
      </c>
      <c r="C122">
        <v>3</v>
      </c>
    </row>
    <row r="123" spans="2:3">
      <c r="B123" t="str">
        <v>Intan Citra Kusnadi</v>
      </c>
      <c r="C123">
        <v>3</v>
      </c>
    </row>
    <row r="124" spans="2:3">
      <c r="B124" t="str">
        <v>Irfan Sari Fauzi Setiawan</v>
      </c>
      <c r="C124">
        <v>5</v>
      </c>
    </row>
    <row r="125" spans="2:3">
      <c r="B125" t="str">
        <v>Febri Dwi Mulyadi</v>
      </c>
      <c r="C125">
        <v>3</v>
      </c>
    </row>
    <row r="126" spans="2:3">
      <c r="B126" t="str">
        <v>Sheila Rizki Setiawan</v>
      </c>
      <c r="C126">
        <v>3</v>
      </c>
    </row>
    <row r="127" spans="2:3">
      <c r="B127" t="str">
        <v>Alya Anggraini</v>
      </c>
      <c r="C127">
        <v>7</v>
      </c>
    </row>
    <row r="128" spans="2:3">
      <c r="B128" t="str">
        <v>Putri Siregar</v>
      </c>
      <c r="C128">
        <v>4</v>
      </c>
    </row>
    <row r="129" spans="2:3">
      <c r="B129" t="str">
        <v>Doni Kirana Permata</v>
      </c>
      <c r="C129">
        <v>7</v>
      </c>
    </row>
    <row r="130" spans="2:3">
      <c r="B130" t="str">
        <v>Fauzan Citra Pangestu</v>
      </c>
      <c r="C130">
        <v>3</v>
      </c>
    </row>
    <row r="131" spans="2:3">
      <c r="B131" t="str">
        <v>Rara Naufal Pratama</v>
      </c>
      <c r="C131">
        <v>5</v>
      </c>
    </row>
    <row r="132" spans="2:3">
      <c r="B132" t="str">
        <v>Arif Naufal Gunawan</v>
      </c>
      <c r="C132">
        <v>11</v>
      </c>
    </row>
    <row r="133" spans="2:3">
      <c r="B133" t="str">
        <v>Naufal Firmansyah</v>
      </c>
      <c r="C133">
        <v>2</v>
      </c>
    </row>
    <row r="134" spans="2:3">
      <c r="B134" t="str">
        <v>Rizky Gunawan</v>
      </c>
      <c r="C134">
        <v>4</v>
      </c>
    </row>
    <row r="135" spans="2:3">
      <c r="B135" t="str">
        <v>Dimas Cahyani</v>
      </c>
      <c r="C135">
        <v>2</v>
      </c>
    </row>
    <row r="136" spans="2:3">
      <c r="B136" t="str">
        <v>Taufik Rizal Susanto</v>
      </c>
      <c r="C136">
        <v>6</v>
      </c>
    </row>
    <row r="137" spans="2:3">
      <c r="B137" t="str">
        <v>Dinda Nur Saputra</v>
      </c>
      <c r="C137">
        <v>6</v>
      </c>
    </row>
    <row r="138" spans="2:3">
      <c r="B138" t="str">
        <v>Gina Putri Ananda</v>
      </c>
      <c r="C138">
        <v>7</v>
      </c>
    </row>
    <row r="139" spans="2:3">
      <c r="B139" t="str">
        <v>Della Pratama</v>
      </c>
      <c r="C139">
        <v>6</v>
      </c>
    </row>
    <row r="140" spans="2:3">
      <c r="B140" t="str">
        <v>Fajar Cahyani</v>
      </c>
      <c r="C140">
        <v>6</v>
      </c>
    </row>
    <row r="141" spans="2:3">
      <c r="B141" t="str">
        <v>Zahra Nugroho</v>
      </c>
      <c r="C141">
        <v>4</v>
      </c>
    </row>
    <row r="142" spans="2:3">
      <c r="B142" t="str">
        <v>Yoga Raka Kusuma</v>
      </c>
      <c r="C142">
        <v>5</v>
      </c>
    </row>
    <row r="143" spans="2:3">
      <c r="B143" t="str">
        <v>Farah Rizal Permata</v>
      </c>
      <c r="C143">
        <v>5</v>
      </c>
    </row>
    <row r="144" spans="2:3">
      <c r="B144" t="str">
        <v>Satria Hakim</v>
      </c>
      <c r="C144">
        <v>3</v>
      </c>
    </row>
    <row r="145" spans="2:3">
      <c r="B145" t="str">
        <v>Gina Mahendra</v>
      </c>
      <c r="C145">
        <v>5</v>
      </c>
    </row>
    <row r="146" spans="2:3">
      <c r="B146" t="str">
        <v>Ratih Wibowo</v>
      </c>
      <c r="C146">
        <v>5</v>
      </c>
    </row>
    <row r="147" spans="2:3">
      <c r="B147" t="str">
        <v>Rosa Rizki Firmansyah</v>
      </c>
      <c r="C147">
        <v>2</v>
      </c>
    </row>
    <row r="148" spans="2:3">
      <c r="B148" t="str">
        <v>Daffa Raka Cahyani Hakim</v>
      </c>
      <c r="C148">
        <v>5</v>
      </c>
    </row>
    <row r="149" spans="2:3">
      <c r="B149" t="str">
        <v>Iqbal Mahendra</v>
      </c>
      <c r="C149">
        <v>4</v>
      </c>
    </row>
    <row r="150" spans="2:3">
      <c r="B150" t="str">
        <v>Irene Dwi Prasetyo</v>
      </c>
      <c r="C150">
        <v>4</v>
      </c>
    </row>
    <row r="151" spans="2:3">
      <c r="B151" t="str">
        <v>Mira Nur Prasetyo</v>
      </c>
      <c r="C151">
        <v>2</v>
      </c>
    </row>
    <row r="152" spans="2:3">
      <c r="B152" t="str">
        <v>Oscar Saputra</v>
      </c>
      <c r="C152">
        <v>5</v>
      </c>
    </row>
    <row r="153" spans="2:3">
      <c r="B153" t="str">
        <v>Dania Siregar</v>
      </c>
      <c r="C153">
        <v>5</v>
      </c>
    </row>
    <row r="154" spans="2:3">
      <c r="B154" t="str">
        <v>Yusuf Putri Mulyadi Fauzi</v>
      </c>
      <c r="C154">
        <v>5</v>
      </c>
    </row>
    <row r="155" spans="2:3">
      <c r="B155" t="str">
        <v>Rizal Bintang Kurniawan</v>
      </c>
      <c r="C155">
        <v>7</v>
      </c>
    </row>
    <row r="156" spans="2:3">
      <c r="B156" t="str">
        <v>Julia Bayu Fauzi</v>
      </c>
      <c r="C156">
        <v>4</v>
      </c>
    </row>
    <row r="157" spans="2:3">
      <c r="B157" t="str">
        <v>Yudha Pratama</v>
      </c>
      <c r="C157">
        <v>4</v>
      </c>
    </row>
    <row r="158" spans="2:3">
      <c r="B158" t="str">
        <v>Yusuf Bintang Ningsih</v>
      </c>
      <c r="C158">
        <v>2</v>
      </c>
    </row>
    <row r="159" spans="2:3">
      <c r="B159" t="str">
        <v>Clara Iskandar</v>
      </c>
      <c r="C159">
        <v>2</v>
      </c>
    </row>
    <row r="160" spans="2:3">
      <c r="B160" t="str">
        <v>Raka Nur Anggraini</v>
      </c>
      <c r="C160">
        <v>4</v>
      </c>
    </row>
    <row r="161" spans="2:3">
      <c r="B161" t="str">
        <v>Bayu Rizal Wardana</v>
      </c>
      <c r="C161">
        <v>3</v>
      </c>
    </row>
    <row r="162" spans="2:3">
      <c r="B162" t="str">
        <v>Salsa Dwi Ananda</v>
      </c>
      <c r="C162">
        <v>3</v>
      </c>
    </row>
    <row r="163" spans="2:3">
      <c r="B163" t="str">
        <v>Bayu Putra Santoso Cahyani</v>
      </c>
      <c r="C163">
        <v>4</v>
      </c>
    </row>
    <row r="164" spans="2:3">
      <c r="B164" t="str">
        <v>Zahra Raka Salim Nugroho</v>
      </c>
      <c r="C164">
        <v>2</v>
      </c>
    </row>
    <row r="165" spans="2:3">
      <c r="B165" t="str">
        <v>Rosa Wijaya</v>
      </c>
      <c r="C165">
        <v>3</v>
      </c>
    </row>
    <row r="166" spans="2:3">
      <c r="B166" t="str">
        <v>Fadli Sari Cahyani</v>
      </c>
      <c r="C166">
        <v>2</v>
      </c>
    </row>
    <row r="167" spans="2:3">
      <c r="B167" t="str">
        <v>Anisa Anjani Prasetyo Santoso</v>
      </c>
      <c r="C167">
        <v>2</v>
      </c>
    </row>
    <row r="168" spans="2:3">
      <c r="B168" t="str">
        <v>Hana Bayu Ananda</v>
      </c>
      <c r="C168">
        <v>6</v>
      </c>
    </row>
    <row r="169" spans="2:3">
      <c r="B169" t="str">
        <v>Miko Ayu Wijaya</v>
      </c>
      <c r="C169">
        <v>3</v>
      </c>
    </row>
    <row r="170" spans="2:3">
      <c r="B170" t="str">
        <v>Amelia Lestari</v>
      </c>
      <c r="C170">
        <v>3</v>
      </c>
    </row>
    <row r="171" spans="2:3">
      <c r="B171" t="str">
        <v>Gina Sari Ningsih Putri</v>
      </c>
      <c r="C171">
        <v>3</v>
      </c>
    </row>
    <row r="172" spans="2:3">
      <c r="B172" t="str">
        <v>Rara Raka Anggraini Kurniawan</v>
      </c>
      <c r="C172">
        <v>4</v>
      </c>
    </row>
    <row r="173" spans="2:3">
      <c r="B173" t="str">
        <v>Putra Bayu Iskandar Susanto</v>
      </c>
      <c r="C173">
        <v>4</v>
      </c>
    </row>
    <row r="174" spans="2:3">
      <c r="B174" t="str">
        <v>Gita Santoso</v>
      </c>
      <c r="C174">
        <v>4</v>
      </c>
    </row>
    <row r="175" spans="2:3">
      <c r="B175" t="str">
        <v>Elsa Adi Yuliani</v>
      </c>
      <c r="C175">
        <v>4</v>
      </c>
    </row>
    <row r="176" spans="2:3">
      <c r="B176" t="str">
        <v>Niko Iskandar</v>
      </c>
      <c r="C176">
        <v>5</v>
      </c>
    </row>
    <row r="177" spans="2:3">
      <c r="B177" t="str">
        <v>Rara Raka Fauzi Pangestu</v>
      </c>
      <c r="C177">
        <v>2</v>
      </c>
    </row>
    <row r="178" spans="2:3">
      <c r="B178" t="str">
        <v>Vera Adi Putri</v>
      </c>
      <c r="C178">
        <v>4</v>
      </c>
    </row>
    <row r="179" spans="2:3">
      <c r="B179" t="str">
        <v>Gina Bintang Setiawan Pratama</v>
      </c>
      <c r="C179">
        <v>6</v>
      </c>
    </row>
    <row r="180" spans="2:3">
      <c r="B180" t="str">
        <v>Celine Prasetyo</v>
      </c>
      <c r="C180">
        <v>3</v>
      </c>
    </row>
    <row r="181" spans="2:3">
      <c r="B181" t="str">
        <v>Miko Aulia Susanto Wulandari</v>
      </c>
      <c r="C181">
        <v>6</v>
      </c>
    </row>
    <row r="182" spans="2:3">
      <c r="B182" t="str">
        <v>Julia Citra Kusuma Lestari</v>
      </c>
      <c r="C182">
        <v>3</v>
      </c>
    </row>
    <row r="183" spans="2:3">
      <c r="B183" t="str">
        <v>Indah Fajar Pratama</v>
      </c>
      <c r="C183">
        <v>4</v>
      </c>
    </row>
    <row r="184" spans="2:3">
      <c r="B184" t="str">
        <v>Reza Laksono</v>
      </c>
      <c r="C184">
        <v>2</v>
      </c>
    </row>
    <row r="185" spans="2:3">
      <c r="B185" t="str">
        <v>Febri Gunawan</v>
      </c>
      <c r="C185">
        <v>3</v>
      </c>
    </row>
    <row r="186" spans="2:3">
      <c r="B186" t="str">
        <v>Indra Pranoto</v>
      </c>
      <c r="C186">
        <v>7</v>
      </c>
    </row>
    <row r="187" spans="2:3">
      <c r="B187" t="str">
        <v>Putra Irawan</v>
      </c>
      <c r="C187">
        <v>5</v>
      </c>
    </row>
    <row r="188" spans="2:3">
      <c r="B188" t="str">
        <v>Ganesha Anggraini</v>
      </c>
      <c r="C188">
        <v>5</v>
      </c>
    </row>
    <row r="189" spans="2:3">
      <c r="B189" t="str">
        <v>Yoga Dwi Mulyadi Iskandar</v>
      </c>
      <c r="C189">
        <v>6</v>
      </c>
    </row>
    <row r="190" spans="2:3">
      <c r="B190" t="str">
        <v>Oki Adi Pratama Lestari</v>
      </c>
      <c r="C190">
        <v>6</v>
      </c>
    </row>
    <row r="191" spans="2:3">
      <c r="B191" t="str">
        <v>Olivia Naufal Wardana</v>
      </c>
      <c r="C191">
        <v>3</v>
      </c>
    </row>
    <row r="192" spans="2:3">
      <c r="B192" t="str">
        <v>Melati Rizal Cahyani</v>
      </c>
      <c r="C192">
        <v>4</v>
      </c>
    </row>
    <row r="193" spans="2:3">
      <c r="B193" t="str">
        <v>Yusuf Bintang Wibowo</v>
      </c>
      <c r="C193">
        <v>3</v>
      </c>
    </row>
    <row r="194" spans="2:3">
      <c r="B194" t="str">
        <v>Kiki Galang Suryanto</v>
      </c>
      <c r="C194">
        <v>3</v>
      </c>
    </row>
    <row r="195" spans="2:3">
      <c r="B195" t="str">
        <v>Karina Putri Suryanto</v>
      </c>
      <c r="C195">
        <v>2</v>
      </c>
    </row>
    <row r="196" spans="2:3">
      <c r="B196" t="str">
        <v>Nabila Utami</v>
      </c>
      <c r="C196">
        <v>2</v>
      </c>
    </row>
    <row r="197" spans="2:3">
      <c r="B197" t="str">
        <v>Mira Putri Pranoto Herlambang</v>
      </c>
      <c r="C197">
        <v>2</v>
      </c>
    </row>
    <row r="198" spans="2:3">
      <c r="B198" t="str">
        <v>Aisyah Setyawan</v>
      </c>
      <c r="C198">
        <v>5</v>
      </c>
    </row>
    <row r="199" spans="2:3">
      <c r="B199" t="str">
        <v>Wahyu Handayani</v>
      </c>
      <c r="C199">
        <v>7</v>
      </c>
    </row>
    <row r="200" spans="2:3">
      <c r="B200" t="str">
        <v>Kevin Rizki Pangestu Mahendra</v>
      </c>
      <c r="C200">
        <v>3</v>
      </c>
    </row>
    <row r="201" spans="2:3">
      <c r="B201" t="str">
        <v>Bella Fajar Salim Kusuma</v>
      </c>
      <c r="C201">
        <v>4</v>
      </c>
    </row>
    <row r="202" spans="2:3">
      <c r="B202" t="str">
        <v>Fadli Dwi Hakim</v>
      </c>
      <c r="C202">
        <v>5</v>
      </c>
    </row>
    <row r="203" spans="2:3">
      <c r="B203" t="str">
        <v>Oki Putra Rahman</v>
      </c>
      <c r="C203">
        <v>3</v>
      </c>
    </row>
    <row r="204" spans="2:3">
      <c r="B204" t="str">
        <v>Kania Prasetyo</v>
      </c>
      <c r="C204">
        <v>3</v>
      </c>
    </row>
    <row r="205" spans="2:3">
      <c r="B205" t="str">
        <v>Rian Pranoto</v>
      </c>
      <c r="C205">
        <v>5</v>
      </c>
    </row>
    <row r="206" spans="2:3">
      <c r="B206" t="str">
        <v>Sheila Hidayat</v>
      </c>
      <c r="C206">
        <v>3</v>
      </c>
    </row>
    <row r="207" spans="2:3">
      <c r="B207" t="str">
        <v>Raka Siregar</v>
      </c>
      <c r="C207">
        <v>5</v>
      </c>
    </row>
    <row r="208" spans="2:3">
      <c r="B208" t="str">
        <v>Olivia Lestari</v>
      </c>
      <c r="C208">
        <v>5</v>
      </c>
    </row>
    <row r="209" spans="2:3">
      <c r="B209" t="str">
        <v>Gina Siregar</v>
      </c>
      <c r="C209">
        <v>4</v>
      </c>
    </row>
    <row r="210" spans="2:3">
      <c r="B210" t="str">
        <v>Alya Adi Wibowo</v>
      </c>
      <c r="C210">
        <v>3</v>
      </c>
    </row>
    <row r="211" spans="2:3">
      <c r="B211" t="str">
        <v>Oki Gunawan</v>
      </c>
      <c r="C211">
        <v>5</v>
      </c>
    </row>
    <row r="212" spans="2:3">
      <c r="B212" t="str">
        <v>Doni Anjani Suryani</v>
      </c>
      <c r="C212">
        <v>6</v>
      </c>
    </row>
    <row r="213" spans="2:3">
      <c r="B213" t="str">
        <v>Aulia Suryanto</v>
      </c>
      <c r="C213">
        <v>6</v>
      </c>
    </row>
    <row r="214" spans="2:3">
      <c r="B214" t="str">
        <v>Dara Maulana</v>
      </c>
      <c r="C214">
        <v>6</v>
      </c>
    </row>
    <row r="215" spans="2:3">
      <c r="B215" t="str">
        <v>Tania Abdullah</v>
      </c>
      <c r="C215">
        <v>5</v>
      </c>
    </row>
    <row r="216" spans="2:3">
      <c r="B216" t="str">
        <v>Bella Raka Wijaya</v>
      </c>
      <c r="C216">
        <v>3</v>
      </c>
    </row>
    <row r="217" spans="2:3">
      <c r="B217" t="str">
        <v>Sinta Cahyani</v>
      </c>
      <c r="C217">
        <v>3</v>
      </c>
    </row>
    <row r="218" spans="2:3">
      <c r="B218" t="str">
        <v>Dinda Kirana Laksono</v>
      </c>
      <c r="C218">
        <v>3</v>
      </c>
    </row>
    <row r="219" spans="2:3">
      <c r="B219" t="str">
        <v>Alya Abdullah</v>
      </c>
      <c r="C219">
        <v>3</v>
      </c>
    </row>
    <row r="220" spans="2:3">
      <c r="B220" t="str">
        <v>Putri Raka Salim</v>
      </c>
      <c r="C220">
        <v>5</v>
      </c>
    </row>
    <row r="221" spans="2:3">
      <c r="B221" t="str">
        <v>Amelia Mulyadi</v>
      </c>
      <c r="C221">
        <v>4</v>
      </c>
    </row>
    <row r="222" spans="2:3">
      <c r="B222" t="str">
        <v>Arman Ayu Prasetyo</v>
      </c>
      <c r="C222">
        <v>5</v>
      </c>
    </row>
    <row r="223" spans="2:3">
      <c r="B223" t="str">
        <v>Hana Sari Fauzi Permadi</v>
      </c>
      <c r="C223">
        <v>4</v>
      </c>
    </row>
    <row r="224" spans="2:3">
      <c r="B224" t="str">
        <v>Dania Nur Siregar</v>
      </c>
      <c r="C224">
        <v>3</v>
      </c>
    </row>
    <row r="225" spans="2:3">
      <c r="B225" t="str">
        <v>Putra Kusuma</v>
      </c>
      <c r="C225">
        <v>3</v>
      </c>
    </row>
    <row r="226" spans="2:3">
      <c r="B226" t="str">
        <v>Elisa Sari Putri Pratama</v>
      </c>
      <c r="C226">
        <v>4</v>
      </c>
    </row>
    <row r="227" spans="2:3">
      <c r="B227" t="str">
        <v>Nisa Citra Salim</v>
      </c>
      <c r="C227">
        <v>5</v>
      </c>
    </row>
    <row r="228" spans="2:3">
      <c r="B228" t="str">
        <v>Kevin Wulandari</v>
      </c>
      <c r="C228">
        <v>5</v>
      </c>
    </row>
    <row r="229" spans="2:3">
      <c r="B229" t="str">
        <v>Yoga Ayu Putri</v>
      </c>
      <c r="C229">
        <v>6</v>
      </c>
    </row>
    <row r="230" spans="2:3">
      <c r="B230" t="str">
        <v>Siska Adi Kurnia</v>
      </c>
      <c r="C230">
        <v>4</v>
      </c>
    </row>
    <row r="231" spans="2:3">
      <c r="B231" t="str">
        <v>Sofyan Ayu Fauzi</v>
      </c>
      <c r="C231">
        <v>2</v>
      </c>
    </row>
    <row r="232" spans="2:3">
      <c r="B232" t="str">
        <v>Rosa Kirana Pranoto Purnama</v>
      </c>
      <c r="C232">
        <v>2</v>
      </c>
    </row>
    <row r="233" spans="2:3">
      <c r="B233" t="str">
        <v>Bima Dian Utami Purnama</v>
      </c>
      <c r="C233">
        <v>2</v>
      </c>
    </row>
    <row r="234" spans="2:3">
      <c r="B234" t="str">
        <v>Rara Pranoto</v>
      </c>
      <c r="C234">
        <v>5</v>
      </c>
    </row>
    <row r="235" spans="2:3">
      <c r="B235" t="str">
        <v>Ghani Rizal Permadi</v>
      </c>
      <c r="C235">
        <v>2</v>
      </c>
    </row>
    <row r="236" spans="2:3">
      <c r="B236" t="str">
        <v>Iqbal Ramadhan</v>
      </c>
      <c r="C236">
        <v>2</v>
      </c>
    </row>
    <row r="237" spans="2:3">
      <c r="B237" t="str">
        <v>Arman Adi Kurnia Herlambang</v>
      </c>
      <c r="C237">
        <v>2</v>
      </c>
    </row>
    <row r="238" spans="2:3">
      <c r="B238" t="str">
        <v>Nanda Kirana Pratama</v>
      </c>
      <c r="C238">
        <v>2</v>
      </c>
    </row>
    <row r="239" spans="2:3">
      <c r="B239" t="str">
        <v>Clara Anggraini</v>
      </c>
      <c r="C239">
        <v>4</v>
      </c>
    </row>
    <row r="240" spans="2:3">
      <c r="B240" t="str">
        <v>Siska Nur Wardana</v>
      </c>
      <c r="C240">
        <v>3</v>
      </c>
    </row>
    <row r="241" spans="2:3">
      <c r="B241" t="str">
        <v>Fajar Iskandar</v>
      </c>
      <c r="C241">
        <v>2</v>
      </c>
    </row>
    <row r="242" spans="2:3">
      <c r="B242" t="str">
        <v>Sofyan Raka Anggraini</v>
      </c>
      <c r="C242">
        <v>4</v>
      </c>
    </row>
    <row r="243" spans="2:3">
      <c r="B243" t="str">
        <v>Rafi Pratama</v>
      </c>
      <c r="C243">
        <v>5</v>
      </c>
    </row>
    <row r="244" spans="2:3">
      <c r="B244" t="str">
        <v>Amelia Laksono</v>
      </c>
      <c r="C244">
        <v>5</v>
      </c>
    </row>
    <row r="245" spans="2:3">
      <c r="B245" t="str">
        <v>Aisyah Naufal Herlambang</v>
      </c>
      <c r="C245">
        <v>3</v>
      </c>
    </row>
    <row r="246" spans="2:3">
      <c r="B246" t="str">
        <v>Melati Aulia Purnama</v>
      </c>
      <c r="C246">
        <v>5</v>
      </c>
    </row>
    <row r="247" spans="2:3">
      <c r="B247" t="str">
        <v>Rosa Naufal Nugroho</v>
      </c>
      <c r="C247">
        <v>4</v>
      </c>
    </row>
    <row r="248" spans="2:3">
      <c r="B248" t="str">
        <v>Nabila Aulia Handayani Rahman</v>
      </c>
      <c r="C248">
        <v>4</v>
      </c>
    </row>
    <row r="249" spans="2:3">
      <c r="B249" t="str">
        <v>Salsa Kusnadi</v>
      </c>
      <c r="C249">
        <v>3</v>
      </c>
    </row>
    <row r="250" spans="2:3">
      <c r="B250" t="str">
        <v>Aulia Raka Iskandar</v>
      </c>
      <c r="C250">
        <v>2</v>
      </c>
    </row>
    <row r="251" spans="2:3">
      <c r="B251" t="str">
        <v>Irfan Mahendra</v>
      </c>
      <c r="C251">
        <v>2</v>
      </c>
    </row>
    <row r="252" spans="2:3">
      <c r="B252" t="str">
        <v>Andika Firmansyah</v>
      </c>
      <c r="C252">
        <v>4</v>
      </c>
    </row>
    <row r="253" spans="2:3">
      <c r="B253" t="str">
        <v>Tiara Citra Wulandari</v>
      </c>
      <c r="C253">
        <v>4</v>
      </c>
    </row>
    <row r="254" spans="2:3">
      <c r="B254" t="str">
        <v>Rani Handayani</v>
      </c>
      <c r="C254">
        <v>4</v>
      </c>
    </row>
    <row r="255" spans="2:3">
      <c r="B255" t="str">
        <v>Ardi Nur Salim</v>
      </c>
      <c r="C255">
        <v>4</v>
      </c>
    </row>
    <row r="256" spans="2:3">
      <c r="B256" t="str">
        <v>Eka Herlambang</v>
      </c>
      <c r="C256">
        <v>4</v>
      </c>
    </row>
    <row r="257" spans="2:3">
      <c r="B257" t="str">
        <v>Dara Susanto</v>
      </c>
      <c r="C257">
        <v>3</v>
      </c>
    </row>
    <row r="258" spans="2:3">
      <c r="B258" t="str">
        <v>Adit Adi Pranoto</v>
      </c>
      <c r="C258">
        <v>2</v>
      </c>
    </row>
    <row r="259" spans="2:3">
      <c r="B259" t="str">
        <v>Fikri Utami</v>
      </c>
      <c r="C259">
        <v>5</v>
      </c>
    </row>
    <row r="260" spans="2:3">
      <c r="B260" t="str">
        <v>Cahya Dwi Anggraini Iskandar</v>
      </c>
      <c r="C260">
        <v>2</v>
      </c>
    </row>
    <row r="261" spans="2:3">
      <c r="B261" t="str">
        <v>Niko Rahman</v>
      </c>
      <c r="C261">
        <v>4</v>
      </c>
    </row>
    <row r="262" spans="2:3">
      <c r="B262" t="str">
        <v>Dania Galang Rahman Hakim</v>
      </c>
      <c r="C262">
        <v>6</v>
      </c>
    </row>
    <row r="263" spans="2:3">
      <c r="B263" t="str">
        <v>Yusuf Laksono</v>
      </c>
      <c r="C263">
        <v>3</v>
      </c>
    </row>
    <row r="264" spans="2:3">
      <c r="B264" t="str">
        <v>Satria Fajar Pangestu</v>
      </c>
      <c r="C264">
        <v>3</v>
      </c>
    </row>
    <row r="265" spans="2:3">
      <c r="B265" t="str">
        <v>Tiara Naufal Lestari</v>
      </c>
      <c r="C265">
        <v>5</v>
      </c>
    </row>
    <row r="266" spans="2:3">
      <c r="B266" t="str">
        <v>Elsa Ramadhan</v>
      </c>
      <c r="C266">
        <v>3</v>
      </c>
    </row>
    <row r="267" spans="2:3">
      <c r="B267" t="str">
        <v>Reza Kusnadi</v>
      </c>
      <c r="C267">
        <v>3</v>
      </c>
    </row>
    <row r="268" spans="2:3">
      <c r="B268" t="str">
        <v>Farah Dian Santoso</v>
      </c>
      <c r="C268">
        <v>3</v>
      </c>
    </row>
    <row r="269" spans="2:3">
      <c r="B269" t="str">
        <v>Laura Laksono</v>
      </c>
      <c r="C269">
        <v>2</v>
      </c>
    </row>
    <row r="270" spans="2:3">
      <c r="B270" t="str">
        <v>Oscar Rizki Suryanto</v>
      </c>
      <c r="C270">
        <v>3</v>
      </c>
    </row>
    <row r="271" spans="2:3">
      <c r="B271" t="str">
        <v>Dara Bayu Prasetyo</v>
      </c>
      <c r="C271">
        <v>4</v>
      </c>
    </row>
    <row r="272" spans="2:3">
      <c r="B272" t="str">
        <v>Arif Kirana Setiawan</v>
      </c>
      <c r="C272">
        <v>3</v>
      </c>
    </row>
    <row r="273" spans="2:3">
      <c r="B273" t="str">
        <v>Melati Putri</v>
      </c>
      <c r="C273">
        <v>4</v>
      </c>
    </row>
    <row r="274" spans="2:3">
      <c r="B274" t="str">
        <v>Arman Suryani</v>
      </c>
      <c r="C274">
        <v>2</v>
      </c>
    </row>
    <row r="275" spans="2:3">
      <c r="B275" t="str">
        <v>Olivia Kusnadi</v>
      </c>
      <c r="C275">
        <v>2</v>
      </c>
    </row>
    <row r="276" spans="2:3">
      <c r="B276" t="str">
        <v>Rosa Setiawan</v>
      </c>
      <c r="C276">
        <v>2</v>
      </c>
    </row>
    <row r="277" spans="2:3">
      <c r="B277" t="str">
        <v>Nisa Salim</v>
      </c>
      <c r="C277">
        <v>2</v>
      </c>
    </row>
    <row r="278" spans="2:3">
      <c r="B278" t="str">
        <v>Rafi Adi Mulyadi</v>
      </c>
      <c r="C278">
        <v>4</v>
      </c>
    </row>
    <row r="279" spans="2:3">
      <c r="B279" t="str">
        <v>Agung Kirana Maulana</v>
      </c>
      <c r="C279">
        <v>2</v>
      </c>
    </row>
    <row r="280" spans="2:3">
      <c r="B280" t="str">
        <v>Andika Saputra</v>
      </c>
      <c r="C280">
        <v>2</v>
      </c>
    </row>
    <row r="281" spans="2:3">
      <c r="B281" t="str">
        <v>Wahyu Putri Wulandari Wijaya</v>
      </c>
      <c r="C281">
        <v>3</v>
      </c>
    </row>
    <row r="282" spans="2:3">
      <c r="B282" t="str">
        <v>Danu Raka Santoso</v>
      </c>
      <c r="C282">
        <v>3</v>
      </c>
    </row>
    <row r="283" spans="2:3">
      <c r="B283" t="str">
        <v>Intan Putri Wardana Rahman</v>
      </c>
      <c r="C283">
        <v>4</v>
      </c>
    </row>
    <row r="284" spans="2:3">
      <c r="B284" t="str">
        <v>Taufik Putri</v>
      </c>
      <c r="C284">
        <v>5</v>
      </c>
    </row>
    <row r="285" spans="2:3">
      <c r="B285" t="str">
        <v>Irfan Raka Salim</v>
      </c>
      <c r="C285">
        <v>5</v>
      </c>
    </row>
    <row r="286" spans="2:3">
      <c r="B286" t="str">
        <v>Putri Adi Prasetyo</v>
      </c>
      <c r="C286">
        <v>2</v>
      </c>
    </row>
    <row r="287" spans="2:3">
      <c r="B287" t="str">
        <v>Farah Hidayat</v>
      </c>
      <c r="C287">
        <v>4</v>
      </c>
    </row>
    <row r="288" spans="2:3">
      <c r="B288" t="str">
        <v>Nadia Rizal Pranoto</v>
      </c>
      <c r="C288">
        <v>4</v>
      </c>
    </row>
    <row r="289" spans="2:3">
      <c r="B289" t="str">
        <v>Yudha Abdullah</v>
      </c>
      <c r="C289">
        <v>5</v>
      </c>
    </row>
    <row r="290" spans="2:3">
      <c r="B290" t="str">
        <v>Olivia Fajar Rahman</v>
      </c>
      <c r="C290">
        <v>5</v>
      </c>
    </row>
    <row r="291" spans="2:3">
      <c r="B291" t="str">
        <v>Agung Nur Pranoto</v>
      </c>
      <c r="C291">
        <v>2</v>
      </c>
    </row>
    <row r="292" spans="2:3">
      <c r="B292" t="str">
        <v>Rafi Laksono</v>
      </c>
      <c r="C292">
        <v>2</v>
      </c>
    </row>
    <row r="293" spans="2:3">
      <c r="B293" t="str">
        <v>Fauzan Mulyadi</v>
      </c>
      <c r="C293">
        <v>5</v>
      </c>
    </row>
    <row r="294" spans="2:3">
      <c r="B294" t="str">
        <v>Amelia Bintang Susanto Lestari</v>
      </c>
      <c r="C294">
        <v>3</v>
      </c>
    </row>
    <row r="295" spans="2:3">
      <c r="B295" t="str">
        <v>Laras Adi Hakim</v>
      </c>
      <c r="C295">
        <v>4</v>
      </c>
    </row>
    <row r="296" spans="2:3">
      <c r="B296" t="str">
        <v>Kania Gunawan</v>
      </c>
      <c r="C296">
        <v>3</v>
      </c>
    </row>
    <row r="297" spans="2:3">
      <c r="B297" t="str">
        <v>Dania Kurniawan</v>
      </c>
      <c r="C297">
        <v>4</v>
      </c>
    </row>
    <row r="298" spans="2:3">
      <c r="B298" t="str">
        <v>Rian Ramadhan</v>
      </c>
      <c r="C298">
        <v>2</v>
      </c>
    </row>
    <row r="299" spans="2:3">
      <c r="B299" t="str">
        <v>Laras Hidayat</v>
      </c>
      <c r="C299">
        <v>2</v>
      </c>
    </row>
    <row r="300" spans="2:3">
      <c r="B300" t="str">
        <v>Vera Pratama</v>
      </c>
      <c r="C300">
        <v>6</v>
      </c>
    </row>
    <row r="301" spans="2:3">
      <c r="B301" t="str">
        <v>Rosa Mahendra</v>
      </c>
      <c r="C301">
        <v>2</v>
      </c>
    </row>
    <row r="302" spans="2:3">
      <c r="B302" t="str">
        <v>Umar Bintang Yuliani</v>
      </c>
      <c r="C302">
        <v>3</v>
      </c>
    </row>
    <row r="303" spans="2:3">
      <c r="B303" t="str">
        <v>Satria Dian Ramadhan</v>
      </c>
      <c r="C303">
        <v>2</v>
      </c>
    </row>
    <row r="304" spans="2:3">
      <c r="B304" t="str">
        <v>Jihan Anjani Handayani</v>
      </c>
      <c r="C304">
        <v>2</v>
      </c>
    </row>
    <row r="305" spans="2:3">
      <c r="B305" t="str">
        <v>Celine Kirana Abdullah</v>
      </c>
      <c r="C305">
        <v>3</v>
      </c>
    </row>
    <row r="306" spans="2:3">
      <c r="B306" t="str">
        <v>Ratih Wardana</v>
      </c>
      <c r="C306">
        <v>2</v>
      </c>
    </row>
    <row r="307" spans="2:3">
      <c r="B307" t="str">
        <v>Kiki Ramadhan</v>
      </c>
      <c r="C307">
        <v>2</v>
      </c>
    </row>
    <row r="308" spans="2:3">
      <c r="B308" t="str">
        <v>Kiki Anjani Prasetyo Wijaya</v>
      </c>
      <c r="C308">
        <v>5</v>
      </c>
    </row>
    <row r="309" spans="2:3">
      <c r="B309" t="str">
        <v>Joko Kirana Siregar Iskandar</v>
      </c>
      <c r="C309">
        <v>3</v>
      </c>
    </row>
    <row r="310" spans="2:3">
      <c r="B310" t="str">
        <v>Sheila Irawan</v>
      </c>
      <c r="C310">
        <v>5</v>
      </c>
    </row>
    <row r="311" spans="2:3">
      <c r="B311" t="str">
        <v>Joko Firmansyah</v>
      </c>
      <c r="C311">
        <v>3</v>
      </c>
    </row>
    <row r="312" spans="2:3">
      <c r="B312" t="str">
        <v>Iqbal Permata</v>
      </c>
      <c r="C312">
        <v>2</v>
      </c>
    </row>
    <row r="313" spans="2:3">
      <c r="B313" t="str">
        <v>Ghani Fajar Wijaya</v>
      </c>
      <c r="C313">
        <v>2</v>
      </c>
    </row>
    <row r="314" spans="2:3">
      <c r="B314" t="str">
        <v>Elisa Salim</v>
      </c>
      <c r="C314">
        <v>2</v>
      </c>
    </row>
    <row r="315" spans="2:3">
      <c r="B315" t="str">
        <v>Febri Dian Wijaya</v>
      </c>
      <c r="C315">
        <v>3</v>
      </c>
    </row>
    <row r="316" spans="2:3">
      <c r="B316" t="str">
        <v>Taufik Firmansyah</v>
      </c>
      <c r="C316">
        <v>2</v>
      </c>
    </row>
    <row r="317" spans="2:3">
      <c r="B317" t="str">
        <v>Mia Herlambang</v>
      </c>
      <c r="C317">
        <v>2</v>
      </c>
    </row>
    <row r="318" spans="2:3">
      <c r="B318" t="str">
        <v>Bima Saputra</v>
      </c>
      <c r="C318">
        <v>2</v>
      </c>
    </row>
    <row r="319" spans="2:3">
      <c r="B319" t="str">
        <v>Alya Adi Hakim</v>
      </c>
      <c r="C319">
        <v>2</v>
      </c>
    </row>
    <row r="320" spans="2:3">
      <c r="B320" t="str">
        <v>Sinta Bayu Setyawan</v>
      </c>
      <c r="C320">
        <v>5</v>
      </c>
    </row>
    <row r="321" spans="2:3">
      <c r="B321" t="str">
        <v>Salsa Gunawan</v>
      </c>
      <c r="C321">
        <v>3</v>
      </c>
    </row>
    <row r="322" spans="2:3">
      <c r="B322" t="str">
        <v>Alya Salim</v>
      </c>
      <c r="C322">
        <v>3</v>
      </c>
    </row>
  </sheetData>
  <mergeCells count="6">
    <mergeCell ref="H37:L48"/>
    <mergeCell ref="B5:E5"/>
    <mergeCell ref="B20:C20"/>
    <mergeCell ref="E19:F19"/>
    <mergeCell ref="E20:F20"/>
    <mergeCell ref="H20:I20"/>
  </mergeCell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7AF2-0FB5-442B-B8A3-120B995743D9}">
  <dimension ref="A1:Q1201"/>
  <sheetViews>
    <sheetView workbookViewId="0">
      <selection activeCell="C5" sqref="C5"/>
    </sheetView>
  </sheetViews>
  <sheetFormatPr defaultRowHeight="14.4"/>
  <cols>
    <col min="1" max="1" width="12.5546875" bestFit="1" customWidth="1"/>
    <col min="2" max="2" width="14.77734375" bestFit="1" customWidth="1"/>
    <col min="3" max="3" width="15.88671875" bestFit="1" customWidth="1"/>
    <col min="4" max="4" width="14.6640625" bestFit="1" customWidth="1"/>
    <col min="5" max="5" width="12.5546875" bestFit="1" customWidth="1"/>
    <col min="6" max="6" width="13.88671875" bestFit="1" customWidth="1"/>
    <col min="7" max="7" width="14.77734375" bestFit="1" customWidth="1"/>
    <col min="8" max="8" width="16.21875" bestFit="1" customWidth="1"/>
    <col min="9" max="9" width="12.6640625" bestFit="1" customWidth="1"/>
    <col min="10" max="11" width="17" bestFit="1" customWidth="1"/>
    <col min="12" max="12" width="20.77734375" bestFit="1" customWidth="1"/>
    <col min="13" max="13" width="11.33203125" bestFit="1" customWidth="1"/>
    <col min="14" max="14" width="16" bestFit="1" customWidth="1"/>
    <col min="15" max="15" width="11.109375" bestFit="1" customWidth="1"/>
    <col min="16" max="16" width="15.44140625" bestFit="1" customWidth="1"/>
    <col min="17" max="17" width="13.21875" bestFit="1" customWidth="1"/>
  </cols>
  <sheetData>
    <row r="1" spans="1:17">
      <c r="A1" s="1" t="s">
        <v>857</v>
      </c>
      <c r="B1" s="1" t="s">
        <v>858</v>
      </c>
      <c r="C1" s="1" t="s">
        <v>0</v>
      </c>
      <c r="D1" s="1" t="s">
        <v>720</v>
      </c>
      <c r="E1" s="1" t="s">
        <v>859</v>
      </c>
      <c r="F1" s="1" t="s">
        <v>724</v>
      </c>
      <c r="G1" s="1" t="s">
        <v>860</v>
      </c>
      <c r="H1" s="1" t="s">
        <v>861</v>
      </c>
      <c r="I1" s="1" t="s">
        <v>862</v>
      </c>
      <c r="J1" s="1" t="s">
        <v>863</v>
      </c>
      <c r="K1" s="1" t="s">
        <v>864</v>
      </c>
      <c r="L1" s="1" t="s">
        <v>865</v>
      </c>
      <c r="M1" s="1" t="s">
        <v>866</v>
      </c>
      <c r="N1" s="1" t="s">
        <v>867</v>
      </c>
      <c r="O1" s="1" t="s">
        <v>868</v>
      </c>
      <c r="P1" s="1" t="s">
        <v>869</v>
      </c>
      <c r="Q1" s="1" t="s">
        <v>870</v>
      </c>
    </row>
    <row r="2" spans="1:17">
      <c r="A2" t="s">
        <v>871</v>
      </c>
      <c r="B2" s="6">
        <v>45745</v>
      </c>
      <c r="C2" t="s">
        <v>340</v>
      </c>
      <c r="D2" t="s">
        <v>833</v>
      </c>
      <c r="E2">
        <v>2</v>
      </c>
      <c r="F2" s="7">
        <v>200000</v>
      </c>
      <c r="G2" s="7">
        <v>400000</v>
      </c>
      <c r="H2" t="s">
        <v>872</v>
      </c>
      <c r="I2" s="7">
        <v>0</v>
      </c>
      <c r="J2" s="7">
        <v>10000</v>
      </c>
      <c r="K2" s="7">
        <v>410000</v>
      </c>
      <c r="L2" t="s">
        <v>873</v>
      </c>
      <c r="M2" t="s">
        <v>874</v>
      </c>
      <c r="N2" t="s">
        <v>875</v>
      </c>
      <c r="O2" t="s">
        <v>876</v>
      </c>
      <c r="P2" t="s">
        <v>877</v>
      </c>
      <c r="Q2" s="7">
        <v>400000</v>
      </c>
    </row>
    <row r="3" spans="1:17">
      <c r="A3" t="s">
        <v>878</v>
      </c>
      <c r="B3" s="6">
        <v>45738</v>
      </c>
      <c r="C3" t="s">
        <v>186</v>
      </c>
      <c r="D3" t="s">
        <v>817</v>
      </c>
      <c r="E3">
        <v>1</v>
      </c>
      <c r="F3" s="7">
        <v>75000</v>
      </c>
      <c r="G3" s="7">
        <v>75000</v>
      </c>
      <c r="H3" t="s">
        <v>879</v>
      </c>
      <c r="I3" s="7">
        <v>15000</v>
      </c>
      <c r="J3" s="7">
        <v>10000</v>
      </c>
      <c r="K3" s="7">
        <v>70000</v>
      </c>
      <c r="L3" t="s">
        <v>880</v>
      </c>
      <c r="M3" t="s">
        <v>881</v>
      </c>
      <c r="N3" t="s">
        <v>875</v>
      </c>
      <c r="O3" t="s">
        <v>876</v>
      </c>
      <c r="P3" t="s">
        <v>877</v>
      </c>
      <c r="Q3" s="7">
        <v>60000</v>
      </c>
    </row>
    <row r="4" spans="1:17">
      <c r="A4" t="s">
        <v>882</v>
      </c>
      <c r="B4" s="6">
        <v>45728</v>
      </c>
      <c r="C4" t="s">
        <v>532</v>
      </c>
      <c r="D4" t="s">
        <v>799</v>
      </c>
      <c r="E4">
        <v>2</v>
      </c>
      <c r="F4" s="7">
        <v>35000</v>
      </c>
      <c r="G4" s="7">
        <v>70000</v>
      </c>
      <c r="H4" t="s">
        <v>883</v>
      </c>
      <c r="I4" s="7">
        <v>7000</v>
      </c>
      <c r="J4" s="7">
        <v>30000</v>
      </c>
      <c r="K4" s="7">
        <v>93000</v>
      </c>
      <c r="L4" t="s">
        <v>884</v>
      </c>
      <c r="M4" t="s">
        <v>874</v>
      </c>
      <c r="N4" t="s">
        <v>875</v>
      </c>
      <c r="O4" t="s">
        <v>876</v>
      </c>
      <c r="P4" t="s">
        <v>877</v>
      </c>
      <c r="Q4" s="7">
        <v>63000</v>
      </c>
    </row>
    <row r="5" spans="1:17">
      <c r="A5" t="s">
        <v>885</v>
      </c>
      <c r="B5" s="6">
        <v>45706</v>
      </c>
      <c r="C5" t="s">
        <v>590</v>
      </c>
      <c r="D5" t="s">
        <v>767</v>
      </c>
      <c r="E5">
        <v>1</v>
      </c>
      <c r="F5" s="7">
        <v>150000</v>
      </c>
      <c r="G5" s="7">
        <v>150000</v>
      </c>
      <c r="H5" t="s">
        <v>886</v>
      </c>
      <c r="I5" s="7">
        <v>15000</v>
      </c>
      <c r="J5" s="7">
        <v>25000</v>
      </c>
      <c r="K5" s="7">
        <v>160000</v>
      </c>
      <c r="L5" t="s">
        <v>873</v>
      </c>
      <c r="M5" t="s">
        <v>881</v>
      </c>
      <c r="N5" t="s">
        <v>875</v>
      </c>
      <c r="O5" t="s">
        <v>887</v>
      </c>
      <c r="P5" t="s">
        <v>877</v>
      </c>
      <c r="Q5" s="7">
        <v>135000</v>
      </c>
    </row>
    <row r="6" spans="1:17">
      <c r="A6" t="s">
        <v>888</v>
      </c>
      <c r="B6" s="6">
        <v>45770</v>
      </c>
      <c r="C6" t="s">
        <v>246</v>
      </c>
      <c r="D6" t="s">
        <v>795</v>
      </c>
      <c r="E6">
        <v>3</v>
      </c>
      <c r="F6" s="7">
        <v>100000</v>
      </c>
      <c r="G6" s="7">
        <v>300000</v>
      </c>
      <c r="H6" t="s">
        <v>883</v>
      </c>
      <c r="I6" s="7">
        <v>30000</v>
      </c>
      <c r="J6" s="7">
        <v>20000</v>
      </c>
      <c r="K6" s="7">
        <v>290000</v>
      </c>
      <c r="L6" t="s">
        <v>889</v>
      </c>
      <c r="M6" t="s">
        <v>874</v>
      </c>
      <c r="N6" t="s">
        <v>890</v>
      </c>
      <c r="O6" t="s">
        <v>891</v>
      </c>
      <c r="P6" t="s">
        <v>892</v>
      </c>
      <c r="Q6" s="7">
        <v>270000</v>
      </c>
    </row>
    <row r="7" spans="1:17">
      <c r="A7" t="s">
        <v>893</v>
      </c>
      <c r="B7" s="6">
        <v>45689</v>
      </c>
      <c r="C7" t="s">
        <v>550</v>
      </c>
      <c r="D7" t="s">
        <v>755</v>
      </c>
      <c r="E7">
        <v>1</v>
      </c>
      <c r="F7" s="7">
        <v>50000</v>
      </c>
      <c r="G7" s="7">
        <v>50000</v>
      </c>
      <c r="H7" t="s">
        <v>879</v>
      </c>
      <c r="I7" s="7">
        <v>10000</v>
      </c>
      <c r="J7" s="7">
        <v>15000</v>
      </c>
      <c r="K7" s="7">
        <v>55000</v>
      </c>
      <c r="L7" t="s">
        <v>884</v>
      </c>
      <c r="M7" t="s">
        <v>881</v>
      </c>
      <c r="N7" t="s">
        <v>875</v>
      </c>
      <c r="O7" t="s">
        <v>887</v>
      </c>
      <c r="P7" t="s">
        <v>877</v>
      </c>
      <c r="Q7" s="7">
        <v>40000</v>
      </c>
    </row>
    <row r="8" spans="1:17">
      <c r="A8" t="s">
        <v>894</v>
      </c>
      <c r="B8" s="6">
        <v>45792</v>
      </c>
      <c r="C8" t="s">
        <v>716</v>
      </c>
      <c r="D8" t="s">
        <v>751</v>
      </c>
      <c r="E8">
        <v>1</v>
      </c>
      <c r="F8" s="7">
        <v>150000</v>
      </c>
      <c r="G8" s="7">
        <v>150000</v>
      </c>
      <c r="H8" t="s">
        <v>895</v>
      </c>
      <c r="I8" s="7">
        <v>22500</v>
      </c>
      <c r="J8" s="7">
        <v>30000</v>
      </c>
      <c r="K8" s="7">
        <v>157500</v>
      </c>
      <c r="L8" t="s">
        <v>884</v>
      </c>
      <c r="M8" t="s">
        <v>881</v>
      </c>
      <c r="N8" t="s">
        <v>875</v>
      </c>
      <c r="O8" t="s">
        <v>896</v>
      </c>
      <c r="P8" t="s">
        <v>877</v>
      </c>
      <c r="Q8" s="7">
        <v>127500</v>
      </c>
    </row>
    <row r="9" spans="1:17">
      <c r="A9" t="s">
        <v>897</v>
      </c>
      <c r="B9" s="6">
        <v>45729</v>
      </c>
      <c r="C9" t="s">
        <v>125</v>
      </c>
      <c r="D9" t="s">
        <v>849</v>
      </c>
      <c r="E9">
        <v>4</v>
      </c>
      <c r="F9" s="7">
        <v>500000</v>
      </c>
      <c r="G9" s="7">
        <v>2000000</v>
      </c>
      <c r="H9" t="s">
        <v>872</v>
      </c>
      <c r="I9" s="7">
        <v>0</v>
      </c>
      <c r="J9" s="7">
        <v>15000</v>
      </c>
      <c r="K9" s="7">
        <v>2015000</v>
      </c>
      <c r="L9" t="s">
        <v>880</v>
      </c>
      <c r="M9" t="s">
        <v>874</v>
      </c>
      <c r="N9" t="s">
        <v>875</v>
      </c>
      <c r="O9" t="s">
        <v>876</v>
      </c>
      <c r="P9" t="s">
        <v>877</v>
      </c>
      <c r="Q9" s="7">
        <v>2000000</v>
      </c>
    </row>
    <row r="10" spans="1:17">
      <c r="A10" t="s">
        <v>898</v>
      </c>
      <c r="B10" s="6">
        <v>45692</v>
      </c>
      <c r="C10" t="s">
        <v>210</v>
      </c>
      <c r="D10" t="s">
        <v>783</v>
      </c>
      <c r="E10">
        <v>3</v>
      </c>
      <c r="F10" s="7">
        <v>500000</v>
      </c>
      <c r="G10" s="7">
        <v>1500000</v>
      </c>
      <c r="H10" t="s">
        <v>872</v>
      </c>
      <c r="I10" s="7">
        <v>0</v>
      </c>
      <c r="J10" s="7">
        <v>30000</v>
      </c>
      <c r="K10" s="7">
        <v>1530000</v>
      </c>
      <c r="L10" t="s">
        <v>880</v>
      </c>
      <c r="M10" t="s">
        <v>874</v>
      </c>
      <c r="N10" t="s">
        <v>875</v>
      </c>
      <c r="O10" t="s">
        <v>887</v>
      </c>
      <c r="P10" t="s">
        <v>877</v>
      </c>
      <c r="Q10" s="7">
        <v>1500000</v>
      </c>
    </row>
    <row r="11" spans="1:17">
      <c r="A11" t="s">
        <v>899</v>
      </c>
      <c r="B11" s="6">
        <v>45799</v>
      </c>
      <c r="C11" t="s">
        <v>464</v>
      </c>
      <c r="D11" t="s">
        <v>845</v>
      </c>
      <c r="E11">
        <v>1</v>
      </c>
      <c r="F11" s="7">
        <v>300000</v>
      </c>
      <c r="G11" s="7">
        <v>300000</v>
      </c>
      <c r="H11" t="s">
        <v>883</v>
      </c>
      <c r="I11" s="7">
        <v>30000</v>
      </c>
      <c r="J11" s="7">
        <v>30000</v>
      </c>
      <c r="K11" s="7">
        <v>300000</v>
      </c>
      <c r="L11" t="s">
        <v>889</v>
      </c>
      <c r="M11" t="s">
        <v>881</v>
      </c>
      <c r="N11" t="s">
        <v>875</v>
      </c>
      <c r="O11" t="s">
        <v>896</v>
      </c>
      <c r="P11" t="s">
        <v>877</v>
      </c>
      <c r="Q11" s="7">
        <v>270000</v>
      </c>
    </row>
    <row r="12" spans="1:17">
      <c r="A12" t="s">
        <v>900</v>
      </c>
      <c r="B12" s="6">
        <v>45804</v>
      </c>
      <c r="C12" t="s">
        <v>89</v>
      </c>
      <c r="D12" t="s">
        <v>793</v>
      </c>
      <c r="E12">
        <v>2</v>
      </c>
      <c r="F12" s="7">
        <v>500000</v>
      </c>
      <c r="G12" s="7">
        <v>1000000</v>
      </c>
      <c r="H12" t="s">
        <v>872</v>
      </c>
      <c r="I12" s="7">
        <v>0</v>
      </c>
      <c r="J12" s="7">
        <v>15000</v>
      </c>
      <c r="K12" s="7">
        <v>1015000</v>
      </c>
      <c r="L12" t="s">
        <v>880</v>
      </c>
      <c r="M12" t="s">
        <v>901</v>
      </c>
      <c r="N12" t="s">
        <v>890</v>
      </c>
      <c r="O12" t="s">
        <v>896</v>
      </c>
      <c r="P12" t="s">
        <v>892</v>
      </c>
      <c r="Q12" s="7">
        <v>1000000</v>
      </c>
    </row>
    <row r="13" spans="1:17">
      <c r="A13" t="s">
        <v>902</v>
      </c>
      <c r="B13" s="6">
        <v>45787</v>
      </c>
      <c r="C13" t="s">
        <v>408</v>
      </c>
      <c r="D13" t="s">
        <v>781</v>
      </c>
      <c r="E13">
        <v>4</v>
      </c>
      <c r="F13" s="7">
        <v>50000</v>
      </c>
      <c r="G13" s="7">
        <v>200000</v>
      </c>
      <c r="H13" t="s">
        <v>895</v>
      </c>
      <c r="I13" s="7">
        <v>30000</v>
      </c>
      <c r="J13" s="7">
        <v>10000</v>
      </c>
      <c r="K13" s="7">
        <v>180000</v>
      </c>
      <c r="L13" t="s">
        <v>873</v>
      </c>
      <c r="M13" t="s">
        <v>903</v>
      </c>
      <c r="N13" t="s">
        <v>875</v>
      </c>
      <c r="O13" t="s">
        <v>896</v>
      </c>
      <c r="P13" t="s">
        <v>877</v>
      </c>
      <c r="Q13" s="7">
        <v>170000</v>
      </c>
    </row>
    <row r="14" spans="1:17">
      <c r="A14" t="s">
        <v>904</v>
      </c>
      <c r="B14" s="6">
        <v>45710</v>
      </c>
      <c r="C14" t="s">
        <v>702</v>
      </c>
      <c r="D14" t="s">
        <v>823</v>
      </c>
      <c r="E14">
        <v>1</v>
      </c>
      <c r="F14" s="7">
        <v>500000</v>
      </c>
      <c r="G14" s="7">
        <v>500000</v>
      </c>
      <c r="H14" t="s">
        <v>886</v>
      </c>
      <c r="I14" s="7">
        <v>50000</v>
      </c>
      <c r="J14" s="7">
        <v>10000</v>
      </c>
      <c r="K14" s="7">
        <v>460000</v>
      </c>
      <c r="L14" t="s">
        <v>884</v>
      </c>
      <c r="M14" t="s">
        <v>903</v>
      </c>
      <c r="N14" t="s">
        <v>905</v>
      </c>
      <c r="O14" t="s">
        <v>887</v>
      </c>
      <c r="P14" t="s">
        <v>892</v>
      </c>
      <c r="Q14" s="7">
        <v>450000</v>
      </c>
    </row>
    <row r="15" spans="1:17">
      <c r="A15" t="s">
        <v>906</v>
      </c>
      <c r="B15" s="6">
        <v>45771</v>
      </c>
      <c r="C15" t="s">
        <v>248</v>
      </c>
      <c r="D15" t="s">
        <v>769</v>
      </c>
      <c r="E15">
        <v>3</v>
      </c>
      <c r="F15" s="7">
        <v>100000</v>
      </c>
      <c r="G15" s="7">
        <v>300000</v>
      </c>
      <c r="H15" t="s">
        <v>872</v>
      </c>
      <c r="I15" s="7">
        <v>0</v>
      </c>
      <c r="J15" s="7">
        <v>20000</v>
      </c>
      <c r="K15" s="7">
        <v>320000</v>
      </c>
      <c r="L15" t="s">
        <v>873</v>
      </c>
      <c r="M15" t="s">
        <v>901</v>
      </c>
      <c r="N15" t="s">
        <v>890</v>
      </c>
      <c r="O15" t="s">
        <v>891</v>
      </c>
      <c r="P15" t="s">
        <v>892</v>
      </c>
      <c r="Q15" s="7">
        <v>300000</v>
      </c>
    </row>
    <row r="16" spans="1:17">
      <c r="A16" t="s">
        <v>907</v>
      </c>
      <c r="B16" s="6">
        <v>45661</v>
      </c>
      <c r="C16" t="s">
        <v>326</v>
      </c>
      <c r="D16" t="s">
        <v>851</v>
      </c>
      <c r="E16">
        <v>2</v>
      </c>
      <c r="F16" s="7">
        <v>35000</v>
      </c>
      <c r="G16" s="7">
        <v>70000</v>
      </c>
      <c r="H16" t="s">
        <v>883</v>
      </c>
      <c r="I16" s="7">
        <v>7000</v>
      </c>
      <c r="J16" s="7">
        <v>30000</v>
      </c>
      <c r="K16" s="7">
        <v>93000</v>
      </c>
      <c r="L16" t="s">
        <v>884</v>
      </c>
      <c r="M16" t="s">
        <v>881</v>
      </c>
      <c r="N16" t="s">
        <v>875</v>
      </c>
      <c r="O16" t="s">
        <v>908</v>
      </c>
      <c r="P16" t="s">
        <v>877</v>
      </c>
      <c r="Q16" s="7">
        <v>63000</v>
      </c>
    </row>
    <row r="17" spans="1:17">
      <c r="A17" t="s">
        <v>909</v>
      </c>
      <c r="B17" s="6">
        <v>45699</v>
      </c>
      <c r="C17" t="s">
        <v>99</v>
      </c>
      <c r="D17" t="s">
        <v>811</v>
      </c>
      <c r="E17">
        <v>1</v>
      </c>
      <c r="F17" s="7">
        <v>35000</v>
      </c>
      <c r="G17" s="7">
        <v>35000</v>
      </c>
      <c r="H17" t="s">
        <v>895</v>
      </c>
      <c r="I17" s="7">
        <v>5250</v>
      </c>
      <c r="J17" s="7">
        <v>30000</v>
      </c>
      <c r="K17" s="7">
        <v>59750</v>
      </c>
      <c r="L17" t="s">
        <v>873</v>
      </c>
      <c r="M17" t="s">
        <v>903</v>
      </c>
      <c r="N17" t="s">
        <v>875</v>
      </c>
      <c r="O17" t="s">
        <v>887</v>
      </c>
      <c r="P17" t="s">
        <v>877</v>
      </c>
      <c r="Q17" s="7">
        <v>29750</v>
      </c>
    </row>
    <row r="18" spans="1:17">
      <c r="A18" t="s">
        <v>910</v>
      </c>
      <c r="B18" s="6">
        <v>45763</v>
      </c>
      <c r="C18" t="s">
        <v>702</v>
      </c>
      <c r="D18" t="s">
        <v>777</v>
      </c>
      <c r="E18">
        <v>1</v>
      </c>
      <c r="F18" s="7">
        <v>200000</v>
      </c>
      <c r="G18" s="7">
        <v>200000</v>
      </c>
      <c r="H18" t="s">
        <v>872</v>
      </c>
      <c r="I18" s="7">
        <v>0</v>
      </c>
      <c r="J18" s="7">
        <v>30000</v>
      </c>
      <c r="K18" s="7">
        <v>230000</v>
      </c>
      <c r="L18" t="s">
        <v>880</v>
      </c>
      <c r="M18" t="s">
        <v>874</v>
      </c>
      <c r="N18" t="s">
        <v>911</v>
      </c>
      <c r="O18" t="s">
        <v>891</v>
      </c>
      <c r="P18" t="s">
        <v>892</v>
      </c>
      <c r="Q18" s="7">
        <v>200000</v>
      </c>
    </row>
    <row r="19" spans="1:17">
      <c r="A19" t="s">
        <v>912</v>
      </c>
      <c r="B19" s="6">
        <v>45710</v>
      </c>
      <c r="C19" t="s">
        <v>364</v>
      </c>
      <c r="D19" t="s">
        <v>769</v>
      </c>
      <c r="E19">
        <v>1</v>
      </c>
      <c r="F19" s="7">
        <v>100000</v>
      </c>
      <c r="G19" s="7">
        <v>100000</v>
      </c>
      <c r="H19" t="s">
        <v>872</v>
      </c>
      <c r="I19" s="7">
        <v>0</v>
      </c>
      <c r="J19" s="7">
        <v>25000</v>
      </c>
      <c r="K19" s="7">
        <v>125000</v>
      </c>
      <c r="L19" t="s">
        <v>873</v>
      </c>
      <c r="M19" t="s">
        <v>903</v>
      </c>
      <c r="N19" t="s">
        <v>875</v>
      </c>
      <c r="O19" t="s">
        <v>887</v>
      </c>
      <c r="P19" t="s">
        <v>877</v>
      </c>
      <c r="Q19" s="7">
        <v>100000</v>
      </c>
    </row>
    <row r="20" spans="1:17">
      <c r="A20" t="s">
        <v>913</v>
      </c>
      <c r="B20" s="6">
        <v>45711</v>
      </c>
      <c r="C20" t="s">
        <v>404</v>
      </c>
      <c r="D20" t="s">
        <v>837</v>
      </c>
      <c r="E20">
        <v>2</v>
      </c>
      <c r="F20" s="7">
        <v>300000</v>
      </c>
      <c r="G20" s="7">
        <v>600000</v>
      </c>
      <c r="H20" t="s">
        <v>883</v>
      </c>
      <c r="I20" s="7">
        <v>60000</v>
      </c>
      <c r="J20" s="7">
        <v>20000</v>
      </c>
      <c r="K20" s="7">
        <v>560000</v>
      </c>
      <c r="L20" t="s">
        <v>889</v>
      </c>
      <c r="M20" t="s">
        <v>901</v>
      </c>
      <c r="N20" t="s">
        <v>875</v>
      </c>
      <c r="O20" t="s">
        <v>887</v>
      </c>
      <c r="P20" t="s">
        <v>877</v>
      </c>
      <c r="Q20" s="7">
        <v>540000</v>
      </c>
    </row>
    <row r="21" spans="1:17">
      <c r="A21" t="s">
        <v>914</v>
      </c>
      <c r="B21" s="6">
        <v>45821</v>
      </c>
      <c r="C21" t="s">
        <v>244</v>
      </c>
      <c r="D21" t="s">
        <v>853</v>
      </c>
      <c r="E21">
        <v>4</v>
      </c>
      <c r="F21" s="7">
        <v>75000</v>
      </c>
      <c r="G21" s="7">
        <v>300000</v>
      </c>
      <c r="H21" t="s">
        <v>895</v>
      </c>
      <c r="I21" s="7">
        <v>45000</v>
      </c>
      <c r="J21" s="7">
        <v>30000</v>
      </c>
      <c r="K21" s="7">
        <v>285000</v>
      </c>
      <c r="L21" t="s">
        <v>880</v>
      </c>
      <c r="M21" t="s">
        <v>881</v>
      </c>
      <c r="N21" t="s">
        <v>875</v>
      </c>
      <c r="O21" t="s">
        <v>915</v>
      </c>
      <c r="P21" t="s">
        <v>877</v>
      </c>
      <c r="Q21" s="7">
        <v>255000</v>
      </c>
    </row>
    <row r="22" spans="1:17">
      <c r="A22" t="s">
        <v>916</v>
      </c>
      <c r="B22" s="6">
        <v>45713</v>
      </c>
      <c r="C22" t="s">
        <v>596</v>
      </c>
      <c r="D22" t="s">
        <v>851</v>
      </c>
      <c r="E22">
        <v>2</v>
      </c>
      <c r="F22" s="7">
        <v>35000</v>
      </c>
      <c r="G22" s="7">
        <v>70000</v>
      </c>
      <c r="H22" t="s">
        <v>872</v>
      </c>
      <c r="I22" s="7">
        <v>0</v>
      </c>
      <c r="J22" s="7">
        <v>20000</v>
      </c>
      <c r="K22" s="7">
        <v>90000</v>
      </c>
      <c r="L22" t="s">
        <v>889</v>
      </c>
      <c r="M22" t="s">
        <v>874</v>
      </c>
      <c r="N22" t="s">
        <v>875</v>
      </c>
      <c r="O22" t="s">
        <v>887</v>
      </c>
      <c r="P22" t="s">
        <v>877</v>
      </c>
      <c r="Q22" s="7">
        <v>70000</v>
      </c>
    </row>
    <row r="23" spans="1:17">
      <c r="A23" t="s">
        <v>917</v>
      </c>
      <c r="B23" s="6">
        <v>45766</v>
      </c>
      <c r="C23" t="s">
        <v>420</v>
      </c>
      <c r="D23" t="s">
        <v>787</v>
      </c>
      <c r="E23">
        <v>1</v>
      </c>
      <c r="F23" s="7">
        <v>200000</v>
      </c>
      <c r="G23" s="7">
        <v>200000</v>
      </c>
      <c r="H23" t="s">
        <v>872</v>
      </c>
      <c r="I23" s="7">
        <v>0</v>
      </c>
      <c r="J23" s="7">
        <v>30000</v>
      </c>
      <c r="K23" s="7">
        <v>230000</v>
      </c>
      <c r="L23" t="s">
        <v>889</v>
      </c>
      <c r="M23" t="s">
        <v>901</v>
      </c>
      <c r="N23" t="s">
        <v>875</v>
      </c>
      <c r="O23" t="s">
        <v>891</v>
      </c>
      <c r="P23" t="s">
        <v>877</v>
      </c>
      <c r="Q23" s="7">
        <v>200000</v>
      </c>
    </row>
    <row r="24" spans="1:17">
      <c r="A24" t="s">
        <v>918</v>
      </c>
      <c r="B24" s="6">
        <v>45828</v>
      </c>
      <c r="C24" t="s">
        <v>226</v>
      </c>
      <c r="D24" t="s">
        <v>819</v>
      </c>
      <c r="E24">
        <v>1</v>
      </c>
      <c r="F24" s="7">
        <v>300000</v>
      </c>
      <c r="G24" s="7">
        <v>300000</v>
      </c>
      <c r="H24" t="s">
        <v>872</v>
      </c>
      <c r="I24" s="7">
        <v>0</v>
      </c>
      <c r="J24" s="7">
        <v>20000</v>
      </c>
      <c r="K24" s="7">
        <v>320000</v>
      </c>
      <c r="L24" t="s">
        <v>880</v>
      </c>
      <c r="M24" t="s">
        <v>901</v>
      </c>
      <c r="N24" t="s">
        <v>875</v>
      </c>
      <c r="O24" t="s">
        <v>915</v>
      </c>
      <c r="P24" t="s">
        <v>877</v>
      </c>
      <c r="Q24" s="7">
        <v>300000</v>
      </c>
    </row>
    <row r="25" spans="1:17">
      <c r="A25" t="s">
        <v>919</v>
      </c>
      <c r="B25" s="6">
        <v>45759</v>
      </c>
      <c r="C25" t="s">
        <v>37</v>
      </c>
      <c r="D25" t="s">
        <v>773</v>
      </c>
      <c r="E25">
        <v>2</v>
      </c>
      <c r="F25" s="7">
        <v>500000</v>
      </c>
      <c r="G25" s="7">
        <v>1000000</v>
      </c>
      <c r="H25" t="s">
        <v>895</v>
      </c>
      <c r="I25" s="7">
        <v>150000</v>
      </c>
      <c r="J25" s="7">
        <v>10000</v>
      </c>
      <c r="K25" s="7">
        <v>860000</v>
      </c>
      <c r="L25" t="s">
        <v>880</v>
      </c>
      <c r="M25" t="s">
        <v>901</v>
      </c>
      <c r="N25" t="s">
        <v>875</v>
      </c>
      <c r="O25" t="s">
        <v>891</v>
      </c>
      <c r="P25" t="s">
        <v>877</v>
      </c>
      <c r="Q25" s="7">
        <v>850000</v>
      </c>
    </row>
    <row r="26" spans="1:17">
      <c r="A26" t="s">
        <v>920</v>
      </c>
      <c r="B26" s="6">
        <v>45712</v>
      </c>
      <c r="C26" t="s">
        <v>624</v>
      </c>
      <c r="D26" t="s">
        <v>759</v>
      </c>
      <c r="E26">
        <v>3</v>
      </c>
      <c r="F26" s="7">
        <v>300000</v>
      </c>
      <c r="G26" s="7">
        <v>900000</v>
      </c>
      <c r="H26" t="s">
        <v>883</v>
      </c>
      <c r="I26" s="7">
        <v>90000</v>
      </c>
      <c r="J26" s="7">
        <v>30000</v>
      </c>
      <c r="K26" s="7">
        <v>840000</v>
      </c>
      <c r="L26" t="s">
        <v>873</v>
      </c>
      <c r="M26" t="s">
        <v>881</v>
      </c>
      <c r="N26" t="s">
        <v>921</v>
      </c>
      <c r="O26" t="s">
        <v>887</v>
      </c>
      <c r="P26" t="s">
        <v>892</v>
      </c>
      <c r="Q26" s="7">
        <v>810000</v>
      </c>
    </row>
    <row r="27" spans="1:17">
      <c r="A27" t="s">
        <v>922</v>
      </c>
      <c r="B27" s="6">
        <v>45775</v>
      </c>
      <c r="C27" t="s">
        <v>414</v>
      </c>
      <c r="D27" t="s">
        <v>751</v>
      </c>
      <c r="E27">
        <v>1</v>
      </c>
      <c r="F27" s="7">
        <v>150000</v>
      </c>
      <c r="G27" s="7">
        <v>150000</v>
      </c>
      <c r="H27" t="s">
        <v>879</v>
      </c>
      <c r="I27" s="7">
        <v>30000</v>
      </c>
      <c r="J27" s="7">
        <v>30000</v>
      </c>
      <c r="K27" s="7">
        <v>150000</v>
      </c>
      <c r="L27" t="s">
        <v>873</v>
      </c>
      <c r="M27" t="s">
        <v>881</v>
      </c>
      <c r="N27" t="s">
        <v>911</v>
      </c>
      <c r="O27" t="s">
        <v>891</v>
      </c>
      <c r="P27" t="s">
        <v>892</v>
      </c>
      <c r="Q27" s="7">
        <v>120000</v>
      </c>
    </row>
    <row r="28" spans="1:17">
      <c r="A28" t="s">
        <v>923</v>
      </c>
      <c r="B28" s="6">
        <v>45683</v>
      </c>
      <c r="C28" t="s">
        <v>111</v>
      </c>
      <c r="D28" t="s">
        <v>799</v>
      </c>
      <c r="E28">
        <v>1</v>
      </c>
      <c r="F28" s="7">
        <v>35000</v>
      </c>
      <c r="G28" s="7">
        <v>35000</v>
      </c>
      <c r="H28" t="s">
        <v>886</v>
      </c>
      <c r="I28" s="7">
        <v>3500</v>
      </c>
      <c r="J28" s="7">
        <v>15000</v>
      </c>
      <c r="K28" s="7">
        <v>46500</v>
      </c>
      <c r="L28" t="s">
        <v>880</v>
      </c>
      <c r="M28" t="s">
        <v>903</v>
      </c>
      <c r="N28" t="s">
        <v>875</v>
      </c>
      <c r="O28" t="s">
        <v>908</v>
      </c>
      <c r="P28" t="s">
        <v>877</v>
      </c>
      <c r="Q28" s="7">
        <v>31500</v>
      </c>
    </row>
    <row r="29" spans="1:17">
      <c r="A29" t="s">
        <v>924</v>
      </c>
      <c r="B29" s="6">
        <v>45792</v>
      </c>
      <c r="C29" t="s">
        <v>558</v>
      </c>
      <c r="D29" t="s">
        <v>765</v>
      </c>
      <c r="E29">
        <v>2</v>
      </c>
      <c r="F29" s="7">
        <v>500000</v>
      </c>
      <c r="G29" s="7">
        <v>1000000</v>
      </c>
      <c r="H29" t="s">
        <v>879</v>
      </c>
      <c r="I29" s="7">
        <v>200000</v>
      </c>
      <c r="J29" s="7">
        <v>30000</v>
      </c>
      <c r="K29" s="7">
        <v>830000</v>
      </c>
      <c r="L29" t="s">
        <v>889</v>
      </c>
      <c r="M29" t="s">
        <v>874</v>
      </c>
      <c r="N29" t="s">
        <v>890</v>
      </c>
      <c r="O29" t="s">
        <v>896</v>
      </c>
      <c r="P29" t="s">
        <v>892</v>
      </c>
      <c r="Q29" s="7">
        <v>800000</v>
      </c>
    </row>
    <row r="30" spans="1:17">
      <c r="A30" t="s">
        <v>925</v>
      </c>
      <c r="B30" s="6">
        <v>45739</v>
      </c>
      <c r="C30" t="s">
        <v>464</v>
      </c>
      <c r="D30" t="s">
        <v>795</v>
      </c>
      <c r="E30">
        <v>2</v>
      </c>
      <c r="F30" s="7">
        <v>100000</v>
      </c>
      <c r="G30" s="7">
        <v>200000</v>
      </c>
      <c r="H30" t="s">
        <v>886</v>
      </c>
      <c r="I30" s="7">
        <v>20000</v>
      </c>
      <c r="J30" s="7">
        <v>20000</v>
      </c>
      <c r="K30" s="7">
        <v>200000</v>
      </c>
      <c r="L30" t="s">
        <v>884</v>
      </c>
      <c r="M30" t="s">
        <v>903</v>
      </c>
      <c r="N30" t="s">
        <v>905</v>
      </c>
      <c r="O30" t="s">
        <v>876</v>
      </c>
      <c r="P30" t="s">
        <v>892</v>
      </c>
      <c r="Q30" s="7">
        <v>180000</v>
      </c>
    </row>
    <row r="31" spans="1:17">
      <c r="A31" t="s">
        <v>926</v>
      </c>
      <c r="B31" s="6">
        <v>45765</v>
      </c>
      <c r="C31" t="s">
        <v>394</v>
      </c>
      <c r="D31" t="s">
        <v>825</v>
      </c>
      <c r="E31">
        <v>1</v>
      </c>
      <c r="F31" s="7">
        <v>100000</v>
      </c>
      <c r="G31" s="7">
        <v>100000</v>
      </c>
      <c r="H31" t="s">
        <v>895</v>
      </c>
      <c r="I31" s="7">
        <v>15000</v>
      </c>
      <c r="J31" s="7">
        <v>25000</v>
      </c>
      <c r="K31" s="7">
        <v>110000</v>
      </c>
      <c r="L31" t="s">
        <v>884</v>
      </c>
      <c r="M31" t="s">
        <v>903</v>
      </c>
      <c r="N31" t="s">
        <v>911</v>
      </c>
      <c r="O31" t="s">
        <v>891</v>
      </c>
      <c r="P31" t="s">
        <v>892</v>
      </c>
      <c r="Q31" s="7">
        <v>85000</v>
      </c>
    </row>
    <row r="32" spans="1:17">
      <c r="A32" t="s">
        <v>927</v>
      </c>
      <c r="B32" s="6">
        <v>45696</v>
      </c>
      <c r="C32" t="s">
        <v>44</v>
      </c>
      <c r="D32" t="s">
        <v>847</v>
      </c>
      <c r="E32">
        <v>1</v>
      </c>
      <c r="F32" s="7">
        <v>100000</v>
      </c>
      <c r="G32" s="7">
        <v>100000</v>
      </c>
      <c r="H32" t="s">
        <v>886</v>
      </c>
      <c r="I32" s="7">
        <v>10000</v>
      </c>
      <c r="J32" s="7">
        <v>30000</v>
      </c>
      <c r="K32" s="7">
        <v>120000</v>
      </c>
      <c r="L32" t="s">
        <v>873</v>
      </c>
      <c r="M32" t="s">
        <v>901</v>
      </c>
      <c r="N32" t="s">
        <v>875</v>
      </c>
      <c r="O32" t="s">
        <v>887</v>
      </c>
      <c r="P32" t="s">
        <v>877</v>
      </c>
      <c r="Q32" s="7">
        <v>90000</v>
      </c>
    </row>
    <row r="33" spans="1:17">
      <c r="A33" t="s">
        <v>928</v>
      </c>
      <c r="B33" s="6">
        <v>45827</v>
      </c>
      <c r="C33" t="s">
        <v>234</v>
      </c>
      <c r="D33" t="s">
        <v>729</v>
      </c>
      <c r="E33">
        <v>4</v>
      </c>
      <c r="F33" s="7">
        <v>100000</v>
      </c>
      <c r="G33" s="7">
        <v>400000</v>
      </c>
      <c r="H33" t="s">
        <v>883</v>
      </c>
      <c r="I33" s="7">
        <v>40000</v>
      </c>
      <c r="J33" s="7">
        <v>30000</v>
      </c>
      <c r="K33" s="7">
        <v>390000</v>
      </c>
      <c r="L33" t="s">
        <v>880</v>
      </c>
      <c r="M33" t="s">
        <v>881</v>
      </c>
      <c r="N33" t="s">
        <v>875</v>
      </c>
      <c r="O33" t="s">
        <v>915</v>
      </c>
      <c r="P33" t="s">
        <v>877</v>
      </c>
      <c r="Q33" s="7">
        <v>360000</v>
      </c>
    </row>
    <row r="34" spans="1:17">
      <c r="A34" t="s">
        <v>929</v>
      </c>
      <c r="B34" s="6">
        <v>45675</v>
      </c>
      <c r="C34" t="s">
        <v>210</v>
      </c>
      <c r="D34" t="s">
        <v>805</v>
      </c>
      <c r="E34">
        <v>1</v>
      </c>
      <c r="F34" s="7">
        <v>200000</v>
      </c>
      <c r="G34" s="7">
        <v>200000</v>
      </c>
      <c r="H34" t="s">
        <v>872</v>
      </c>
      <c r="I34" s="7">
        <v>0</v>
      </c>
      <c r="J34" s="7">
        <v>30000</v>
      </c>
      <c r="K34" s="7">
        <v>230000</v>
      </c>
      <c r="L34" t="s">
        <v>884</v>
      </c>
      <c r="M34" t="s">
        <v>903</v>
      </c>
      <c r="N34" t="s">
        <v>921</v>
      </c>
      <c r="O34" t="s">
        <v>908</v>
      </c>
      <c r="P34" t="s">
        <v>892</v>
      </c>
      <c r="Q34" s="7">
        <v>200000</v>
      </c>
    </row>
    <row r="35" spans="1:17">
      <c r="A35" t="s">
        <v>930</v>
      </c>
      <c r="B35" s="6">
        <v>45673</v>
      </c>
      <c r="C35" t="s">
        <v>490</v>
      </c>
      <c r="D35" t="s">
        <v>829</v>
      </c>
      <c r="E35">
        <v>1</v>
      </c>
      <c r="F35" s="7">
        <v>500000</v>
      </c>
      <c r="G35" s="7">
        <v>500000</v>
      </c>
      <c r="H35" t="s">
        <v>886</v>
      </c>
      <c r="I35" s="7">
        <v>50000</v>
      </c>
      <c r="J35" s="7">
        <v>10000</v>
      </c>
      <c r="K35" s="7">
        <v>460000</v>
      </c>
      <c r="L35" t="s">
        <v>884</v>
      </c>
      <c r="M35" t="s">
        <v>881</v>
      </c>
      <c r="N35" t="s">
        <v>890</v>
      </c>
      <c r="O35" t="s">
        <v>908</v>
      </c>
      <c r="P35" t="s">
        <v>892</v>
      </c>
      <c r="Q35" s="7">
        <v>450000</v>
      </c>
    </row>
    <row r="36" spans="1:17">
      <c r="A36" t="s">
        <v>931</v>
      </c>
      <c r="B36" s="6">
        <v>45834</v>
      </c>
      <c r="C36" t="s">
        <v>13</v>
      </c>
      <c r="D36" t="s">
        <v>825</v>
      </c>
      <c r="E36">
        <v>3</v>
      </c>
      <c r="F36" s="7">
        <v>100000</v>
      </c>
      <c r="G36" s="7">
        <v>300000</v>
      </c>
      <c r="H36" t="s">
        <v>872</v>
      </c>
      <c r="I36" s="7">
        <v>0</v>
      </c>
      <c r="J36" s="7">
        <v>10000</v>
      </c>
      <c r="K36" s="7">
        <v>310000</v>
      </c>
      <c r="L36" t="s">
        <v>880</v>
      </c>
      <c r="M36" t="s">
        <v>903</v>
      </c>
      <c r="N36" t="s">
        <v>875</v>
      </c>
      <c r="O36" t="s">
        <v>915</v>
      </c>
      <c r="P36" t="s">
        <v>877</v>
      </c>
      <c r="Q36" s="7">
        <v>300000</v>
      </c>
    </row>
    <row r="37" spans="1:17">
      <c r="A37" t="s">
        <v>932</v>
      </c>
      <c r="B37" s="6">
        <v>45833</v>
      </c>
      <c r="C37" t="s">
        <v>404</v>
      </c>
      <c r="D37" t="s">
        <v>841</v>
      </c>
      <c r="E37">
        <v>3</v>
      </c>
      <c r="F37" s="7">
        <v>75000</v>
      </c>
      <c r="G37" s="7">
        <v>225000</v>
      </c>
      <c r="H37" t="s">
        <v>895</v>
      </c>
      <c r="I37" s="7">
        <v>33750</v>
      </c>
      <c r="J37" s="7">
        <v>25000</v>
      </c>
      <c r="K37" s="7">
        <v>216250</v>
      </c>
      <c r="L37" t="s">
        <v>889</v>
      </c>
      <c r="M37" t="s">
        <v>901</v>
      </c>
      <c r="N37" t="s">
        <v>875</v>
      </c>
      <c r="O37" t="s">
        <v>915</v>
      </c>
      <c r="P37" t="s">
        <v>877</v>
      </c>
      <c r="Q37" s="7">
        <v>191250</v>
      </c>
    </row>
    <row r="38" spans="1:17">
      <c r="A38" t="s">
        <v>933</v>
      </c>
      <c r="B38" s="6">
        <v>45694</v>
      </c>
      <c r="C38" t="s">
        <v>140</v>
      </c>
      <c r="D38" t="s">
        <v>809</v>
      </c>
      <c r="E38">
        <v>1</v>
      </c>
      <c r="F38" s="7">
        <v>100000</v>
      </c>
      <c r="G38" s="7">
        <v>100000</v>
      </c>
      <c r="H38" t="s">
        <v>879</v>
      </c>
      <c r="I38" s="7">
        <v>20000</v>
      </c>
      <c r="J38" s="7">
        <v>20000</v>
      </c>
      <c r="K38" s="7">
        <v>100000</v>
      </c>
      <c r="L38" t="s">
        <v>880</v>
      </c>
      <c r="M38" t="s">
        <v>881</v>
      </c>
      <c r="N38" t="s">
        <v>875</v>
      </c>
      <c r="O38" t="s">
        <v>887</v>
      </c>
      <c r="P38" t="s">
        <v>877</v>
      </c>
      <c r="Q38" s="7">
        <v>80000</v>
      </c>
    </row>
    <row r="39" spans="1:17">
      <c r="A39" t="s">
        <v>934</v>
      </c>
      <c r="B39" s="6">
        <v>45719</v>
      </c>
      <c r="C39" t="s">
        <v>684</v>
      </c>
      <c r="D39" t="s">
        <v>803</v>
      </c>
      <c r="E39">
        <v>1</v>
      </c>
      <c r="F39" s="7">
        <v>50000</v>
      </c>
      <c r="G39" s="7">
        <v>50000</v>
      </c>
      <c r="H39" t="s">
        <v>879</v>
      </c>
      <c r="I39" s="7">
        <v>10000</v>
      </c>
      <c r="J39" s="7">
        <v>30000</v>
      </c>
      <c r="K39" s="7">
        <v>70000</v>
      </c>
      <c r="L39" t="s">
        <v>889</v>
      </c>
      <c r="M39" t="s">
        <v>874</v>
      </c>
      <c r="N39" t="s">
        <v>890</v>
      </c>
      <c r="O39" t="s">
        <v>876</v>
      </c>
      <c r="P39" t="s">
        <v>892</v>
      </c>
      <c r="Q39" s="7">
        <v>40000</v>
      </c>
    </row>
    <row r="40" spans="1:17">
      <c r="A40" t="s">
        <v>935</v>
      </c>
      <c r="B40" s="6">
        <v>45767</v>
      </c>
      <c r="C40" t="s">
        <v>678</v>
      </c>
      <c r="D40" t="s">
        <v>821</v>
      </c>
      <c r="E40">
        <v>1</v>
      </c>
      <c r="F40" s="7">
        <v>50000</v>
      </c>
      <c r="G40" s="7">
        <v>50000</v>
      </c>
      <c r="H40" t="s">
        <v>895</v>
      </c>
      <c r="I40" s="7">
        <v>7500</v>
      </c>
      <c r="J40" s="7">
        <v>30000</v>
      </c>
      <c r="K40" s="7">
        <v>72500</v>
      </c>
      <c r="L40" t="s">
        <v>889</v>
      </c>
      <c r="M40" t="s">
        <v>903</v>
      </c>
      <c r="N40" t="s">
        <v>875</v>
      </c>
      <c r="O40" t="s">
        <v>891</v>
      </c>
      <c r="P40" t="s">
        <v>877</v>
      </c>
      <c r="Q40" s="7">
        <v>42500</v>
      </c>
    </row>
    <row r="41" spans="1:17">
      <c r="A41" t="s">
        <v>936</v>
      </c>
      <c r="B41" s="6">
        <v>45662</v>
      </c>
      <c r="C41" t="s">
        <v>125</v>
      </c>
      <c r="D41" t="s">
        <v>829</v>
      </c>
      <c r="E41">
        <v>4</v>
      </c>
      <c r="F41" s="7">
        <v>500000</v>
      </c>
      <c r="G41" s="7">
        <v>2000000</v>
      </c>
      <c r="H41" t="s">
        <v>886</v>
      </c>
      <c r="I41" s="7">
        <v>200000</v>
      </c>
      <c r="J41" s="7">
        <v>20000</v>
      </c>
      <c r="K41" s="7">
        <v>1820000</v>
      </c>
      <c r="L41" t="s">
        <v>880</v>
      </c>
      <c r="M41" t="s">
        <v>903</v>
      </c>
      <c r="N41" t="s">
        <v>911</v>
      </c>
      <c r="O41" t="s">
        <v>908</v>
      </c>
      <c r="P41" t="s">
        <v>892</v>
      </c>
      <c r="Q41" s="7">
        <v>1800000</v>
      </c>
    </row>
    <row r="42" spans="1:17">
      <c r="A42" t="s">
        <v>937</v>
      </c>
      <c r="B42" s="6">
        <v>45820</v>
      </c>
      <c r="C42" t="s">
        <v>374</v>
      </c>
      <c r="D42" t="s">
        <v>771</v>
      </c>
      <c r="E42">
        <v>3</v>
      </c>
      <c r="F42" s="7">
        <v>500000</v>
      </c>
      <c r="G42" s="7">
        <v>1500000</v>
      </c>
      <c r="H42" t="s">
        <v>872</v>
      </c>
      <c r="I42" s="7">
        <v>0</v>
      </c>
      <c r="J42" s="7">
        <v>30000</v>
      </c>
      <c r="K42" s="7">
        <v>1530000</v>
      </c>
      <c r="L42" t="s">
        <v>880</v>
      </c>
      <c r="M42" t="s">
        <v>881</v>
      </c>
      <c r="N42" t="s">
        <v>921</v>
      </c>
      <c r="O42" t="s">
        <v>915</v>
      </c>
      <c r="P42" t="s">
        <v>892</v>
      </c>
      <c r="Q42" s="7">
        <v>1500000</v>
      </c>
    </row>
    <row r="43" spans="1:17">
      <c r="A43" t="s">
        <v>938</v>
      </c>
      <c r="B43" s="6">
        <v>45746</v>
      </c>
      <c r="C43" t="s">
        <v>676</v>
      </c>
      <c r="D43" t="s">
        <v>737</v>
      </c>
      <c r="E43">
        <v>3</v>
      </c>
      <c r="F43" s="7">
        <v>300000</v>
      </c>
      <c r="G43" s="7">
        <v>900000</v>
      </c>
      <c r="H43" t="s">
        <v>872</v>
      </c>
      <c r="I43" s="7">
        <v>0</v>
      </c>
      <c r="J43" s="7">
        <v>25000</v>
      </c>
      <c r="K43" s="7">
        <v>925000</v>
      </c>
      <c r="L43" t="s">
        <v>884</v>
      </c>
      <c r="M43" t="s">
        <v>874</v>
      </c>
      <c r="N43" t="s">
        <v>905</v>
      </c>
      <c r="O43" t="s">
        <v>876</v>
      </c>
      <c r="P43" t="s">
        <v>892</v>
      </c>
      <c r="Q43" s="7">
        <v>900000</v>
      </c>
    </row>
    <row r="44" spans="1:17">
      <c r="A44" t="s">
        <v>939</v>
      </c>
      <c r="B44" s="6">
        <v>45686</v>
      </c>
      <c r="C44" t="s">
        <v>292</v>
      </c>
      <c r="D44" t="s">
        <v>733</v>
      </c>
      <c r="E44">
        <v>1</v>
      </c>
      <c r="F44" s="7">
        <v>150000</v>
      </c>
      <c r="G44" s="7">
        <v>150000</v>
      </c>
      <c r="H44" t="s">
        <v>895</v>
      </c>
      <c r="I44" s="7">
        <v>22500</v>
      </c>
      <c r="J44" s="7">
        <v>30000</v>
      </c>
      <c r="K44" s="7">
        <v>157500</v>
      </c>
      <c r="L44" t="s">
        <v>889</v>
      </c>
      <c r="M44" t="s">
        <v>881</v>
      </c>
      <c r="N44" t="s">
        <v>905</v>
      </c>
      <c r="O44" t="s">
        <v>908</v>
      </c>
      <c r="P44" t="s">
        <v>892</v>
      </c>
      <c r="Q44" s="7">
        <v>127500</v>
      </c>
    </row>
    <row r="45" spans="1:17">
      <c r="A45" t="s">
        <v>940</v>
      </c>
      <c r="B45" s="6">
        <v>45796</v>
      </c>
      <c r="C45" t="s">
        <v>470</v>
      </c>
      <c r="D45" t="s">
        <v>783</v>
      </c>
      <c r="E45">
        <v>2</v>
      </c>
      <c r="F45" s="7">
        <v>500000</v>
      </c>
      <c r="G45" s="7">
        <v>1000000</v>
      </c>
      <c r="H45" t="s">
        <v>872</v>
      </c>
      <c r="I45" s="7">
        <v>0</v>
      </c>
      <c r="J45" s="7">
        <v>15000</v>
      </c>
      <c r="K45" s="7">
        <v>1015000</v>
      </c>
      <c r="L45" t="s">
        <v>884</v>
      </c>
      <c r="M45" t="s">
        <v>901</v>
      </c>
      <c r="N45" t="s">
        <v>875</v>
      </c>
      <c r="O45" t="s">
        <v>896</v>
      </c>
      <c r="P45" t="s">
        <v>877</v>
      </c>
      <c r="Q45" s="7">
        <v>1000000</v>
      </c>
    </row>
    <row r="46" spans="1:17">
      <c r="A46" t="s">
        <v>941</v>
      </c>
      <c r="B46" s="6">
        <v>45694</v>
      </c>
      <c r="C46" t="s">
        <v>650</v>
      </c>
      <c r="D46" t="s">
        <v>831</v>
      </c>
      <c r="E46">
        <v>2</v>
      </c>
      <c r="F46" s="7">
        <v>300000</v>
      </c>
      <c r="G46" s="7">
        <v>600000</v>
      </c>
      <c r="H46" t="s">
        <v>886</v>
      </c>
      <c r="I46" s="7">
        <v>60000</v>
      </c>
      <c r="J46" s="7">
        <v>30000</v>
      </c>
      <c r="K46" s="7">
        <v>570000</v>
      </c>
      <c r="L46" t="s">
        <v>880</v>
      </c>
      <c r="M46" t="s">
        <v>903</v>
      </c>
      <c r="N46" t="s">
        <v>911</v>
      </c>
      <c r="O46" t="s">
        <v>887</v>
      </c>
      <c r="P46" t="s">
        <v>892</v>
      </c>
      <c r="Q46" s="7">
        <v>540000</v>
      </c>
    </row>
    <row r="47" spans="1:17">
      <c r="A47" t="s">
        <v>942</v>
      </c>
      <c r="B47" s="6">
        <v>45772</v>
      </c>
      <c r="C47" t="s">
        <v>390</v>
      </c>
      <c r="D47" t="s">
        <v>733</v>
      </c>
      <c r="E47">
        <v>1</v>
      </c>
      <c r="F47" s="7">
        <v>150000</v>
      </c>
      <c r="G47" s="7">
        <v>150000</v>
      </c>
      <c r="H47" t="s">
        <v>883</v>
      </c>
      <c r="I47" s="7">
        <v>15000</v>
      </c>
      <c r="J47" s="7">
        <v>20000</v>
      </c>
      <c r="K47" s="7">
        <v>155000</v>
      </c>
      <c r="L47" t="s">
        <v>880</v>
      </c>
      <c r="M47" t="s">
        <v>901</v>
      </c>
      <c r="N47" t="s">
        <v>875</v>
      </c>
      <c r="O47" t="s">
        <v>891</v>
      </c>
      <c r="P47" t="s">
        <v>877</v>
      </c>
      <c r="Q47" s="7">
        <v>135000</v>
      </c>
    </row>
    <row r="48" spans="1:17">
      <c r="A48" t="s">
        <v>943</v>
      </c>
      <c r="B48" s="6">
        <v>45737</v>
      </c>
      <c r="C48" t="s">
        <v>354</v>
      </c>
      <c r="D48" t="s">
        <v>791</v>
      </c>
      <c r="E48">
        <v>1</v>
      </c>
      <c r="F48" s="7">
        <v>50000</v>
      </c>
      <c r="G48" s="7">
        <v>50000</v>
      </c>
      <c r="H48" t="s">
        <v>883</v>
      </c>
      <c r="I48" s="7">
        <v>5000</v>
      </c>
      <c r="J48" s="7">
        <v>10000</v>
      </c>
      <c r="K48" s="7">
        <v>55000</v>
      </c>
      <c r="L48" t="s">
        <v>889</v>
      </c>
      <c r="M48" t="s">
        <v>901</v>
      </c>
      <c r="N48" t="s">
        <v>875</v>
      </c>
      <c r="O48" t="s">
        <v>876</v>
      </c>
      <c r="P48" t="s">
        <v>877</v>
      </c>
      <c r="Q48" s="7">
        <v>45000</v>
      </c>
    </row>
    <row r="49" spans="1:17">
      <c r="A49" t="s">
        <v>944</v>
      </c>
      <c r="B49" s="6">
        <v>45838</v>
      </c>
      <c r="C49" t="s">
        <v>358</v>
      </c>
      <c r="D49" t="s">
        <v>807</v>
      </c>
      <c r="E49">
        <v>4</v>
      </c>
      <c r="F49" s="7">
        <v>150000</v>
      </c>
      <c r="G49" s="7">
        <v>600000</v>
      </c>
      <c r="H49" t="s">
        <v>883</v>
      </c>
      <c r="I49" s="7">
        <v>60000</v>
      </c>
      <c r="J49" s="7">
        <v>15000</v>
      </c>
      <c r="K49" s="7">
        <v>555000</v>
      </c>
      <c r="L49" t="s">
        <v>889</v>
      </c>
      <c r="M49" t="s">
        <v>901</v>
      </c>
      <c r="N49" t="s">
        <v>890</v>
      </c>
      <c r="O49" t="s">
        <v>915</v>
      </c>
      <c r="P49" t="s">
        <v>892</v>
      </c>
      <c r="Q49" s="7">
        <v>540000</v>
      </c>
    </row>
    <row r="50" spans="1:17">
      <c r="A50" t="s">
        <v>945</v>
      </c>
      <c r="B50" s="6">
        <v>45688</v>
      </c>
      <c r="C50" t="s">
        <v>63</v>
      </c>
      <c r="D50" t="s">
        <v>819</v>
      </c>
      <c r="E50">
        <v>1</v>
      </c>
      <c r="F50" s="7">
        <v>300000</v>
      </c>
      <c r="G50" s="7">
        <v>300000</v>
      </c>
      <c r="H50" t="s">
        <v>872</v>
      </c>
      <c r="I50" s="7">
        <v>0</v>
      </c>
      <c r="J50" s="7">
        <v>25000</v>
      </c>
      <c r="K50" s="7">
        <v>325000</v>
      </c>
      <c r="L50" t="s">
        <v>889</v>
      </c>
      <c r="M50" t="s">
        <v>881</v>
      </c>
      <c r="N50" t="s">
        <v>905</v>
      </c>
      <c r="O50" t="s">
        <v>908</v>
      </c>
      <c r="P50" t="s">
        <v>892</v>
      </c>
      <c r="Q50" s="7">
        <v>300000</v>
      </c>
    </row>
    <row r="51" spans="1:17">
      <c r="A51" t="s">
        <v>946</v>
      </c>
      <c r="B51" s="6">
        <v>45659</v>
      </c>
      <c r="C51" t="s">
        <v>430</v>
      </c>
      <c r="D51" t="s">
        <v>761</v>
      </c>
      <c r="E51">
        <v>2</v>
      </c>
      <c r="F51" s="7">
        <v>75000</v>
      </c>
      <c r="G51" s="7">
        <v>150000</v>
      </c>
      <c r="H51" t="s">
        <v>886</v>
      </c>
      <c r="I51" s="7">
        <v>15000</v>
      </c>
      <c r="J51" s="7">
        <v>10000</v>
      </c>
      <c r="K51" s="7">
        <v>145000</v>
      </c>
      <c r="L51" t="s">
        <v>889</v>
      </c>
      <c r="M51" t="s">
        <v>901</v>
      </c>
      <c r="N51" t="s">
        <v>875</v>
      </c>
      <c r="O51" t="s">
        <v>908</v>
      </c>
      <c r="P51" t="s">
        <v>877</v>
      </c>
      <c r="Q51" s="7">
        <v>135000</v>
      </c>
    </row>
    <row r="52" spans="1:17">
      <c r="A52" t="s">
        <v>947</v>
      </c>
      <c r="B52" s="6">
        <v>45674</v>
      </c>
      <c r="C52" t="s">
        <v>464</v>
      </c>
      <c r="D52" t="s">
        <v>803</v>
      </c>
      <c r="E52">
        <v>2</v>
      </c>
      <c r="F52" s="7">
        <v>50000</v>
      </c>
      <c r="G52" s="7">
        <v>100000</v>
      </c>
      <c r="H52" t="s">
        <v>872</v>
      </c>
      <c r="I52" s="7">
        <v>0</v>
      </c>
      <c r="J52" s="7">
        <v>15000</v>
      </c>
      <c r="K52" s="7">
        <v>115000</v>
      </c>
      <c r="L52" t="s">
        <v>880</v>
      </c>
      <c r="M52" t="s">
        <v>874</v>
      </c>
      <c r="N52" t="s">
        <v>875</v>
      </c>
      <c r="O52" t="s">
        <v>908</v>
      </c>
      <c r="P52" t="s">
        <v>877</v>
      </c>
      <c r="Q52" s="7">
        <v>100000</v>
      </c>
    </row>
    <row r="53" spans="1:17">
      <c r="A53" t="s">
        <v>948</v>
      </c>
      <c r="B53" s="6">
        <v>45720</v>
      </c>
      <c r="C53" t="s">
        <v>138</v>
      </c>
      <c r="D53" t="s">
        <v>765</v>
      </c>
      <c r="E53">
        <v>3</v>
      </c>
      <c r="F53" s="7">
        <v>500000</v>
      </c>
      <c r="G53" s="7">
        <v>1500000</v>
      </c>
      <c r="H53" t="s">
        <v>895</v>
      </c>
      <c r="I53" s="7">
        <v>225000</v>
      </c>
      <c r="J53" s="7">
        <v>15000</v>
      </c>
      <c r="K53" s="7">
        <v>1290000</v>
      </c>
      <c r="L53" t="s">
        <v>873</v>
      </c>
      <c r="M53" t="s">
        <v>874</v>
      </c>
      <c r="N53" t="s">
        <v>890</v>
      </c>
      <c r="O53" t="s">
        <v>876</v>
      </c>
      <c r="P53" t="s">
        <v>892</v>
      </c>
      <c r="Q53" s="7">
        <v>1275000</v>
      </c>
    </row>
    <row r="54" spans="1:17">
      <c r="A54" t="s">
        <v>949</v>
      </c>
      <c r="B54" s="6">
        <v>45725</v>
      </c>
      <c r="C54" t="s">
        <v>456</v>
      </c>
      <c r="D54" t="s">
        <v>769</v>
      </c>
      <c r="E54">
        <v>2</v>
      </c>
      <c r="F54" s="7">
        <v>100000</v>
      </c>
      <c r="G54" s="7">
        <v>200000</v>
      </c>
      <c r="H54" t="s">
        <v>872</v>
      </c>
      <c r="I54" s="7">
        <v>0</v>
      </c>
      <c r="J54" s="7">
        <v>20000</v>
      </c>
      <c r="K54" s="7">
        <v>220000</v>
      </c>
      <c r="L54" t="s">
        <v>884</v>
      </c>
      <c r="M54" t="s">
        <v>901</v>
      </c>
      <c r="N54" t="s">
        <v>875</v>
      </c>
      <c r="O54" t="s">
        <v>876</v>
      </c>
      <c r="P54" t="s">
        <v>877</v>
      </c>
      <c r="Q54" s="7">
        <v>200000</v>
      </c>
    </row>
    <row r="55" spans="1:17">
      <c r="A55" t="s">
        <v>950</v>
      </c>
      <c r="B55" s="6">
        <v>45707</v>
      </c>
      <c r="C55" t="s">
        <v>558</v>
      </c>
      <c r="D55" t="s">
        <v>829</v>
      </c>
      <c r="E55">
        <v>2</v>
      </c>
      <c r="F55" s="7">
        <v>500000</v>
      </c>
      <c r="G55" s="7">
        <v>1000000</v>
      </c>
      <c r="H55" t="s">
        <v>895</v>
      </c>
      <c r="I55" s="7">
        <v>150000</v>
      </c>
      <c r="J55" s="7">
        <v>30000</v>
      </c>
      <c r="K55" s="7">
        <v>880000</v>
      </c>
      <c r="L55" t="s">
        <v>873</v>
      </c>
      <c r="M55" t="s">
        <v>874</v>
      </c>
      <c r="N55" t="s">
        <v>875</v>
      </c>
      <c r="O55" t="s">
        <v>887</v>
      </c>
      <c r="P55" t="s">
        <v>877</v>
      </c>
      <c r="Q55" s="7">
        <v>850000</v>
      </c>
    </row>
    <row r="56" spans="1:17">
      <c r="A56" t="s">
        <v>951</v>
      </c>
      <c r="B56" s="6">
        <v>45796</v>
      </c>
      <c r="C56" t="s">
        <v>83</v>
      </c>
      <c r="D56" t="s">
        <v>745</v>
      </c>
      <c r="E56">
        <v>4</v>
      </c>
      <c r="F56" s="7">
        <v>500000</v>
      </c>
      <c r="G56" s="7">
        <v>2000000</v>
      </c>
      <c r="H56" t="s">
        <v>872</v>
      </c>
      <c r="I56" s="7">
        <v>0</v>
      </c>
      <c r="J56" s="7">
        <v>15000</v>
      </c>
      <c r="K56" s="7">
        <v>2015000</v>
      </c>
      <c r="L56" t="s">
        <v>873</v>
      </c>
      <c r="M56" t="s">
        <v>903</v>
      </c>
      <c r="N56" t="s">
        <v>875</v>
      </c>
      <c r="O56" t="s">
        <v>896</v>
      </c>
      <c r="P56" t="s">
        <v>877</v>
      </c>
      <c r="Q56" s="7">
        <v>2000000</v>
      </c>
    </row>
    <row r="57" spans="1:17">
      <c r="A57" t="s">
        <v>952</v>
      </c>
      <c r="B57" s="6">
        <v>45831</v>
      </c>
      <c r="C57" t="s">
        <v>470</v>
      </c>
      <c r="D57" t="s">
        <v>793</v>
      </c>
      <c r="E57">
        <v>2</v>
      </c>
      <c r="F57" s="7">
        <v>500000</v>
      </c>
      <c r="G57" s="7">
        <v>1000000</v>
      </c>
      <c r="H57" t="s">
        <v>886</v>
      </c>
      <c r="I57" s="7">
        <v>100000</v>
      </c>
      <c r="J57" s="7">
        <v>30000</v>
      </c>
      <c r="K57" s="7">
        <v>930000</v>
      </c>
      <c r="L57" t="s">
        <v>884</v>
      </c>
      <c r="M57" t="s">
        <v>881</v>
      </c>
      <c r="N57" t="s">
        <v>875</v>
      </c>
      <c r="O57" t="s">
        <v>915</v>
      </c>
      <c r="P57" t="s">
        <v>877</v>
      </c>
      <c r="Q57" s="7">
        <v>900000</v>
      </c>
    </row>
    <row r="58" spans="1:17">
      <c r="A58" t="s">
        <v>953</v>
      </c>
      <c r="B58" s="6">
        <v>45814</v>
      </c>
      <c r="C58" t="s">
        <v>168</v>
      </c>
      <c r="D58" t="s">
        <v>839</v>
      </c>
      <c r="E58">
        <v>1</v>
      </c>
      <c r="F58" s="7">
        <v>200000</v>
      </c>
      <c r="G58" s="7">
        <v>200000</v>
      </c>
      <c r="H58" t="s">
        <v>872</v>
      </c>
      <c r="I58" s="7">
        <v>0</v>
      </c>
      <c r="J58" s="7">
        <v>10000</v>
      </c>
      <c r="K58" s="7">
        <v>210000</v>
      </c>
      <c r="L58" t="s">
        <v>889</v>
      </c>
      <c r="M58" t="s">
        <v>881</v>
      </c>
      <c r="N58" t="s">
        <v>890</v>
      </c>
      <c r="O58" t="s">
        <v>915</v>
      </c>
      <c r="P58" t="s">
        <v>892</v>
      </c>
      <c r="Q58" s="7">
        <v>200000</v>
      </c>
    </row>
    <row r="59" spans="1:17">
      <c r="A59" t="s">
        <v>954</v>
      </c>
      <c r="B59" s="6">
        <v>45783</v>
      </c>
      <c r="C59" t="s">
        <v>490</v>
      </c>
      <c r="D59" t="s">
        <v>847</v>
      </c>
      <c r="E59">
        <v>2</v>
      </c>
      <c r="F59" s="7">
        <v>100000</v>
      </c>
      <c r="G59" s="7">
        <v>200000</v>
      </c>
      <c r="H59" t="s">
        <v>886</v>
      </c>
      <c r="I59" s="7">
        <v>20000</v>
      </c>
      <c r="J59" s="7">
        <v>20000</v>
      </c>
      <c r="K59" s="7">
        <v>200000</v>
      </c>
      <c r="L59" t="s">
        <v>880</v>
      </c>
      <c r="M59" t="s">
        <v>901</v>
      </c>
      <c r="N59" t="s">
        <v>890</v>
      </c>
      <c r="O59" t="s">
        <v>896</v>
      </c>
      <c r="P59" t="s">
        <v>892</v>
      </c>
      <c r="Q59" s="7">
        <v>180000</v>
      </c>
    </row>
    <row r="60" spans="1:17">
      <c r="A60" t="s">
        <v>955</v>
      </c>
      <c r="B60" s="6">
        <v>45788</v>
      </c>
      <c r="C60" t="s">
        <v>532</v>
      </c>
      <c r="D60" t="s">
        <v>851</v>
      </c>
      <c r="E60">
        <v>2</v>
      </c>
      <c r="F60" s="7">
        <v>35000</v>
      </c>
      <c r="G60" s="7">
        <v>70000</v>
      </c>
      <c r="H60" t="s">
        <v>872</v>
      </c>
      <c r="I60" s="7">
        <v>0</v>
      </c>
      <c r="J60" s="7">
        <v>10000</v>
      </c>
      <c r="K60" s="7">
        <v>80000</v>
      </c>
      <c r="L60" t="s">
        <v>873</v>
      </c>
      <c r="M60" t="s">
        <v>881</v>
      </c>
      <c r="N60" t="s">
        <v>890</v>
      </c>
      <c r="O60" t="s">
        <v>896</v>
      </c>
      <c r="P60" t="s">
        <v>892</v>
      </c>
      <c r="Q60" s="7">
        <v>70000</v>
      </c>
    </row>
    <row r="61" spans="1:17">
      <c r="A61" t="s">
        <v>956</v>
      </c>
      <c r="B61" s="6">
        <v>45681</v>
      </c>
      <c r="C61" t="s">
        <v>37</v>
      </c>
      <c r="D61" t="s">
        <v>771</v>
      </c>
      <c r="E61">
        <v>4</v>
      </c>
      <c r="F61" s="7">
        <v>500000</v>
      </c>
      <c r="G61" s="7">
        <v>2000000</v>
      </c>
      <c r="H61" t="s">
        <v>872</v>
      </c>
      <c r="I61" s="7">
        <v>0</v>
      </c>
      <c r="J61" s="7">
        <v>10000</v>
      </c>
      <c r="K61" s="7">
        <v>2010000</v>
      </c>
      <c r="L61" t="s">
        <v>884</v>
      </c>
      <c r="M61" t="s">
        <v>874</v>
      </c>
      <c r="N61" t="s">
        <v>875</v>
      </c>
      <c r="O61" t="s">
        <v>908</v>
      </c>
      <c r="P61" t="s">
        <v>877</v>
      </c>
      <c r="Q61" s="7">
        <v>2000000</v>
      </c>
    </row>
    <row r="62" spans="1:17">
      <c r="A62" t="s">
        <v>957</v>
      </c>
      <c r="B62" s="6">
        <v>45750</v>
      </c>
      <c r="C62" t="s">
        <v>636</v>
      </c>
      <c r="D62" t="s">
        <v>751</v>
      </c>
      <c r="E62">
        <v>4</v>
      </c>
      <c r="F62" s="7">
        <v>150000</v>
      </c>
      <c r="G62" s="7">
        <v>600000</v>
      </c>
      <c r="H62" t="s">
        <v>886</v>
      </c>
      <c r="I62" s="7">
        <v>60000</v>
      </c>
      <c r="J62" s="7">
        <v>25000</v>
      </c>
      <c r="K62" s="7">
        <v>565000</v>
      </c>
      <c r="L62" t="s">
        <v>884</v>
      </c>
      <c r="M62" t="s">
        <v>881</v>
      </c>
      <c r="N62" t="s">
        <v>875</v>
      </c>
      <c r="O62" t="s">
        <v>891</v>
      </c>
      <c r="P62" t="s">
        <v>877</v>
      </c>
      <c r="Q62" s="7">
        <v>540000</v>
      </c>
    </row>
    <row r="63" spans="1:17">
      <c r="A63" t="s">
        <v>958</v>
      </c>
      <c r="B63" s="6">
        <v>45838</v>
      </c>
      <c r="C63" t="s">
        <v>65</v>
      </c>
      <c r="D63" t="s">
        <v>855</v>
      </c>
      <c r="E63">
        <v>1</v>
      </c>
      <c r="F63" s="7">
        <v>150000</v>
      </c>
      <c r="G63" s="7">
        <v>150000</v>
      </c>
      <c r="H63" t="s">
        <v>872</v>
      </c>
      <c r="I63" s="7">
        <v>0</v>
      </c>
      <c r="J63" s="7">
        <v>10000</v>
      </c>
      <c r="K63" s="7">
        <v>160000</v>
      </c>
      <c r="L63" t="s">
        <v>873</v>
      </c>
      <c r="M63" t="s">
        <v>901</v>
      </c>
      <c r="N63" t="s">
        <v>875</v>
      </c>
      <c r="O63" t="s">
        <v>915</v>
      </c>
      <c r="P63" t="s">
        <v>877</v>
      </c>
      <c r="Q63" s="7">
        <v>150000</v>
      </c>
    </row>
    <row r="64" spans="1:17">
      <c r="A64" t="s">
        <v>959</v>
      </c>
      <c r="B64" s="6">
        <v>45783</v>
      </c>
      <c r="C64" t="s">
        <v>490</v>
      </c>
      <c r="D64" t="s">
        <v>775</v>
      </c>
      <c r="E64">
        <v>2</v>
      </c>
      <c r="F64" s="7">
        <v>75000</v>
      </c>
      <c r="G64" s="7">
        <v>150000</v>
      </c>
      <c r="H64" t="s">
        <v>872</v>
      </c>
      <c r="I64" s="7">
        <v>0</v>
      </c>
      <c r="J64" s="7">
        <v>30000</v>
      </c>
      <c r="K64" s="7">
        <v>180000</v>
      </c>
      <c r="L64" t="s">
        <v>889</v>
      </c>
      <c r="M64" t="s">
        <v>874</v>
      </c>
      <c r="N64" t="s">
        <v>875</v>
      </c>
      <c r="O64" t="s">
        <v>896</v>
      </c>
      <c r="P64" t="s">
        <v>877</v>
      </c>
      <c r="Q64" s="7">
        <v>150000</v>
      </c>
    </row>
    <row r="65" spans="1:17">
      <c r="A65" t="s">
        <v>960</v>
      </c>
      <c r="B65" s="6">
        <v>45774</v>
      </c>
      <c r="C65" t="s">
        <v>706</v>
      </c>
      <c r="D65" t="s">
        <v>751</v>
      </c>
      <c r="E65">
        <v>1</v>
      </c>
      <c r="F65" s="7">
        <v>150000</v>
      </c>
      <c r="G65" s="7">
        <v>150000</v>
      </c>
      <c r="H65" t="s">
        <v>872</v>
      </c>
      <c r="I65" s="7">
        <v>0</v>
      </c>
      <c r="J65" s="7">
        <v>15000</v>
      </c>
      <c r="K65" s="7">
        <v>165000</v>
      </c>
      <c r="L65" t="s">
        <v>889</v>
      </c>
      <c r="M65" t="s">
        <v>901</v>
      </c>
      <c r="N65" t="s">
        <v>921</v>
      </c>
      <c r="O65" t="s">
        <v>891</v>
      </c>
      <c r="P65" t="s">
        <v>892</v>
      </c>
      <c r="Q65" s="7">
        <v>150000</v>
      </c>
    </row>
    <row r="66" spans="1:17">
      <c r="A66" t="s">
        <v>961</v>
      </c>
      <c r="B66" s="6">
        <v>45767</v>
      </c>
      <c r="C66" t="s">
        <v>208</v>
      </c>
      <c r="D66" t="s">
        <v>811</v>
      </c>
      <c r="E66">
        <v>1</v>
      </c>
      <c r="F66" s="7">
        <v>35000</v>
      </c>
      <c r="G66" s="7">
        <v>35000</v>
      </c>
      <c r="H66" t="s">
        <v>879</v>
      </c>
      <c r="I66" s="7">
        <v>7000</v>
      </c>
      <c r="J66" s="7">
        <v>20000</v>
      </c>
      <c r="K66" s="7">
        <v>48000</v>
      </c>
      <c r="L66" t="s">
        <v>880</v>
      </c>
      <c r="M66" t="s">
        <v>903</v>
      </c>
      <c r="N66" t="s">
        <v>890</v>
      </c>
      <c r="O66" t="s">
        <v>891</v>
      </c>
      <c r="P66" t="s">
        <v>892</v>
      </c>
      <c r="Q66" s="7">
        <v>28000</v>
      </c>
    </row>
    <row r="67" spans="1:17">
      <c r="A67" t="s">
        <v>962</v>
      </c>
      <c r="B67" s="6">
        <v>45836</v>
      </c>
      <c r="C67" t="s">
        <v>194</v>
      </c>
      <c r="D67" t="s">
        <v>817</v>
      </c>
      <c r="E67">
        <v>1</v>
      </c>
      <c r="F67" s="7">
        <v>75000</v>
      </c>
      <c r="G67" s="7">
        <v>75000</v>
      </c>
      <c r="H67" t="s">
        <v>886</v>
      </c>
      <c r="I67" s="7">
        <v>7500</v>
      </c>
      <c r="J67" s="7">
        <v>25000</v>
      </c>
      <c r="K67" s="7">
        <v>92500</v>
      </c>
      <c r="L67" t="s">
        <v>884</v>
      </c>
      <c r="M67" t="s">
        <v>881</v>
      </c>
      <c r="N67" t="s">
        <v>875</v>
      </c>
      <c r="O67" t="s">
        <v>915</v>
      </c>
      <c r="P67" t="s">
        <v>877</v>
      </c>
      <c r="Q67" s="7">
        <v>67500</v>
      </c>
    </row>
    <row r="68" spans="1:17">
      <c r="A68" t="s">
        <v>963</v>
      </c>
      <c r="B68" s="6">
        <v>45805</v>
      </c>
      <c r="C68" t="s">
        <v>340</v>
      </c>
      <c r="D68" t="s">
        <v>755</v>
      </c>
      <c r="E68">
        <v>1</v>
      </c>
      <c r="F68" s="7">
        <v>50000</v>
      </c>
      <c r="G68" s="7">
        <v>50000</v>
      </c>
      <c r="H68" t="s">
        <v>883</v>
      </c>
      <c r="I68" s="7">
        <v>5000</v>
      </c>
      <c r="J68" s="7">
        <v>10000</v>
      </c>
      <c r="K68" s="7">
        <v>55000</v>
      </c>
      <c r="L68" t="s">
        <v>884</v>
      </c>
      <c r="M68" t="s">
        <v>901</v>
      </c>
      <c r="N68" t="s">
        <v>875</v>
      </c>
      <c r="O68" t="s">
        <v>896</v>
      </c>
      <c r="P68" t="s">
        <v>877</v>
      </c>
      <c r="Q68" s="7">
        <v>45000</v>
      </c>
    </row>
    <row r="69" spans="1:17">
      <c r="A69" t="s">
        <v>964</v>
      </c>
      <c r="B69" s="6">
        <v>45734</v>
      </c>
      <c r="C69" t="s">
        <v>250</v>
      </c>
      <c r="D69" t="s">
        <v>787</v>
      </c>
      <c r="E69">
        <v>3</v>
      </c>
      <c r="F69" s="7">
        <v>200000</v>
      </c>
      <c r="G69" s="7">
        <v>600000</v>
      </c>
      <c r="H69" t="s">
        <v>895</v>
      </c>
      <c r="I69" s="7">
        <v>90000</v>
      </c>
      <c r="J69" s="7">
        <v>15000</v>
      </c>
      <c r="K69" s="7">
        <v>525000</v>
      </c>
      <c r="L69" t="s">
        <v>880</v>
      </c>
      <c r="M69" t="s">
        <v>903</v>
      </c>
      <c r="N69" t="s">
        <v>875</v>
      </c>
      <c r="O69" t="s">
        <v>876</v>
      </c>
      <c r="P69" t="s">
        <v>877</v>
      </c>
      <c r="Q69" s="7">
        <v>510000</v>
      </c>
    </row>
    <row r="70" spans="1:17">
      <c r="A70" t="s">
        <v>965</v>
      </c>
      <c r="B70" s="6">
        <v>45800</v>
      </c>
      <c r="C70" t="s">
        <v>230</v>
      </c>
      <c r="D70" t="s">
        <v>845</v>
      </c>
      <c r="E70">
        <v>2</v>
      </c>
      <c r="F70" s="7">
        <v>300000</v>
      </c>
      <c r="G70" s="7">
        <v>600000</v>
      </c>
      <c r="H70" t="s">
        <v>883</v>
      </c>
      <c r="I70" s="7">
        <v>60000</v>
      </c>
      <c r="J70" s="7">
        <v>10000</v>
      </c>
      <c r="K70" s="7">
        <v>550000</v>
      </c>
      <c r="L70" t="s">
        <v>873</v>
      </c>
      <c r="M70" t="s">
        <v>881</v>
      </c>
      <c r="N70" t="s">
        <v>875</v>
      </c>
      <c r="O70" t="s">
        <v>896</v>
      </c>
      <c r="P70" t="s">
        <v>877</v>
      </c>
      <c r="Q70" s="7">
        <v>540000</v>
      </c>
    </row>
    <row r="71" spans="1:17">
      <c r="A71" t="s">
        <v>966</v>
      </c>
      <c r="B71" s="6">
        <v>45663</v>
      </c>
      <c r="C71" t="s">
        <v>164</v>
      </c>
      <c r="D71" t="s">
        <v>813</v>
      </c>
      <c r="E71">
        <v>4</v>
      </c>
      <c r="F71" s="7">
        <v>35000</v>
      </c>
      <c r="G71" s="7">
        <v>140000</v>
      </c>
      <c r="H71" t="s">
        <v>879</v>
      </c>
      <c r="I71" s="7">
        <v>28000</v>
      </c>
      <c r="J71" s="7">
        <v>25000</v>
      </c>
      <c r="K71" s="7">
        <v>137000</v>
      </c>
      <c r="L71" t="s">
        <v>873</v>
      </c>
      <c r="M71" t="s">
        <v>874</v>
      </c>
      <c r="N71" t="s">
        <v>875</v>
      </c>
      <c r="O71" t="s">
        <v>908</v>
      </c>
      <c r="P71" t="s">
        <v>877</v>
      </c>
      <c r="Q71" s="7">
        <v>112000</v>
      </c>
    </row>
    <row r="72" spans="1:17">
      <c r="A72" t="s">
        <v>967</v>
      </c>
      <c r="B72" s="6">
        <v>45719</v>
      </c>
      <c r="C72" t="s">
        <v>186</v>
      </c>
      <c r="D72" t="s">
        <v>829</v>
      </c>
      <c r="E72">
        <v>1</v>
      </c>
      <c r="F72" s="7">
        <v>500000</v>
      </c>
      <c r="G72" s="7">
        <v>500000</v>
      </c>
      <c r="H72" t="s">
        <v>886</v>
      </c>
      <c r="I72" s="7">
        <v>50000</v>
      </c>
      <c r="J72" s="7">
        <v>15000</v>
      </c>
      <c r="K72" s="7">
        <v>465000</v>
      </c>
      <c r="L72" t="s">
        <v>873</v>
      </c>
      <c r="M72" t="s">
        <v>874</v>
      </c>
      <c r="N72" t="s">
        <v>875</v>
      </c>
      <c r="O72" t="s">
        <v>876</v>
      </c>
      <c r="P72" t="s">
        <v>877</v>
      </c>
      <c r="Q72" s="7">
        <v>450000</v>
      </c>
    </row>
    <row r="73" spans="1:17">
      <c r="A73" t="s">
        <v>968</v>
      </c>
      <c r="B73" s="6">
        <v>45679</v>
      </c>
      <c r="C73" t="s">
        <v>13</v>
      </c>
      <c r="D73" t="s">
        <v>817</v>
      </c>
      <c r="E73">
        <v>2</v>
      </c>
      <c r="F73" s="7">
        <v>75000</v>
      </c>
      <c r="G73" s="7">
        <v>150000</v>
      </c>
      <c r="H73" t="s">
        <v>886</v>
      </c>
      <c r="I73" s="7">
        <v>15000</v>
      </c>
      <c r="J73" s="7">
        <v>25000</v>
      </c>
      <c r="K73" s="7">
        <v>160000</v>
      </c>
      <c r="L73" t="s">
        <v>889</v>
      </c>
      <c r="M73" t="s">
        <v>903</v>
      </c>
      <c r="N73" t="s">
        <v>890</v>
      </c>
      <c r="O73" t="s">
        <v>908</v>
      </c>
      <c r="P73" t="s">
        <v>892</v>
      </c>
      <c r="Q73" s="7">
        <v>135000</v>
      </c>
    </row>
    <row r="74" spans="1:17">
      <c r="A74" t="s">
        <v>969</v>
      </c>
      <c r="B74" s="6">
        <v>45798</v>
      </c>
      <c r="C74" t="s">
        <v>67</v>
      </c>
      <c r="D74" t="s">
        <v>825</v>
      </c>
      <c r="E74">
        <v>1</v>
      </c>
      <c r="F74" s="7">
        <v>100000</v>
      </c>
      <c r="G74" s="7">
        <v>100000</v>
      </c>
      <c r="H74" t="s">
        <v>895</v>
      </c>
      <c r="I74" s="7">
        <v>15000</v>
      </c>
      <c r="J74" s="7">
        <v>30000</v>
      </c>
      <c r="K74" s="7">
        <v>115000</v>
      </c>
      <c r="L74" t="s">
        <v>880</v>
      </c>
      <c r="M74" t="s">
        <v>874</v>
      </c>
      <c r="N74" t="s">
        <v>875</v>
      </c>
      <c r="O74" t="s">
        <v>896</v>
      </c>
      <c r="P74" t="s">
        <v>877</v>
      </c>
      <c r="Q74" s="7">
        <v>85000</v>
      </c>
    </row>
    <row r="75" spans="1:17">
      <c r="A75" t="s">
        <v>970</v>
      </c>
      <c r="B75" s="6">
        <v>45776</v>
      </c>
      <c r="C75" t="s">
        <v>636</v>
      </c>
      <c r="D75" t="s">
        <v>845</v>
      </c>
      <c r="E75">
        <v>1</v>
      </c>
      <c r="F75" s="7">
        <v>300000</v>
      </c>
      <c r="G75" s="7">
        <v>300000</v>
      </c>
      <c r="H75" t="s">
        <v>872</v>
      </c>
      <c r="I75" s="7">
        <v>0</v>
      </c>
      <c r="J75" s="7">
        <v>10000</v>
      </c>
      <c r="K75" s="7">
        <v>310000</v>
      </c>
      <c r="L75" t="s">
        <v>889</v>
      </c>
      <c r="M75" t="s">
        <v>881</v>
      </c>
      <c r="N75" t="s">
        <v>875</v>
      </c>
      <c r="O75" t="s">
        <v>891</v>
      </c>
      <c r="P75" t="s">
        <v>877</v>
      </c>
      <c r="Q75" s="7">
        <v>300000</v>
      </c>
    </row>
    <row r="76" spans="1:17">
      <c r="A76" t="s">
        <v>971</v>
      </c>
      <c r="B76" s="6">
        <v>45716</v>
      </c>
      <c r="C76" t="s">
        <v>280</v>
      </c>
      <c r="D76" t="s">
        <v>791</v>
      </c>
      <c r="E76">
        <v>1</v>
      </c>
      <c r="F76" s="7">
        <v>50000</v>
      </c>
      <c r="G76" s="7">
        <v>50000</v>
      </c>
      <c r="H76" t="s">
        <v>872</v>
      </c>
      <c r="I76" s="7">
        <v>0</v>
      </c>
      <c r="J76" s="7">
        <v>10000</v>
      </c>
      <c r="K76" s="7">
        <v>60000</v>
      </c>
      <c r="L76" t="s">
        <v>889</v>
      </c>
      <c r="M76" t="s">
        <v>903</v>
      </c>
      <c r="N76" t="s">
        <v>875</v>
      </c>
      <c r="O76" t="s">
        <v>887</v>
      </c>
      <c r="P76" t="s">
        <v>877</v>
      </c>
      <c r="Q76" s="7">
        <v>50000</v>
      </c>
    </row>
    <row r="77" spans="1:17">
      <c r="A77" t="s">
        <v>972</v>
      </c>
      <c r="B77" s="6">
        <v>45792</v>
      </c>
      <c r="C77" t="s">
        <v>682</v>
      </c>
      <c r="D77" t="s">
        <v>833</v>
      </c>
      <c r="E77">
        <v>3</v>
      </c>
      <c r="F77" s="7">
        <v>200000</v>
      </c>
      <c r="G77" s="7">
        <v>600000</v>
      </c>
      <c r="H77" t="s">
        <v>872</v>
      </c>
      <c r="I77" s="7">
        <v>0</v>
      </c>
      <c r="J77" s="7">
        <v>25000</v>
      </c>
      <c r="K77" s="7">
        <v>625000</v>
      </c>
      <c r="L77" t="s">
        <v>884</v>
      </c>
      <c r="M77" t="s">
        <v>874</v>
      </c>
      <c r="N77" t="s">
        <v>921</v>
      </c>
      <c r="O77" t="s">
        <v>896</v>
      </c>
      <c r="P77" t="s">
        <v>892</v>
      </c>
      <c r="Q77" s="7">
        <v>600000</v>
      </c>
    </row>
    <row r="78" spans="1:17">
      <c r="A78" t="s">
        <v>973</v>
      </c>
      <c r="B78" s="6">
        <v>45765</v>
      </c>
      <c r="C78" t="s">
        <v>57</v>
      </c>
      <c r="D78" t="s">
        <v>855</v>
      </c>
      <c r="E78">
        <v>1</v>
      </c>
      <c r="F78" s="7">
        <v>150000</v>
      </c>
      <c r="G78" s="7">
        <v>150000</v>
      </c>
      <c r="H78" t="s">
        <v>872</v>
      </c>
      <c r="I78" s="7">
        <v>0</v>
      </c>
      <c r="J78" s="7">
        <v>15000</v>
      </c>
      <c r="K78" s="7">
        <v>165000</v>
      </c>
      <c r="L78" t="s">
        <v>884</v>
      </c>
      <c r="M78" t="s">
        <v>874</v>
      </c>
      <c r="N78" t="s">
        <v>905</v>
      </c>
      <c r="O78" t="s">
        <v>891</v>
      </c>
      <c r="P78" t="s">
        <v>892</v>
      </c>
      <c r="Q78" s="7">
        <v>150000</v>
      </c>
    </row>
    <row r="79" spans="1:17">
      <c r="A79" t="s">
        <v>974</v>
      </c>
      <c r="B79" s="6">
        <v>45723</v>
      </c>
      <c r="C79" t="s">
        <v>688</v>
      </c>
      <c r="D79" t="s">
        <v>803</v>
      </c>
      <c r="E79">
        <v>2</v>
      </c>
      <c r="F79" s="7">
        <v>50000</v>
      </c>
      <c r="G79" s="7">
        <v>100000</v>
      </c>
      <c r="H79" t="s">
        <v>872</v>
      </c>
      <c r="I79" s="7">
        <v>0</v>
      </c>
      <c r="J79" s="7">
        <v>30000</v>
      </c>
      <c r="K79" s="7">
        <v>130000</v>
      </c>
      <c r="L79" t="s">
        <v>884</v>
      </c>
      <c r="M79" t="s">
        <v>881</v>
      </c>
      <c r="N79" t="s">
        <v>875</v>
      </c>
      <c r="O79" t="s">
        <v>876</v>
      </c>
      <c r="P79" t="s">
        <v>877</v>
      </c>
      <c r="Q79" s="7">
        <v>100000</v>
      </c>
    </row>
    <row r="80" spans="1:17">
      <c r="A80" t="s">
        <v>975</v>
      </c>
      <c r="B80" s="6">
        <v>45669</v>
      </c>
      <c r="C80" t="s">
        <v>280</v>
      </c>
      <c r="D80" t="s">
        <v>825</v>
      </c>
      <c r="E80">
        <v>1</v>
      </c>
      <c r="F80" s="7">
        <v>100000</v>
      </c>
      <c r="G80" s="7">
        <v>100000</v>
      </c>
      <c r="H80" t="s">
        <v>895</v>
      </c>
      <c r="I80" s="7">
        <v>15000</v>
      </c>
      <c r="J80" s="7">
        <v>25000</v>
      </c>
      <c r="K80" s="7">
        <v>110000</v>
      </c>
      <c r="L80" t="s">
        <v>873</v>
      </c>
      <c r="M80" t="s">
        <v>881</v>
      </c>
      <c r="N80" t="s">
        <v>875</v>
      </c>
      <c r="O80" t="s">
        <v>908</v>
      </c>
      <c r="P80" t="s">
        <v>877</v>
      </c>
      <c r="Q80" s="7">
        <v>85000</v>
      </c>
    </row>
    <row r="81" spans="1:17">
      <c r="A81" t="s">
        <v>976</v>
      </c>
      <c r="B81" s="6">
        <v>45744</v>
      </c>
      <c r="C81" t="s">
        <v>614</v>
      </c>
      <c r="D81" t="s">
        <v>823</v>
      </c>
      <c r="E81">
        <v>3</v>
      </c>
      <c r="F81" s="7">
        <v>500000</v>
      </c>
      <c r="G81" s="7">
        <v>1500000</v>
      </c>
      <c r="H81" t="s">
        <v>872</v>
      </c>
      <c r="I81" s="7">
        <v>0</v>
      </c>
      <c r="J81" s="7">
        <v>10000</v>
      </c>
      <c r="K81" s="7">
        <v>1510000</v>
      </c>
      <c r="L81" t="s">
        <v>889</v>
      </c>
      <c r="M81" t="s">
        <v>901</v>
      </c>
      <c r="N81" t="s">
        <v>921</v>
      </c>
      <c r="O81" t="s">
        <v>876</v>
      </c>
      <c r="P81" t="s">
        <v>892</v>
      </c>
      <c r="Q81" s="7">
        <v>1500000</v>
      </c>
    </row>
    <row r="82" spans="1:17">
      <c r="A82" t="s">
        <v>977</v>
      </c>
      <c r="B82" s="6">
        <v>45719</v>
      </c>
      <c r="C82" t="s">
        <v>650</v>
      </c>
      <c r="D82" t="s">
        <v>829</v>
      </c>
      <c r="E82">
        <v>3</v>
      </c>
      <c r="F82" s="7">
        <v>500000</v>
      </c>
      <c r="G82" s="7">
        <v>1500000</v>
      </c>
      <c r="H82" t="s">
        <v>872</v>
      </c>
      <c r="I82" s="7">
        <v>0</v>
      </c>
      <c r="J82" s="7">
        <v>10000</v>
      </c>
      <c r="K82" s="7">
        <v>1510000</v>
      </c>
      <c r="L82" t="s">
        <v>884</v>
      </c>
      <c r="M82" t="s">
        <v>903</v>
      </c>
      <c r="N82" t="s">
        <v>875</v>
      </c>
      <c r="O82" t="s">
        <v>876</v>
      </c>
      <c r="P82" t="s">
        <v>877</v>
      </c>
      <c r="Q82" s="7">
        <v>1500000</v>
      </c>
    </row>
    <row r="83" spans="1:17">
      <c r="A83" t="s">
        <v>978</v>
      </c>
      <c r="B83" s="6">
        <v>45780</v>
      </c>
      <c r="C83" t="s">
        <v>708</v>
      </c>
      <c r="D83" t="s">
        <v>849</v>
      </c>
      <c r="E83">
        <v>2</v>
      </c>
      <c r="F83" s="7">
        <v>500000</v>
      </c>
      <c r="G83" s="7">
        <v>1000000</v>
      </c>
      <c r="H83" t="s">
        <v>886</v>
      </c>
      <c r="I83" s="7">
        <v>100000</v>
      </c>
      <c r="J83" s="7">
        <v>25000</v>
      </c>
      <c r="K83" s="7">
        <v>925000</v>
      </c>
      <c r="L83" t="s">
        <v>873</v>
      </c>
      <c r="M83" t="s">
        <v>881</v>
      </c>
      <c r="N83" t="s">
        <v>875</v>
      </c>
      <c r="O83" t="s">
        <v>896</v>
      </c>
      <c r="P83" t="s">
        <v>877</v>
      </c>
      <c r="Q83" s="7">
        <v>900000</v>
      </c>
    </row>
    <row r="84" spans="1:17">
      <c r="A84" t="s">
        <v>979</v>
      </c>
      <c r="B84" s="6">
        <v>45821</v>
      </c>
      <c r="C84" t="s">
        <v>620</v>
      </c>
      <c r="D84" t="s">
        <v>781</v>
      </c>
      <c r="E84">
        <v>4</v>
      </c>
      <c r="F84" s="7">
        <v>50000</v>
      </c>
      <c r="G84" s="7">
        <v>200000</v>
      </c>
      <c r="H84" t="s">
        <v>872</v>
      </c>
      <c r="I84" s="7">
        <v>0</v>
      </c>
      <c r="J84" s="7">
        <v>15000</v>
      </c>
      <c r="K84" s="7">
        <v>215000</v>
      </c>
      <c r="L84" t="s">
        <v>880</v>
      </c>
      <c r="M84" t="s">
        <v>903</v>
      </c>
      <c r="N84" t="s">
        <v>875</v>
      </c>
      <c r="O84" t="s">
        <v>915</v>
      </c>
      <c r="P84" t="s">
        <v>877</v>
      </c>
      <c r="Q84" s="7">
        <v>200000</v>
      </c>
    </row>
    <row r="85" spans="1:17">
      <c r="A85" t="s">
        <v>980</v>
      </c>
      <c r="B85" s="6">
        <v>45750</v>
      </c>
      <c r="C85" t="s">
        <v>550</v>
      </c>
      <c r="D85" t="s">
        <v>759</v>
      </c>
      <c r="E85">
        <v>3</v>
      </c>
      <c r="F85" s="7">
        <v>300000</v>
      </c>
      <c r="G85" s="7">
        <v>900000</v>
      </c>
      <c r="H85" t="s">
        <v>886</v>
      </c>
      <c r="I85" s="7">
        <v>90000</v>
      </c>
      <c r="J85" s="7">
        <v>10000</v>
      </c>
      <c r="K85" s="7">
        <v>820000</v>
      </c>
      <c r="L85" t="s">
        <v>884</v>
      </c>
      <c r="M85" t="s">
        <v>874</v>
      </c>
      <c r="N85" t="s">
        <v>875</v>
      </c>
      <c r="O85" t="s">
        <v>891</v>
      </c>
      <c r="P85" t="s">
        <v>877</v>
      </c>
      <c r="Q85" s="7">
        <v>810000</v>
      </c>
    </row>
    <row r="86" spans="1:17">
      <c r="A86" t="s">
        <v>981</v>
      </c>
      <c r="B86" s="6">
        <v>45714</v>
      </c>
      <c r="C86" t="s">
        <v>146</v>
      </c>
      <c r="D86" t="s">
        <v>843</v>
      </c>
      <c r="E86">
        <v>2</v>
      </c>
      <c r="F86" s="7">
        <v>100000</v>
      </c>
      <c r="G86" s="7">
        <v>200000</v>
      </c>
      <c r="H86" t="s">
        <v>895</v>
      </c>
      <c r="I86" s="7">
        <v>30000</v>
      </c>
      <c r="J86" s="7">
        <v>30000</v>
      </c>
      <c r="K86" s="7">
        <v>200000</v>
      </c>
      <c r="L86" t="s">
        <v>873</v>
      </c>
      <c r="M86" t="s">
        <v>881</v>
      </c>
      <c r="N86" t="s">
        <v>875</v>
      </c>
      <c r="O86" t="s">
        <v>887</v>
      </c>
      <c r="P86" t="s">
        <v>877</v>
      </c>
      <c r="Q86" s="7">
        <v>170000</v>
      </c>
    </row>
    <row r="87" spans="1:17">
      <c r="A87" t="s">
        <v>982</v>
      </c>
      <c r="B87" s="6">
        <v>45706</v>
      </c>
      <c r="C87" t="s">
        <v>258</v>
      </c>
      <c r="D87" t="s">
        <v>823</v>
      </c>
      <c r="E87">
        <v>2</v>
      </c>
      <c r="F87" s="7">
        <v>500000</v>
      </c>
      <c r="G87" s="7">
        <v>1000000</v>
      </c>
      <c r="H87" t="s">
        <v>872</v>
      </c>
      <c r="I87" s="7">
        <v>0</v>
      </c>
      <c r="J87" s="7">
        <v>15000</v>
      </c>
      <c r="K87" s="7">
        <v>1015000</v>
      </c>
      <c r="L87" t="s">
        <v>884</v>
      </c>
      <c r="M87" t="s">
        <v>881</v>
      </c>
      <c r="N87" t="s">
        <v>905</v>
      </c>
      <c r="O87" t="s">
        <v>887</v>
      </c>
      <c r="P87" t="s">
        <v>892</v>
      </c>
      <c r="Q87" s="7">
        <v>1000000</v>
      </c>
    </row>
    <row r="88" spans="1:17">
      <c r="A88" t="s">
        <v>983</v>
      </c>
      <c r="B88" s="6">
        <v>45735</v>
      </c>
      <c r="C88" t="s">
        <v>278</v>
      </c>
      <c r="D88" t="s">
        <v>753</v>
      </c>
      <c r="E88">
        <v>4</v>
      </c>
      <c r="F88" s="7">
        <v>300000</v>
      </c>
      <c r="G88" s="7">
        <v>1200000</v>
      </c>
      <c r="H88" t="s">
        <v>872</v>
      </c>
      <c r="I88" s="7">
        <v>0</v>
      </c>
      <c r="J88" s="7">
        <v>30000</v>
      </c>
      <c r="K88" s="7">
        <v>1230000</v>
      </c>
      <c r="L88" t="s">
        <v>889</v>
      </c>
      <c r="M88" t="s">
        <v>901</v>
      </c>
      <c r="N88" t="s">
        <v>875</v>
      </c>
      <c r="O88" t="s">
        <v>876</v>
      </c>
      <c r="P88" t="s">
        <v>877</v>
      </c>
      <c r="Q88" s="7">
        <v>1200000</v>
      </c>
    </row>
    <row r="89" spans="1:17">
      <c r="A89" t="s">
        <v>984</v>
      </c>
      <c r="B89" s="6">
        <v>45716</v>
      </c>
      <c r="C89" t="s">
        <v>668</v>
      </c>
      <c r="D89" t="s">
        <v>801</v>
      </c>
      <c r="E89">
        <v>1</v>
      </c>
      <c r="F89" s="7">
        <v>100000</v>
      </c>
      <c r="G89" s="7">
        <v>100000</v>
      </c>
      <c r="H89" t="s">
        <v>879</v>
      </c>
      <c r="I89" s="7">
        <v>20000</v>
      </c>
      <c r="J89" s="7">
        <v>20000</v>
      </c>
      <c r="K89" s="7">
        <v>100000</v>
      </c>
      <c r="L89" t="s">
        <v>873</v>
      </c>
      <c r="M89" t="s">
        <v>874</v>
      </c>
      <c r="N89" t="s">
        <v>875</v>
      </c>
      <c r="O89" t="s">
        <v>887</v>
      </c>
      <c r="P89" t="s">
        <v>877</v>
      </c>
      <c r="Q89" s="7">
        <v>80000</v>
      </c>
    </row>
    <row r="90" spans="1:17">
      <c r="A90" t="s">
        <v>985</v>
      </c>
      <c r="B90" s="6">
        <v>45700</v>
      </c>
      <c r="C90" t="s">
        <v>270</v>
      </c>
      <c r="D90" t="s">
        <v>803</v>
      </c>
      <c r="E90">
        <v>1</v>
      </c>
      <c r="F90" s="7">
        <v>50000</v>
      </c>
      <c r="G90" s="7">
        <v>50000</v>
      </c>
      <c r="H90" t="s">
        <v>872</v>
      </c>
      <c r="I90" s="7">
        <v>0</v>
      </c>
      <c r="J90" s="7">
        <v>20000</v>
      </c>
      <c r="K90" s="7">
        <v>70000</v>
      </c>
      <c r="L90" t="s">
        <v>880</v>
      </c>
      <c r="M90" t="s">
        <v>881</v>
      </c>
      <c r="N90" t="s">
        <v>875</v>
      </c>
      <c r="O90" t="s">
        <v>887</v>
      </c>
      <c r="P90" t="s">
        <v>877</v>
      </c>
      <c r="Q90" s="7">
        <v>50000</v>
      </c>
    </row>
    <row r="91" spans="1:17">
      <c r="A91" t="s">
        <v>986</v>
      </c>
      <c r="B91" s="6">
        <v>45835</v>
      </c>
      <c r="C91" t="s">
        <v>606</v>
      </c>
      <c r="D91" t="s">
        <v>775</v>
      </c>
      <c r="E91">
        <v>4</v>
      </c>
      <c r="F91" s="7">
        <v>75000</v>
      </c>
      <c r="G91" s="7">
        <v>300000</v>
      </c>
      <c r="H91" t="s">
        <v>879</v>
      </c>
      <c r="I91" s="7">
        <v>60000</v>
      </c>
      <c r="J91" s="7">
        <v>25000</v>
      </c>
      <c r="K91" s="7">
        <v>265000</v>
      </c>
      <c r="L91" t="s">
        <v>884</v>
      </c>
      <c r="M91" t="s">
        <v>874</v>
      </c>
      <c r="N91" t="s">
        <v>875</v>
      </c>
      <c r="O91" t="s">
        <v>915</v>
      </c>
      <c r="P91" t="s">
        <v>877</v>
      </c>
      <c r="Q91" s="7">
        <v>240000</v>
      </c>
    </row>
    <row r="92" spans="1:17">
      <c r="A92" t="s">
        <v>987</v>
      </c>
      <c r="B92" s="6">
        <v>45776</v>
      </c>
      <c r="C92" t="s">
        <v>27</v>
      </c>
      <c r="D92" t="s">
        <v>835</v>
      </c>
      <c r="E92">
        <v>2</v>
      </c>
      <c r="F92" s="7">
        <v>200000</v>
      </c>
      <c r="G92" s="7">
        <v>400000</v>
      </c>
      <c r="H92" t="s">
        <v>872</v>
      </c>
      <c r="I92" s="7">
        <v>0</v>
      </c>
      <c r="J92" s="7">
        <v>15000</v>
      </c>
      <c r="K92" s="7">
        <v>415000</v>
      </c>
      <c r="L92" t="s">
        <v>873</v>
      </c>
      <c r="M92" t="s">
        <v>874</v>
      </c>
      <c r="N92" t="s">
        <v>875</v>
      </c>
      <c r="O92" t="s">
        <v>891</v>
      </c>
      <c r="P92" t="s">
        <v>877</v>
      </c>
      <c r="Q92" s="7">
        <v>400000</v>
      </c>
    </row>
    <row r="93" spans="1:17">
      <c r="A93" t="s">
        <v>988</v>
      </c>
      <c r="B93" s="6">
        <v>45712</v>
      </c>
      <c r="C93" t="s">
        <v>256</v>
      </c>
      <c r="D93" t="s">
        <v>787</v>
      </c>
      <c r="E93">
        <v>1</v>
      </c>
      <c r="F93" s="7">
        <v>200000</v>
      </c>
      <c r="G93" s="7">
        <v>200000</v>
      </c>
      <c r="H93" t="s">
        <v>883</v>
      </c>
      <c r="I93" s="7">
        <v>20000</v>
      </c>
      <c r="J93" s="7">
        <v>10000</v>
      </c>
      <c r="K93" s="7">
        <v>190000</v>
      </c>
      <c r="L93" t="s">
        <v>884</v>
      </c>
      <c r="M93" t="s">
        <v>901</v>
      </c>
      <c r="N93" t="s">
        <v>890</v>
      </c>
      <c r="O93" t="s">
        <v>887</v>
      </c>
      <c r="P93" t="s">
        <v>892</v>
      </c>
      <c r="Q93" s="7">
        <v>180000</v>
      </c>
    </row>
    <row r="94" spans="1:17">
      <c r="A94" t="s">
        <v>989</v>
      </c>
      <c r="B94" s="6">
        <v>45733</v>
      </c>
      <c r="C94" t="s">
        <v>674</v>
      </c>
      <c r="D94" t="s">
        <v>785</v>
      </c>
      <c r="E94">
        <v>3</v>
      </c>
      <c r="F94" s="7">
        <v>100000</v>
      </c>
      <c r="G94" s="7">
        <v>300000</v>
      </c>
      <c r="H94" t="s">
        <v>895</v>
      </c>
      <c r="I94" s="7">
        <v>45000</v>
      </c>
      <c r="J94" s="7">
        <v>30000</v>
      </c>
      <c r="K94" s="7">
        <v>285000</v>
      </c>
      <c r="L94" t="s">
        <v>873</v>
      </c>
      <c r="M94" t="s">
        <v>881</v>
      </c>
      <c r="N94" t="s">
        <v>911</v>
      </c>
      <c r="O94" t="s">
        <v>876</v>
      </c>
      <c r="P94" t="s">
        <v>892</v>
      </c>
      <c r="Q94" s="7">
        <v>255000</v>
      </c>
    </row>
    <row r="95" spans="1:17">
      <c r="A95" t="s">
        <v>990</v>
      </c>
      <c r="B95" s="6">
        <v>45705</v>
      </c>
      <c r="C95" t="s">
        <v>156</v>
      </c>
      <c r="D95" t="s">
        <v>817</v>
      </c>
      <c r="E95">
        <v>1</v>
      </c>
      <c r="F95" s="7">
        <v>75000</v>
      </c>
      <c r="G95" s="7">
        <v>75000</v>
      </c>
      <c r="H95" t="s">
        <v>872</v>
      </c>
      <c r="I95" s="7">
        <v>0</v>
      </c>
      <c r="J95" s="7">
        <v>10000</v>
      </c>
      <c r="K95" s="7">
        <v>85000</v>
      </c>
      <c r="L95" t="s">
        <v>889</v>
      </c>
      <c r="M95" t="s">
        <v>874</v>
      </c>
      <c r="N95" t="s">
        <v>875</v>
      </c>
      <c r="O95" t="s">
        <v>887</v>
      </c>
      <c r="P95" t="s">
        <v>877</v>
      </c>
      <c r="Q95" s="7">
        <v>75000</v>
      </c>
    </row>
    <row r="96" spans="1:17">
      <c r="A96" t="s">
        <v>991</v>
      </c>
      <c r="B96" s="6">
        <v>45818</v>
      </c>
      <c r="C96" t="s">
        <v>356</v>
      </c>
      <c r="D96" t="s">
        <v>785</v>
      </c>
      <c r="E96">
        <v>2</v>
      </c>
      <c r="F96" s="7">
        <v>100000</v>
      </c>
      <c r="G96" s="7">
        <v>200000</v>
      </c>
      <c r="H96" t="s">
        <v>872</v>
      </c>
      <c r="I96" s="7">
        <v>0</v>
      </c>
      <c r="J96" s="7">
        <v>15000</v>
      </c>
      <c r="K96" s="7">
        <v>215000</v>
      </c>
      <c r="L96" t="s">
        <v>884</v>
      </c>
      <c r="M96" t="s">
        <v>901</v>
      </c>
      <c r="N96" t="s">
        <v>890</v>
      </c>
      <c r="O96" t="s">
        <v>915</v>
      </c>
      <c r="P96" t="s">
        <v>892</v>
      </c>
      <c r="Q96" s="7">
        <v>200000</v>
      </c>
    </row>
    <row r="97" spans="1:17">
      <c r="A97" t="s">
        <v>992</v>
      </c>
      <c r="B97" s="6">
        <v>45782</v>
      </c>
      <c r="C97" t="s">
        <v>222</v>
      </c>
      <c r="D97" t="s">
        <v>827</v>
      </c>
      <c r="E97">
        <v>2</v>
      </c>
      <c r="F97" s="7">
        <v>100000</v>
      </c>
      <c r="G97" s="7">
        <v>200000</v>
      </c>
      <c r="H97" t="s">
        <v>883</v>
      </c>
      <c r="I97" s="7">
        <v>20000</v>
      </c>
      <c r="J97" s="7">
        <v>20000</v>
      </c>
      <c r="K97" s="7">
        <v>200000</v>
      </c>
      <c r="L97" t="s">
        <v>880</v>
      </c>
      <c r="M97" t="s">
        <v>903</v>
      </c>
      <c r="N97" t="s">
        <v>875</v>
      </c>
      <c r="O97" t="s">
        <v>896</v>
      </c>
      <c r="P97" t="s">
        <v>877</v>
      </c>
      <c r="Q97" s="7">
        <v>180000</v>
      </c>
    </row>
    <row r="98" spans="1:17">
      <c r="A98" t="s">
        <v>993</v>
      </c>
      <c r="B98" s="6">
        <v>45766</v>
      </c>
      <c r="C98" t="s">
        <v>680</v>
      </c>
      <c r="D98" t="s">
        <v>725</v>
      </c>
      <c r="E98">
        <v>3</v>
      </c>
      <c r="F98" s="7">
        <v>300000</v>
      </c>
      <c r="G98" s="7">
        <v>900000</v>
      </c>
      <c r="H98" t="s">
        <v>886</v>
      </c>
      <c r="I98" s="7">
        <v>90000</v>
      </c>
      <c r="J98" s="7">
        <v>15000</v>
      </c>
      <c r="K98" s="7">
        <v>825000</v>
      </c>
      <c r="L98" t="s">
        <v>889</v>
      </c>
      <c r="M98" t="s">
        <v>881</v>
      </c>
      <c r="N98" t="s">
        <v>875</v>
      </c>
      <c r="O98" t="s">
        <v>891</v>
      </c>
      <c r="P98" t="s">
        <v>877</v>
      </c>
      <c r="Q98" s="7">
        <v>810000</v>
      </c>
    </row>
    <row r="99" spans="1:17">
      <c r="A99" t="s">
        <v>994</v>
      </c>
      <c r="B99" s="6">
        <v>45800</v>
      </c>
      <c r="C99" t="s">
        <v>650</v>
      </c>
      <c r="D99" t="s">
        <v>793</v>
      </c>
      <c r="E99">
        <v>1</v>
      </c>
      <c r="F99" s="7">
        <v>500000</v>
      </c>
      <c r="G99" s="7">
        <v>500000</v>
      </c>
      <c r="H99" t="s">
        <v>872</v>
      </c>
      <c r="I99" s="7">
        <v>0</v>
      </c>
      <c r="J99" s="7">
        <v>15000</v>
      </c>
      <c r="K99" s="7">
        <v>515000</v>
      </c>
      <c r="L99" t="s">
        <v>884</v>
      </c>
      <c r="M99" t="s">
        <v>881</v>
      </c>
      <c r="N99" t="s">
        <v>875</v>
      </c>
      <c r="O99" t="s">
        <v>896</v>
      </c>
      <c r="P99" t="s">
        <v>877</v>
      </c>
      <c r="Q99" s="7">
        <v>500000</v>
      </c>
    </row>
    <row r="100" spans="1:17">
      <c r="A100" t="s">
        <v>995</v>
      </c>
      <c r="B100" s="6">
        <v>45668</v>
      </c>
      <c r="C100" t="s">
        <v>238</v>
      </c>
      <c r="D100" t="s">
        <v>763</v>
      </c>
      <c r="E100">
        <v>1</v>
      </c>
      <c r="F100" s="7">
        <v>75000</v>
      </c>
      <c r="G100" s="7">
        <v>75000</v>
      </c>
      <c r="H100" t="s">
        <v>883</v>
      </c>
      <c r="I100" s="7">
        <v>7500</v>
      </c>
      <c r="J100" s="7">
        <v>15000</v>
      </c>
      <c r="K100" s="7">
        <v>82500</v>
      </c>
      <c r="L100" t="s">
        <v>884</v>
      </c>
      <c r="M100" t="s">
        <v>901</v>
      </c>
      <c r="N100" t="s">
        <v>890</v>
      </c>
      <c r="O100" t="s">
        <v>908</v>
      </c>
      <c r="P100" t="s">
        <v>892</v>
      </c>
      <c r="Q100" s="7">
        <v>67500</v>
      </c>
    </row>
    <row r="101" spans="1:17">
      <c r="A101" t="s">
        <v>996</v>
      </c>
      <c r="B101" s="6">
        <v>45813</v>
      </c>
      <c r="C101" t="s">
        <v>252</v>
      </c>
      <c r="D101" t="s">
        <v>793</v>
      </c>
      <c r="E101">
        <v>1</v>
      </c>
      <c r="F101" s="7">
        <v>500000</v>
      </c>
      <c r="G101" s="7">
        <v>500000</v>
      </c>
      <c r="H101" t="s">
        <v>886</v>
      </c>
      <c r="I101" s="7">
        <v>50000</v>
      </c>
      <c r="J101" s="7">
        <v>25000</v>
      </c>
      <c r="K101" s="7">
        <v>475000</v>
      </c>
      <c r="L101" t="s">
        <v>889</v>
      </c>
      <c r="M101" t="s">
        <v>874</v>
      </c>
      <c r="N101" t="s">
        <v>875</v>
      </c>
      <c r="O101" t="s">
        <v>915</v>
      </c>
      <c r="P101" t="s">
        <v>877</v>
      </c>
      <c r="Q101" s="7">
        <v>450000</v>
      </c>
    </row>
    <row r="102" spans="1:17">
      <c r="A102" t="s">
        <v>997</v>
      </c>
      <c r="B102" s="6">
        <v>45672</v>
      </c>
      <c r="C102" t="s">
        <v>103</v>
      </c>
      <c r="D102" t="s">
        <v>831</v>
      </c>
      <c r="E102">
        <v>4</v>
      </c>
      <c r="F102" s="7">
        <v>300000</v>
      </c>
      <c r="G102" s="7">
        <v>1200000</v>
      </c>
      <c r="H102" t="s">
        <v>886</v>
      </c>
      <c r="I102" s="7">
        <v>120000</v>
      </c>
      <c r="J102" s="7">
        <v>30000</v>
      </c>
      <c r="K102" s="7">
        <v>1110000</v>
      </c>
      <c r="L102" t="s">
        <v>873</v>
      </c>
      <c r="M102" t="s">
        <v>881</v>
      </c>
      <c r="N102" t="s">
        <v>905</v>
      </c>
      <c r="O102" t="s">
        <v>908</v>
      </c>
      <c r="P102" t="s">
        <v>892</v>
      </c>
      <c r="Q102" s="7">
        <v>1080000</v>
      </c>
    </row>
    <row r="103" spans="1:17">
      <c r="A103" t="s">
        <v>998</v>
      </c>
      <c r="B103" s="6">
        <v>45808</v>
      </c>
      <c r="C103" t="s">
        <v>232</v>
      </c>
      <c r="D103" t="s">
        <v>845</v>
      </c>
      <c r="E103">
        <v>4</v>
      </c>
      <c r="F103" s="7">
        <v>300000</v>
      </c>
      <c r="G103" s="7">
        <v>1200000</v>
      </c>
      <c r="H103" t="s">
        <v>879</v>
      </c>
      <c r="I103" s="7">
        <v>240000</v>
      </c>
      <c r="J103" s="7">
        <v>25000</v>
      </c>
      <c r="K103" s="7">
        <v>985000</v>
      </c>
      <c r="L103" t="s">
        <v>880</v>
      </c>
      <c r="M103" t="s">
        <v>874</v>
      </c>
      <c r="N103" t="s">
        <v>875</v>
      </c>
      <c r="O103" t="s">
        <v>896</v>
      </c>
      <c r="P103" t="s">
        <v>877</v>
      </c>
      <c r="Q103" s="7">
        <v>960000</v>
      </c>
    </row>
    <row r="104" spans="1:17">
      <c r="A104" t="s">
        <v>999</v>
      </c>
      <c r="B104" s="6">
        <v>45678</v>
      </c>
      <c r="C104" t="s">
        <v>300</v>
      </c>
      <c r="D104" t="s">
        <v>779</v>
      </c>
      <c r="E104">
        <v>1</v>
      </c>
      <c r="F104" s="7">
        <v>150000</v>
      </c>
      <c r="G104" s="7">
        <v>150000</v>
      </c>
      <c r="H104" t="s">
        <v>886</v>
      </c>
      <c r="I104" s="7">
        <v>15000</v>
      </c>
      <c r="J104" s="7">
        <v>20000</v>
      </c>
      <c r="K104" s="7">
        <v>155000</v>
      </c>
      <c r="L104" t="s">
        <v>884</v>
      </c>
      <c r="M104" t="s">
        <v>874</v>
      </c>
      <c r="N104" t="s">
        <v>875</v>
      </c>
      <c r="O104" t="s">
        <v>908</v>
      </c>
      <c r="P104" t="s">
        <v>877</v>
      </c>
      <c r="Q104" s="7">
        <v>135000</v>
      </c>
    </row>
    <row r="105" spans="1:17">
      <c r="A105" t="s">
        <v>1000</v>
      </c>
      <c r="B105" s="6">
        <v>45814</v>
      </c>
      <c r="C105" t="s">
        <v>496</v>
      </c>
      <c r="D105" t="s">
        <v>791</v>
      </c>
      <c r="E105">
        <v>1</v>
      </c>
      <c r="F105" s="7">
        <v>50000</v>
      </c>
      <c r="G105" s="7">
        <v>50000</v>
      </c>
      <c r="H105" t="s">
        <v>895</v>
      </c>
      <c r="I105" s="7">
        <v>7500</v>
      </c>
      <c r="J105" s="7">
        <v>10000</v>
      </c>
      <c r="K105" s="7">
        <v>52500</v>
      </c>
      <c r="L105" t="s">
        <v>889</v>
      </c>
      <c r="M105" t="s">
        <v>903</v>
      </c>
      <c r="N105" t="s">
        <v>875</v>
      </c>
      <c r="O105" t="s">
        <v>915</v>
      </c>
      <c r="P105" t="s">
        <v>877</v>
      </c>
      <c r="Q105" s="7">
        <v>42500</v>
      </c>
    </row>
    <row r="106" spans="1:17">
      <c r="A106" t="s">
        <v>1001</v>
      </c>
      <c r="B106" s="6">
        <v>45734</v>
      </c>
      <c r="C106" t="s">
        <v>282</v>
      </c>
      <c r="D106" t="s">
        <v>787</v>
      </c>
      <c r="E106">
        <v>1</v>
      </c>
      <c r="F106" s="7">
        <v>200000</v>
      </c>
      <c r="G106" s="7">
        <v>200000</v>
      </c>
      <c r="H106" t="s">
        <v>872</v>
      </c>
      <c r="I106" s="7">
        <v>0</v>
      </c>
      <c r="J106" s="7">
        <v>30000</v>
      </c>
      <c r="K106" s="7">
        <v>230000</v>
      </c>
      <c r="L106" t="s">
        <v>889</v>
      </c>
      <c r="M106" t="s">
        <v>874</v>
      </c>
      <c r="N106" t="s">
        <v>875</v>
      </c>
      <c r="O106" t="s">
        <v>876</v>
      </c>
      <c r="P106" t="s">
        <v>877</v>
      </c>
      <c r="Q106" s="7">
        <v>200000</v>
      </c>
    </row>
    <row r="107" spans="1:17">
      <c r="A107" t="s">
        <v>1002</v>
      </c>
      <c r="B107" s="6">
        <v>45816</v>
      </c>
      <c r="C107" t="s">
        <v>160</v>
      </c>
      <c r="D107" t="s">
        <v>847</v>
      </c>
      <c r="E107">
        <v>1</v>
      </c>
      <c r="F107" s="7">
        <v>100000</v>
      </c>
      <c r="G107" s="7">
        <v>100000</v>
      </c>
      <c r="H107" t="s">
        <v>872</v>
      </c>
      <c r="I107" s="7">
        <v>0</v>
      </c>
      <c r="J107" s="7">
        <v>10000</v>
      </c>
      <c r="K107" s="7">
        <v>110000</v>
      </c>
      <c r="L107" t="s">
        <v>884</v>
      </c>
      <c r="M107" t="s">
        <v>874</v>
      </c>
      <c r="N107" t="s">
        <v>875</v>
      </c>
      <c r="O107" t="s">
        <v>915</v>
      </c>
      <c r="P107" t="s">
        <v>877</v>
      </c>
      <c r="Q107" s="7">
        <v>100000</v>
      </c>
    </row>
    <row r="108" spans="1:17">
      <c r="A108" t="s">
        <v>1003</v>
      </c>
      <c r="B108" s="6">
        <v>45829</v>
      </c>
      <c r="C108" t="s">
        <v>364</v>
      </c>
      <c r="D108" t="s">
        <v>819</v>
      </c>
      <c r="E108">
        <v>4</v>
      </c>
      <c r="F108" s="7">
        <v>300000</v>
      </c>
      <c r="G108" s="7">
        <v>1200000</v>
      </c>
      <c r="H108" t="s">
        <v>886</v>
      </c>
      <c r="I108" s="7">
        <v>120000</v>
      </c>
      <c r="J108" s="7">
        <v>25000</v>
      </c>
      <c r="K108" s="7">
        <v>1105000</v>
      </c>
      <c r="L108" t="s">
        <v>873</v>
      </c>
      <c r="M108" t="s">
        <v>903</v>
      </c>
      <c r="N108" t="s">
        <v>921</v>
      </c>
      <c r="O108" t="s">
        <v>915</v>
      </c>
      <c r="P108" t="s">
        <v>892</v>
      </c>
      <c r="Q108" s="7">
        <v>1080000</v>
      </c>
    </row>
    <row r="109" spans="1:17">
      <c r="A109" t="s">
        <v>1004</v>
      </c>
      <c r="B109" s="6">
        <v>45794</v>
      </c>
      <c r="C109" t="s">
        <v>69</v>
      </c>
      <c r="D109" t="s">
        <v>753</v>
      </c>
      <c r="E109">
        <v>4</v>
      </c>
      <c r="F109" s="7">
        <v>300000</v>
      </c>
      <c r="G109" s="7">
        <v>1200000</v>
      </c>
      <c r="H109" t="s">
        <v>879</v>
      </c>
      <c r="I109" s="7">
        <v>240000</v>
      </c>
      <c r="J109" s="7">
        <v>10000</v>
      </c>
      <c r="K109" s="7">
        <v>970000</v>
      </c>
      <c r="L109" t="s">
        <v>884</v>
      </c>
      <c r="M109" t="s">
        <v>901</v>
      </c>
      <c r="N109" t="s">
        <v>875</v>
      </c>
      <c r="O109" t="s">
        <v>896</v>
      </c>
      <c r="P109" t="s">
        <v>877</v>
      </c>
      <c r="Q109" s="7">
        <v>960000</v>
      </c>
    </row>
    <row r="110" spans="1:17">
      <c r="A110" t="s">
        <v>1005</v>
      </c>
      <c r="B110" s="6">
        <v>45811</v>
      </c>
      <c r="C110" t="s">
        <v>712</v>
      </c>
      <c r="D110" t="s">
        <v>809</v>
      </c>
      <c r="E110">
        <v>2</v>
      </c>
      <c r="F110" s="7">
        <v>100000</v>
      </c>
      <c r="G110" s="7">
        <v>200000</v>
      </c>
      <c r="H110" t="s">
        <v>895</v>
      </c>
      <c r="I110" s="7">
        <v>30000</v>
      </c>
      <c r="J110" s="7">
        <v>10000</v>
      </c>
      <c r="K110" s="7">
        <v>180000</v>
      </c>
      <c r="L110" t="s">
        <v>880</v>
      </c>
      <c r="M110" t="s">
        <v>874</v>
      </c>
      <c r="N110" t="s">
        <v>875</v>
      </c>
      <c r="O110" t="s">
        <v>915</v>
      </c>
      <c r="P110" t="s">
        <v>877</v>
      </c>
      <c r="Q110" s="7">
        <v>170000</v>
      </c>
    </row>
    <row r="111" spans="1:17">
      <c r="A111" t="s">
        <v>1006</v>
      </c>
      <c r="B111" s="6">
        <v>45803</v>
      </c>
      <c r="C111" t="s">
        <v>346</v>
      </c>
      <c r="D111" t="s">
        <v>755</v>
      </c>
      <c r="E111">
        <v>1</v>
      </c>
      <c r="F111" s="7">
        <v>50000</v>
      </c>
      <c r="G111" s="7">
        <v>50000</v>
      </c>
      <c r="H111" t="s">
        <v>895</v>
      </c>
      <c r="I111" s="7">
        <v>7500</v>
      </c>
      <c r="J111" s="7">
        <v>15000</v>
      </c>
      <c r="K111" s="7">
        <v>57500</v>
      </c>
      <c r="L111" t="s">
        <v>889</v>
      </c>
      <c r="M111" t="s">
        <v>901</v>
      </c>
      <c r="N111" t="s">
        <v>875</v>
      </c>
      <c r="O111" t="s">
        <v>896</v>
      </c>
      <c r="P111" t="s">
        <v>877</v>
      </c>
      <c r="Q111" s="7">
        <v>42500</v>
      </c>
    </row>
    <row r="112" spans="1:17">
      <c r="A112" t="s">
        <v>1007</v>
      </c>
      <c r="B112" s="6">
        <v>45818</v>
      </c>
      <c r="C112" t="s">
        <v>256</v>
      </c>
      <c r="D112" t="s">
        <v>777</v>
      </c>
      <c r="E112">
        <v>1</v>
      </c>
      <c r="F112" s="7">
        <v>200000</v>
      </c>
      <c r="G112" s="7">
        <v>200000</v>
      </c>
      <c r="H112" t="s">
        <v>886</v>
      </c>
      <c r="I112" s="7">
        <v>20000</v>
      </c>
      <c r="J112" s="7">
        <v>20000</v>
      </c>
      <c r="K112" s="7">
        <v>200000</v>
      </c>
      <c r="L112" t="s">
        <v>884</v>
      </c>
      <c r="M112" t="s">
        <v>881</v>
      </c>
      <c r="N112" t="s">
        <v>875</v>
      </c>
      <c r="O112" t="s">
        <v>915</v>
      </c>
      <c r="P112" t="s">
        <v>877</v>
      </c>
      <c r="Q112" s="7">
        <v>180000</v>
      </c>
    </row>
    <row r="113" spans="1:17">
      <c r="A113" t="s">
        <v>1008</v>
      </c>
      <c r="B113" s="6">
        <v>45795</v>
      </c>
      <c r="C113" t="s">
        <v>174</v>
      </c>
      <c r="D113" t="s">
        <v>761</v>
      </c>
      <c r="E113">
        <v>2</v>
      </c>
      <c r="F113" s="7">
        <v>75000</v>
      </c>
      <c r="G113" s="7">
        <v>150000</v>
      </c>
      <c r="H113" t="s">
        <v>872</v>
      </c>
      <c r="I113" s="7">
        <v>0</v>
      </c>
      <c r="J113" s="7">
        <v>30000</v>
      </c>
      <c r="K113" s="7">
        <v>180000</v>
      </c>
      <c r="L113" t="s">
        <v>889</v>
      </c>
      <c r="M113" t="s">
        <v>874</v>
      </c>
      <c r="N113" t="s">
        <v>875</v>
      </c>
      <c r="O113" t="s">
        <v>896</v>
      </c>
      <c r="P113" t="s">
        <v>877</v>
      </c>
      <c r="Q113" s="7">
        <v>150000</v>
      </c>
    </row>
    <row r="114" spans="1:17">
      <c r="A114" t="s">
        <v>1009</v>
      </c>
      <c r="B114" s="6">
        <v>45803</v>
      </c>
      <c r="C114" t="s">
        <v>664</v>
      </c>
      <c r="D114" t="s">
        <v>819</v>
      </c>
      <c r="E114">
        <v>3</v>
      </c>
      <c r="F114" s="7">
        <v>300000</v>
      </c>
      <c r="G114" s="7">
        <v>900000</v>
      </c>
      <c r="H114" t="s">
        <v>879</v>
      </c>
      <c r="I114" s="7">
        <v>180000</v>
      </c>
      <c r="J114" s="7">
        <v>25000</v>
      </c>
      <c r="K114" s="7">
        <v>745000</v>
      </c>
      <c r="L114" t="s">
        <v>873</v>
      </c>
      <c r="M114" t="s">
        <v>881</v>
      </c>
      <c r="N114" t="s">
        <v>875</v>
      </c>
      <c r="O114" t="s">
        <v>896</v>
      </c>
      <c r="P114" t="s">
        <v>877</v>
      </c>
      <c r="Q114" s="7">
        <v>720000</v>
      </c>
    </row>
    <row r="115" spans="1:17">
      <c r="A115" t="s">
        <v>1010</v>
      </c>
      <c r="B115" s="6">
        <v>45703</v>
      </c>
      <c r="C115" t="s">
        <v>54</v>
      </c>
      <c r="D115" t="s">
        <v>737</v>
      </c>
      <c r="E115">
        <v>1</v>
      </c>
      <c r="F115" s="7">
        <v>300000</v>
      </c>
      <c r="G115" s="7">
        <v>300000</v>
      </c>
      <c r="H115" t="s">
        <v>872</v>
      </c>
      <c r="I115" s="7">
        <v>0</v>
      </c>
      <c r="J115" s="7">
        <v>30000</v>
      </c>
      <c r="K115" s="7">
        <v>330000</v>
      </c>
      <c r="L115" t="s">
        <v>880</v>
      </c>
      <c r="M115" t="s">
        <v>901</v>
      </c>
      <c r="N115" t="s">
        <v>875</v>
      </c>
      <c r="O115" t="s">
        <v>887</v>
      </c>
      <c r="P115" t="s">
        <v>877</v>
      </c>
      <c r="Q115" s="7">
        <v>300000</v>
      </c>
    </row>
    <row r="116" spans="1:17">
      <c r="A116" t="s">
        <v>1011</v>
      </c>
      <c r="B116" s="6">
        <v>45754</v>
      </c>
      <c r="C116" t="s">
        <v>346</v>
      </c>
      <c r="D116" t="s">
        <v>733</v>
      </c>
      <c r="E116">
        <v>1</v>
      </c>
      <c r="F116" s="7">
        <v>150000</v>
      </c>
      <c r="G116" s="7">
        <v>150000</v>
      </c>
      <c r="H116" t="s">
        <v>886</v>
      </c>
      <c r="I116" s="7">
        <v>15000</v>
      </c>
      <c r="J116" s="7">
        <v>30000</v>
      </c>
      <c r="K116" s="7">
        <v>165000</v>
      </c>
      <c r="L116" t="s">
        <v>889</v>
      </c>
      <c r="M116" t="s">
        <v>901</v>
      </c>
      <c r="N116" t="s">
        <v>875</v>
      </c>
      <c r="O116" t="s">
        <v>891</v>
      </c>
      <c r="P116" t="s">
        <v>877</v>
      </c>
      <c r="Q116" s="7">
        <v>135000</v>
      </c>
    </row>
    <row r="117" spans="1:17">
      <c r="A117" t="s">
        <v>1012</v>
      </c>
      <c r="B117" s="6">
        <v>45706</v>
      </c>
      <c r="C117" t="s">
        <v>650</v>
      </c>
      <c r="D117" t="s">
        <v>729</v>
      </c>
      <c r="E117">
        <v>2</v>
      </c>
      <c r="F117" s="7">
        <v>100000</v>
      </c>
      <c r="G117" s="7">
        <v>200000</v>
      </c>
      <c r="H117" t="s">
        <v>872</v>
      </c>
      <c r="I117" s="7">
        <v>0</v>
      </c>
      <c r="J117" s="7">
        <v>15000</v>
      </c>
      <c r="K117" s="7">
        <v>215000</v>
      </c>
      <c r="L117" t="s">
        <v>889</v>
      </c>
      <c r="M117" t="s">
        <v>901</v>
      </c>
      <c r="N117" t="s">
        <v>905</v>
      </c>
      <c r="O117" t="s">
        <v>887</v>
      </c>
      <c r="P117" t="s">
        <v>892</v>
      </c>
      <c r="Q117" s="7">
        <v>200000</v>
      </c>
    </row>
    <row r="118" spans="1:17">
      <c r="A118" t="s">
        <v>1013</v>
      </c>
      <c r="B118" s="6">
        <v>45724</v>
      </c>
      <c r="C118" t="s">
        <v>618</v>
      </c>
      <c r="D118" t="s">
        <v>851</v>
      </c>
      <c r="E118">
        <v>1</v>
      </c>
      <c r="F118" s="7">
        <v>35000</v>
      </c>
      <c r="G118" s="7">
        <v>35000</v>
      </c>
      <c r="H118" t="s">
        <v>895</v>
      </c>
      <c r="I118" s="7">
        <v>5250</v>
      </c>
      <c r="J118" s="7">
        <v>10000</v>
      </c>
      <c r="K118" s="7">
        <v>39750</v>
      </c>
      <c r="L118" t="s">
        <v>889</v>
      </c>
      <c r="M118" t="s">
        <v>874</v>
      </c>
      <c r="N118" t="s">
        <v>875</v>
      </c>
      <c r="O118" t="s">
        <v>876</v>
      </c>
      <c r="P118" t="s">
        <v>877</v>
      </c>
      <c r="Q118" s="7">
        <v>29750</v>
      </c>
    </row>
    <row r="119" spans="1:17">
      <c r="A119" t="s">
        <v>1014</v>
      </c>
      <c r="B119" s="6">
        <v>45692</v>
      </c>
      <c r="C119" t="s">
        <v>590</v>
      </c>
      <c r="D119" t="s">
        <v>839</v>
      </c>
      <c r="E119">
        <v>3</v>
      </c>
      <c r="F119" s="7">
        <v>200000</v>
      </c>
      <c r="G119" s="7">
        <v>600000</v>
      </c>
      <c r="H119" t="s">
        <v>886</v>
      </c>
      <c r="I119" s="7">
        <v>60000</v>
      </c>
      <c r="J119" s="7">
        <v>10000</v>
      </c>
      <c r="K119" s="7">
        <v>550000</v>
      </c>
      <c r="L119" t="s">
        <v>880</v>
      </c>
      <c r="M119" t="s">
        <v>901</v>
      </c>
      <c r="N119" t="s">
        <v>875</v>
      </c>
      <c r="O119" t="s">
        <v>887</v>
      </c>
      <c r="P119" t="s">
        <v>877</v>
      </c>
      <c r="Q119" s="7">
        <v>540000</v>
      </c>
    </row>
    <row r="120" spans="1:17">
      <c r="A120" t="s">
        <v>1015</v>
      </c>
      <c r="B120" s="6">
        <v>45712</v>
      </c>
      <c r="C120" t="s">
        <v>434</v>
      </c>
      <c r="D120" t="s">
        <v>819</v>
      </c>
      <c r="E120">
        <v>3</v>
      </c>
      <c r="F120" s="7">
        <v>300000</v>
      </c>
      <c r="G120" s="7">
        <v>900000</v>
      </c>
      <c r="H120" t="s">
        <v>872</v>
      </c>
      <c r="I120" s="7">
        <v>0</v>
      </c>
      <c r="J120" s="7">
        <v>25000</v>
      </c>
      <c r="K120" s="7">
        <v>925000</v>
      </c>
      <c r="L120" t="s">
        <v>880</v>
      </c>
      <c r="M120" t="s">
        <v>874</v>
      </c>
      <c r="N120" t="s">
        <v>875</v>
      </c>
      <c r="O120" t="s">
        <v>887</v>
      </c>
      <c r="P120" t="s">
        <v>877</v>
      </c>
      <c r="Q120" s="7">
        <v>900000</v>
      </c>
    </row>
    <row r="121" spans="1:17">
      <c r="A121" t="s">
        <v>1016</v>
      </c>
      <c r="B121" s="6">
        <v>45793</v>
      </c>
      <c r="C121" t="s">
        <v>13</v>
      </c>
      <c r="D121" t="s">
        <v>767</v>
      </c>
      <c r="E121">
        <v>3</v>
      </c>
      <c r="F121" s="7">
        <v>150000</v>
      </c>
      <c r="G121" s="7">
        <v>450000</v>
      </c>
      <c r="H121" t="s">
        <v>872</v>
      </c>
      <c r="I121" s="7">
        <v>0</v>
      </c>
      <c r="J121" s="7">
        <v>25000</v>
      </c>
      <c r="K121" s="7">
        <v>475000</v>
      </c>
      <c r="L121" t="s">
        <v>884</v>
      </c>
      <c r="M121" t="s">
        <v>874</v>
      </c>
      <c r="N121" t="s">
        <v>875</v>
      </c>
      <c r="O121" t="s">
        <v>896</v>
      </c>
      <c r="P121" t="s">
        <v>877</v>
      </c>
      <c r="Q121" s="7">
        <v>450000</v>
      </c>
    </row>
    <row r="122" spans="1:17">
      <c r="A122" t="s">
        <v>1017</v>
      </c>
      <c r="B122" s="6">
        <v>45761</v>
      </c>
      <c r="C122" t="s">
        <v>514</v>
      </c>
      <c r="D122" t="s">
        <v>823</v>
      </c>
      <c r="E122">
        <v>1</v>
      </c>
      <c r="F122" s="7">
        <v>500000</v>
      </c>
      <c r="G122" s="7">
        <v>500000</v>
      </c>
      <c r="H122" t="s">
        <v>872</v>
      </c>
      <c r="I122" s="7">
        <v>0</v>
      </c>
      <c r="J122" s="7">
        <v>10000</v>
      </c>
      <c r="K122" s="7">
        <v>510000</v>
      </c>
      <c r="L122" t="s">
        <v>884</v>
      </c>
      <c r="M122" t="s">
        <v>903</v>
      </c>
      <c r="N122" t="s">
        <v>905</v>
      </c>
      <c r="O122" t="s">
        <v>891</v>
      </c>
      <c r="P122" t="s">
        <v>892</v>
      </c>
      <c r="Q122" s="7">
        <v>500000</v>
      </c>
    </row>
    <row r="123" spans="1:17">
      <c r="A123" t="s">
        <v>1018</v>
      </c>
      <c r="B123" s="6">
        <v>45673</v>
      </c>
      <c r="C123" t="s">
        <v>93</v>
      </c>
      <c r="D123" t="s">
        <v>839</v>
      </c>
      <c r="E123">
        <v>1</v>
      </c>
      <c r="F123" s="7">
        <v>200000</v>
      </c>
      <c r="G123" s="7">
        <v>200000</v>
      </c>
      <c r="H123" t="s">
        <v>872</v>
      </c>
      <c r="I123" s="7">
        <v>0</v>
      </c>
      <c r="J123" s="7">
        <v>15000</v>
      </c>
      <c r="K123" s="7">
        <v>215000</v>
      </c>
      <c r="L123" t="s">
        <v>889</v>
      </c>
      <c r="M123" t="s">
        <v>881</v>
      </c>
      <c r="N123" t="s">
        <v>875</v>
      </c>
      <c r="O123" t="s">
        <v>908</v>
      </c>
      <c r="P123" t="s">
        <v>877</v>
      </c>
      <c r="Q123" s="7">
        <v>200000</v>
      </c>
    </row>
    <row r="124" spans="1:17">
      <c r="A124" t="s">
        <v>1019</v>
      </c>
      <c r="B124" s="6">
        <v>45762</v>
      </c>
      <c r="C124" t="s">
        <v>700</v>
      </c>
      <c r="D124" t="s">
        <v>729</v>
      </c>
      <c r="E124">
        <v>1</v>
      </c>
      <c r="F124" s="7">
        <v>100000</v>
      </c>
      <c r="G124" s="7">
        <v>100000</v>
      </c>
      <c r="H124" t="s">
        <v>872</v>
      </c>
      <c r="I124" s="7">
        <v>0</v>
      </c>
      <c r="J124" s="7">
        <v>15000</v>
      </c>
      <c r="K124" s="7">
        <v>115000</v>
      </c>
      <c r="L124" t="s">
        <v>884</v>
      </c>
      <c r="M124" t="s">
        <v>881</v>
      </c>
      <c r="N124" t="s">
        <v>875</v>
      </c>
      <c r="O124" t="s">
        <v>891</v>
      </c>
      <c r="P124" t="s">
        <v>877</v>
      </c>
      <c r="Q124" s="7">
        <v>100000</v>
      </c>
    </row>
    <row r="125" spans="1:17">
      <c r="A125" t="s">
        <v>1020</v>
      </c>
      <c r="B125" s="6">
        <v>45712</v>
      </c>
      <c r="C125" t="s">
        <v>542</v>
      </c>
      <c r="D125" t="s">
        <v>805</v>
      </c>
      <c r="E125">
        <v>3</v>
      </c>
      <c r="F125" s="7">
        <v>200000</v>
      </c>
      <c r="G125" s="7">
        <v>600000</v>
      </c>
      <c r="H125" t="s">
        <v>872</v>
      </c>
      <c r="I125" s="7">
        <v>0</v>
      </c>
      <c r="J125" s="7">
        <v>25000</v>
      </c>
      <c r="K125" s="7">
        <v>625000</v>
      </c>
      <c r="L125" t="s">
        <v>880</v>
      </c>
      <c r="M125" t="s">
        <v>901</v>
      </c>
      <c r="N125" t="s">
        <v>875</v>
      </c>
      <c r="O125" t="s">
        <v>887</v>
      </c>
      <c r="P125" t="s">
        <v>877</v>
      </c>
      <c r="Q125" s="7">
        <v>600000</v>
      </c>
    </row>
    <row r="126" spans="1:17">
      <c r="A126" t="s">
        <v>1021</v>
      </c>
      <c r="B126" s="6">
        <v>45706</v>
      </c>
      <c r="C126" t="s">
        <v>101</v>
      </c>
      <c r="D126" t="s">
        <v>811</v>
      </c>
      <c r="E126">
        <v>1</v>
      </c>
      <c r="F126" s="7">
        <v>35000</v>
      </c>
      <c r="G126" s="7">
        <v>35000</v>
      </c>
      <c r="I126" s="7">
        <v>3500</v>
      </c>
      <c r="J126" s="7">
        <v>20000</v>
      </c>
      <c r="K126" s="7">
        <v>51500</v>
      </c>
      <c r="L126" t="s">
        <v>873</v>
      </c>
      <c r="M126" t="s">
        <v>903</v>
      </c>
      <c r="N126" t="s">
        <v>875</v>
      </c>
      <c r="O126" t="s">
        <v>887</v>
      </c>
      <c r="P126" t="s">
        <v>877</v>
      </c>
      <c r="Q126" s="7">
        <v>31500</v>
      </c>
    </row>
    <row r="127" spans="1:17">
      <c r="A127" t="s">
        <v>1022</v>
      </c>
      <c r="B127" s="6">
        <v>45737</v>
      </c>
      <c r="C127" t="s">
        <v>25</v>
      </c>
      <c r="D127" t="s">
        <v>839</v>
      </c>
      <c r="E127">
        <v>3</v>
      </c>
      <c r="F127" s="7">
        <v>200000</v>
      </c>
      <c r="G127" s="7">
        <v>600000</v>
      </c>
      <c r="H127" t="s">
        <v>872</v>
      </c>
      <c r="I127" s="7">
        <v>0</v>
      </c>
      <c r="J127" s="7">
        <v>20000</v>
      </c>
      <c r="K127" s="7">
        <v>620000</v>
      </c>
      <c r="L127" t="s">
        <v>884</v>
      </c>
      <c r="M127" t="s">
        <v>903</v>
      </c>
      <c r="N127" t="s">
        <v>875</v>
      </c>
      <c r="O127" t="s">
        <v>876</v>
      </c>
      <c r="P127" t="s">
        <v>877</v>
      </c>
      <c r="Q127" s="7">
        <v>600000</v>
      </c>
    </row>
    <row r="128" spans="1:17">
      <c r="A128" t="s">
        <v>1023</v>
      </c>
      <c r="B128" s="6">
        <v>45677</v>
      </c>
      <c r="C128" t="s">
        <v>530</v>
      </c>
      <c r="D128" t="s">
        <v>755</v>
      </c>
      <c r="E128">
        <v>1</v>
      </c>
      <c r="F128" s="7">
        <v>50000</v>
      </c>
      <c r="G128" s="7">
        <v>50000</v>
      </c>
      <c r="H128" t="s">
        <v>879</v>
      </c>
      <c r="I128" s="7">
        <v>10000</v>
      </c>
      <c r="J128" s="7">
        <v>10000</v>
      </c>
      <c r="K128" s="7">
        <v>50000</v>
      </c>
      <c r="L128" t="s">
        <v>884</v>
      </c>
      <c r="M128" t="s">
        <v>901</v>
      </c>
      <c r="N128" t="s">
        <v>875</v>
      </c>
      <c r="O128" t="s">
        <v>908</v>
      </c>
      <c r="P128" t="s">
        <v>877</v>
      </c>
      <c r="Q128" s="7">
        <v>40000</v>
      </c>
    </row>
    <row r="129" spans="1:17">
      <c r="A129" t="s">
        <v>1024</v>
      </c>
      <c r="B129" s="6">
        <v>45767</v>
      </c>
      <c r="C129" t="s">
        <v>690</v>
      </c>
      <c r="D129" t="s">
        <v>843</v>
      </c>
      <c r="E129">
        <v>3</v>
      </c>
      <c r="F129" s="7">
        <v>100000</v>
      </c>
      <c r="G129" s="7">
        <v>300000</v>
      </c>
      <c r="H129" t="s">
        <v>883</v>
      </c>
      <c r="I129" s="7">
        <v>30000</v>
      </c>
      <c r="J129" s="7">
        <v>30000</v>
      </c>
      <c r="K129" s="7">
        <v>300000</v>
      </c>
      <c r="L129" t="s">
        <v>884</v>
      </c>
      <c r="M129" t="s">
        <v>901</v>
      </c>
      <c r="N129" t="s">
        <v>875</v>
      </c>
      <c r="O129" t="s">
        <v>891</v>
      </c>
      <c r="P129" t="s">
        <v>877</v>
      </c>
      <c r="Q129" s="7">
        <v>270000</v>
      </c>
    </row>
    <row r="130" spans="1:17">
      <c r="A130" t="s">
        <v>1025</v>
      </c>
      <c r="B130" s="6">
        <v>45774</v>
      </c>
      <c r="C130" t="s">
        <v>67</v>
      </c>
      <c r="D130" t="s">
        <v>765</v>
      </c>
      <c r="E130">
        <v>2</v>
      </c>
      <c r="F130" s="7">
        <v>500000</v>
      </c>
      <c r="G130" s="7">
        <v>1000000</v>
      </c>
      <c r="H130" t="s">
        <v>872</v>
      </c>
      <c r="I130" s="7">
        <v>0</v>
      </c>
      <c r="J130" s="7">
        <v>30000</v>
      </c>
      <c r="K130" s="7">
        <v>1030000</v>
      </c>
      <c r="L130" t="s">
        <v>873</v>
      </c>
      <c r="M130" t="s">
        <v>874</v>
      </c>
      <c r="N130" t="s">
        <v>875</v>
      </c>
      <c r="O130" t="s">
        <v>891</v>
      </c>
      <c r="P130" t="s">
        <v>877</v>
      </c>
      <c r="Q130" s="7">
        <v>1000000</v>
      </c>
    </row>
    <row r="131" spans="1:17">
      <c r="A131" t="s">
        <v>1026</v>
      </c>
      <c r="B131" s="6">
        <v>45688</v>
      </c>
      <c r="C131" t="s">
        <v>686</v>
      </c>
      <c r="D131" t="s">
        <v>775</v>
      </c>
      <c r="E131">
        <v>1</v>
      </c>
      <c r="F131" s="7">
        <v>75000</v>
      </c>
      <c r="G131" s="7">
        <v>75000</v>
      </c>
      <c r="H131" t="s">
        <v>872</v>
      </c>
      <c r="I131" s="7">
        <v>0</v>
      </c>
      <c r="J131" s="7">
        <v>15000</v>
      </c>
      <c r="K131" s="7">
        <v>90000</v>
      </c>
      <c r="L131" t="s">
        <v>880</v>
      </c>
      <c r="N131" t="s">
        <v>875</v>
      </c>
      <c r="O131" t="s">
        <v>908</v>
      </c>
      <c r="P131" t="s">
        <v>877</v>
      </c>
      <c r="Q131" s="7">
        <v>75000</v>
      </c>
    </row>
    <row r="132" spans="1:17">
      <c r="A132" t="s">
        <v>1027</v>
      </c>
      <c r="B132" s="6">
        <v>45717</v>
      </c>
      <c r="C132" t="s">
        <v>320</v>
      </c>
      <c r="D132" t="s">
        <v>773</v>
      </c>
      <c r="E132">
        <v>4</v>
      </c>
      <c r="F132" s="7">
        <v>500000</v>
      </c>
      <c r="G132" s="7">
        <v>2000000</v>
      </c>
      <c r="H132" t="s">
        <v>872</v>
      </c>
      <c r="I132" s="7">
        <v>0</v>
      </c>
      <c r="J132" s="7">
        <v>20000</v>
      </c>
      <c r="K132" s="7">
        <v>2020000</v>
      </c>
      <c r="L132" t="s">
        <v>873</v>
      </c>
      <c r="M132" t="s">
        <v>903</v>
      </c>
      <c r="N132" t="s">
        <v>875</v>
      </c>
      <c r="O132" t="s">
        <v>876</v>
      </c>
      <c r="P132" t="s">
        <v>877</v>
      </c>
      <c r="Q132" s="7">
        <v>2000000</v>
      </c>
    </row>
    <row r="133" spans="1:17">
      <c r="A133" t="s">
        <v>1028</v>
      </c>
      <c r="B133" s="6">
        <v>45835</v>
      </c>
      <c r="C133" t="s">
        <v>524</v>
      </c>
      <c r="D133" t="s">
        <v>797</v>
      </c>
      <c r="E133">
        <v>4</v>
      </c>
      <c r="F133" s="7">
        <v>150000</v>
      </c>
      <c r="G133" s="7">
        <v>600000</v>
      </c>
      <c r="H133" t="s">
        <v>872</v>
      </c>
      <c r="I133" s="7">
        <v>0</v>
      </c>
      <c r="J133" s="7">
        <v>25000</v>
      </c>
      <c r="K133" s="7">
        <v>625000</v>
      </c>
      <c r="L133" t="s">
        <v>889</v>
      </c>
      <c r="M133" t="s">
        <v>881</v>
      </c>
      <c r="N133" t="s">
        <v>921</v>
      </c>
      <c r="O133" t="s">
        <v>915</v>
      </c>
      <c r="P133" t="s">
        <v>892</v>
      </c>
      <c r="Q133" s="7">
        <v>600000</v>
      </c>
    </row>
    <row r="134" spans="1:17">
      <c r="A134" t="s">
        <v>1029</v>
      </c>
      <c r="B134" s="6">
        <v>45772</v>
      </c>
      <c r="C134" t="s">
        <v>544</v>
      </c>
      <c r="D134" t="s">
        <v>767</v>
      </c>
      <c r="E134">
        <v>2</v>
      </c>
      <c r="F134" s="7">
        <v>150000</v>
      </c>
      <c r="G134" s="7">
        <v>300000</v>
      </c>
      <c r="H134" t="s">
        <v>883</v>
      </c>
      <c r="I134" s="7">
        <v>30000</v>
      </c>
      <c r="J134" s="7">
        <v>25000</v>
      </c>
      <c r="K134" s="7">
        <v>295000</v>
      </c>
      <c r="L134" t="s">
        <v>873</v>
      </c>
      <c r="M134" t="s">
        <v>874</v>
      </c>
      <c r="N134" t="s">
        <v>875</v>
      </c>
      <c r="O134" t="s">
        <v>891</v>
      </c>
      <c r="P134" t="s">
        <v>877</v>
      </c>
      <c r="Q134" s="7">
        <v>270000</v>
      </c>
    </row>
    <row r="135" spans="1:17">
      <c r="A135" t="s">
        <v>1030</v>
      </c>
      <c r="B135" s="6">
        <v>45709</v>
      </c>
      <c r="C135" t="s">
        <v>460</v>
      </c>
      <c r="D135" t="s">
        <v>839</v>
      </c>
      <c r="E135">
        <v>2</v>
      </c>
      <c r="F135" s="7">
        <v>200000</v>
      </c>
      <c r="G135" s="7">
        <v>400000</v>
      </c>
      <c r="H135" t="s">
        <v>895</v>
      </c>
      <c r="I135" s="7">
        <v>60000</v>
      </c>
      <c r="J135" s="7">
        <v>30000</v>
      </c>
      <c r="K135" s="7">
        <v>370000</v>
      </c>
      <c r="L135" t="s">
        <v>884</v>
      </c>
      <c r="M135" t="s">
        <v>881</v>
      </c>
      <c r="N135" t="s">
        <v>875</v>
      </c>
      <c r="O135" t="s">
        <v>887</v>
      </c>
      <c r="P135" t="s">
        <v>877</v>
      </c>
      <c r="Q135" s="7">
        <v>340000</v>
      </c>
    </row>
    <row r="136" spans="1:17">
      <c r="A136" t="s">
        <v>1031</v>
      </c>
      <c r="B136" s="6">
        <v>45664</v>
      </c>
      <c r="C136" t="s">
        <v>328</v>
      </c>
      <c r="D136" t="s">
        <v>791</v>
      </c>
      <c r="E136">
        <v>3</v>
      </c>
      <c r="F136" s="7">
        <v>50000</v>
      </c>
      <c r="G136" s="7">
        <v>150000</v>
      </c>
      <c r="H136" t="s">
        <v>879</v>
      </c>
      <c r="I136" s="7">
        <v>30000</v>
      </c>
      <c r="J136" s="7">
        <v>15000</v>
      </c>
      <c r="K136" s="7">
        <v>135000</v>
      </c>
      <c r="L136" t="s">
        <v>873</v>
      </c>
      <c r="M136" t="s">
        <v>903</v>
      </c>
      <c r="N136" t="s">
        <v>905</v>
      </c>
      <c r="O136" t="s">
        <v>908</v>
      </c>
      <c r="P136" t="s">
        <v>892</v>
      </c>
      <c r="Q136" s="7">
        <v>120000</v>
      </c>
    </row>
    <row r="137" spans="1:17">
      <c r="A137" t="s">
        <v>1032</v>
      </c>
      <c r="B137" s="6">
        <v>45719</v>
      </c>
      <c r="C137" t="s">
        <v>456</v>
      </c>
      <c r="D137" t="s">
        <v>777</v>
      </c>
      <c r="E137">
        <v>3</v>
      </c>
      <c r="F137" s="7">
        <v>200000</v>
      </c>
      <c r="G137" s="7">
        <v>600000</v>
      </c>
      <c r="H137" t="s">
        <v>872</v>
      </c>
      <c r="I137" s="7">
        <v>0</v>
      </c>
      <c r="J137" s="7">
        <v>30000</v>
      </c>
      <c r="K137" s="7">
        <v>630000</v>
      </c>
      <c r="L137" t="s">
        <v>884</v>
      </c>
      <c r="M137" t="s">
        <v>881</v>
      </c>
      <c r="N137" t="s">
        <v>890</v>
      </c>
      <c r="O137" t="s">
        <v>876</v>
      </c>
      <c r="P137" t="s">
        <v>892</v>
      </c>
      <c r="Q137" s="7">
        <v>600000</v>
      </c>
    </row>
    <row r="138" spans="1:17">
      <c r="A138" t="s">
        <v>1033</v>
      </c>
      <c r="B138" s="6">
        <v>45722</v>
      </c>
      <c r="C138" t="s">
        <v>40</v>
      </c>
      <c r="D138" t="s">
        <v>777</v>
      </c>
      <c r="E138">
        <v>1</v>
      </c>
      <c r="F138" s="7">
        <v>200000</v>
      </c>
      <c r="G138" s="7">
        <v>200000</v>
      </c>
      <c r="H138" t="s">
        <v>872</v>
      </c>
      <c r="I138" s="7">
        <v>0</v>
      </c>
      <c r="J138" s="7">
        <v>25000</v>
      </c>
      <c r="K138" s="7">
        <v>225000</v>
      </c>
      <c r="L138" t="s">
        <v>880</v>
      </c>
      <c r="M138" t="s">
        <v>903</v>
      </c>
      <c r="N138" t="s">
        <v>875</v>
      </c>
      <c r="O138" t="s">
        <v>876</v>
      </c>
      <c r="P138" t="s">
        <v>877</v>
      </c>
      <c r="Q138" s="7">
        <v>200000</v>
      </c>
    </row>
    <row r="139" spans="1:17">
      <c r="A139" t="s">
        <v>1034</v>
      </c>
      <c r="B139" s="6">
        <v>45796</v>
      </c>
      <c r="C139" t="s">
        <v>400</v>
      </c>
      <c r="D139" t="s">
        <v>777</v>
      </c>
      <c r="E139">
        <v>2</v>
      </c>
      <c r="F139" s="7">
        <v>200000</v>
      </c>
      <c r="G139" s="7">
        <v>400000</v>
      </c>
      <c r="H139" t="s">
        <v>872</v>
      </c>
      <c r="I139" s="7">
        <v>0</v>
      </c>
      <c r="J139" s="7">
        <v>25000</v>
      </c>
      <c r="K139" s="7">
        <v>425000</v>
      </c>
      <c r="L139" t="s">
        <v>889</v>
      </c>
      <c r="M139" t="s">
        <v>903</v>
      </c>
      <c r="N139" t="s">
        <v>875</v>
      </c>
      <c r="O139" t="s">
        <v>896</v>
      </c>
      <c r="P139" t="s">
        <v>877</v>
      </c>
      <c r="Q139" s="7">
        <v>400000</v>
      </c>
    </row>
    <row r="140" spans="1:17">
      <c r="A140" t="s">
        <v>1035</v>
      </c>
      <c r="B140" s="6">
        <v>45769</v>
      </c>
      <c r="C140" t="s">
        <v>522</v>
      </c>
      <c r="D140" t="s">
        <v>771</v>
      </c>
      <c r="E140">
        <v>1</v>
      </c>
      <c r="F140" s="7">
        <v>500000</v>
      </c>
      <c r="G140" s="7">
        <v>500000</v>
      </c>
      <c r="I140" s="7">
        <v>0</v>
      </c>
      <c r="J140" s="7">
        <v>15000</v>
      </c>
      <c r="K140" s="7">
        <v>515000</v>
      </c>
      <c r="L140" t="s">
        <v>884</v>
      </c>
      <c r="M140" t="s">
        <v>903</v>
      </c>
      <c r="N140" t="s">
        <v>875</v>
      </c>
      <c r="O140" t="s">
        <v>891</v>
      </c>
      <c r="P140" t="s">
        <v>877</v>
      </c>
      <c r="Q140" s="7">
        <v>500000</v>
      </c>
    </row>
    <row r="141" spans="1:17">
      <c r="A141" t="s">
        <v>1036</v>
      </c>
      <c r="B141" s="6">
        <v>45798</v>
      </c>
      <c r="C141" t="s">
        <v>244</v>
      </c>
      <c r="D141" t="s">
        <v>817</v>
      </c>
      <c r="E141">
        <v>1</v>
      </c>
      <c r="F141" s="7">
        <v>75000</v>
      </c>
      <c r="G141" s="7">
        <v>75000</v>
      </c>
      <c r="H141" t="s">
        <v>872</v>
      </c>
      <c r="I141" s="7">
        <v>0</v>
      </c>
      <c r="J141" s="7">
        <v>30000</v>
      </c>
      <c r="K141" s="7">
        <v>105000</v>
      </c>
      <c r="L141" t="s">
        <v>880</v>
      </c>
      <c r="M141" t="s">
        <v>903</v>
      </c>
      <c r="N141" t="s">
        <v>875</v>
      </c>
      <c r="O141" t="s">
        <v>896</v>
      </c>
      <c r="P141" t="s">
        <v>877</v>
      </c>
      <c r="Q141" s="7">
        <v>75000</v>
      </c>
    </row>
    <row r="142" spans="1:17">
      <c r="A142" t="s">
        <v>1037</v>
      </c>
      <c r="B142" s="6">
        <v>45754</v>
      </c>
      <c r="C142" t="s">
        <v>32</v>
      </c>
      <c r="D142" t="s">
        <v>835</v>
      </c>
      <c r="E142">
        <v>1</v>
      </c>
      <c r="F142" s="7">
        <v>200000</v>
      </c>
      <c r="G142" s="7">
        <v>200000</v>
      </c>
      <c r="H142" t="s">
        <v>886</v>
      </c>
      <c r="I142" s="7">
        <v>20000</v>
      </c>
      <c r="J142" s="7">
        <v>15000</v>
      </c>
      <c r="K142" s="7">
        <v>195000</v>
      </c>
      <c r="L142" t="s">
        <v>873</v>
      </c>
      <c r="M142" t="s">
        <v>874</v>
      </c>
      <c r="N142" t="s">
        <v>875</v>
      </c>
      <c r="O142" t="s">
        <v>891</v>
      </c>
      <c r="P142" t="s">
        <v>877</v>
      </c>
      <c r="Q142" s="7">
        <v>180000</v>
      </c>
    </row>
    <row r="143" spans="1:17">
      <c r="A143" t="s">
        <v>1038</v>
      </c>
      <c r="B143" s="6">
        <v>45665</v>
      </c>
      <c r="C143" t="s">
        <v>446</v>
      </c>
      <c r="D143" t="s">
        <v>751</v>
      </c>
      <c r="E143">
        <v>1</v>
      </c>
      <c r="F143" s="7">
        <v>150000</v>
      </c>
      <c r="G143" s="7">
        <v>150000</v>
      </c>
      <c r="H143" t="s">
        <v>883</v>
      </c>
      <c r="I143" s="7">
        <v>15000</v>
      </c>
      <c r="J143" s="7">
        <v>30000</v>
      </c>
      <c r="K143" s="7">
        <v>165000</v>
      </c>
      <c r="L143" t="s">
        <v>889</v>
      </c>
      <c r="M143" t="s">
        <v>874</v>
      </c>
      <c r="N143" t="s">
        <v>875</v>
      </c>
      <c r="O143" t="s">
        <v>908</v>
      </c>
      <c r="P143" t="s">
        <v>877</v>
      </c>
      <c r="Q143" s="7">
        <v>135000</v>
      </c>
    </row>
    <row r="144" spans="1:17">
      <c r="A144" t="s">
        <v>1039</v>
      </c>
      <c r="B144" s="6">
        <v>45817</v>
      </c>
      <c r="C144" t="s">
        <v>192</v>
      </c>
      <c r="D144" t="s">
        <v>809</v>
      </c>
      <c r="E144">
        <v>2</v>
      </c>
      <c r="F144" s="7">
        <v>100000</v>
      </c>
      <c r="G144" s="7">
        <v>200000</v>
      </c>
      <c r="H144" t="s">
        <v>872</v>
      </c>
      <c r="I144" s="7">
        <v>0</v>
      </c>
      <c r="J144" s="7">
        <v>20000</v>
      </c>
      <c r="K144" s="7">
        <v>220000</v>
      </c>
      <c r="L144" t="s">
        <v>873</v>
      </c>
      <c r="M144" t="s">
        <v>901</v>
      </c>
      <c r="N144" t="s">
        <v>875</v>
      </c>
      <c r="O144" t="s">
        <v>915</v>
      </c>
      <c r="P144" t="s">
        <v>877</v>
      </c>
      <c r="Q144" s="7">
        <v>200000</v>
      </c>
    </row>
    <row r="145" spans="1:17">
      <c r="A145" t="s">
        <v>1040</v>
      </c>
      <c r="B145" s="6">
        <v>45809</v>
      </c>
      <c r="C145" t="s">
        <v>49</v>
      </c>
      <c r="D145" t="s">
        <v>741</v>
      </c>
      <c r="E145">
        <v>2</v>
      </c>
      <c r="F145" s="7">
        <v>75000</v>
      </c>
      <c r="G145" s="7">
        <v>150000</v>
      </c>
      <c r="H145" t="s">
        <v>879</v>
      </c>
      <c r="I145" s="7">
        <v>30000</v>
      </c>
      <c r="J145" s="7">
        <v>25000</v>
      </c>
      <c r="K145" s="7">
        <v>145000</v>
      </c>
      <c r="L145" t="s">
        <v>884</v>
      </c>
      <c r="M145" t="s">
        <v>903</v>
      </c>
      <c r="N145" t="s">
        <v>890</v>
      </c>
      <c r="O145" t="s">
        <v>915</v>
      </c>
      <c r="P145" t="s">
        <v>892</v>
      </c>
      <c r="Q145" s="7">
        <v>120000</v>
      </c>
    </row>
    <row r="146" spans="1:17">
      <c r="A146" t="s">
        <v>1041</v>
      </c>
      <c r="B146" s="6">
        <v>45800</v>
      </c>
      <c r="C146" t="s">
        <v>440</v>
      </c>
      <c r="D146" t="s">
        <v>749</v>
      </c>
      <c r="E146">
        <v>1</v>
      </c>
      <c r="F146" s="7">
        <v>150000</v>
      </c>
      <c r="G146" s="7">
        <v>150000</v>
      </c>
      <c r="H146" t="s">
        <v>886</v>
      </c>
      <c r="I146" s="7">
        <v>15000</v>
      </c>
      <c r="J146" s="7">
        <v>15000</v>
      </c>
      <c r="K146" s="7">
        <v>150000</v>
      </c>
      <c r="L146" t="s">
        <v>889</v>
      </c>
      <c r="M146" t="s">
        <v>901</v>
      </c>
      <c r="N146" t="s">
        <v>875</v>
      </c>
      <c r="O146" t="s">
        <v>896</v>
      </c>
      <c r="P146" t="s">
        <v>877</v>
      </c>
      <c r="Q146" s="7">
        <v>135000</v>
      </c>
    </row>
    <row r="147" spans="1:17">
      <c r="A147" t="s">
        <v>1042</v>
      </c>
      <c r="B147" s="6">
        <v>45695</v>
      </c>
      <c r="C147" t="s">
        <v>240</v>
      </c>
      <c r="D147" t="s">
        <v>799</v>
      </c>
      <c r="E147">
        <v>2</v>
      </c>
      <c r="F147" s="7">
        <v>35000</v>
      </c>
      <c r="G147" s="7">
        <v>70000</v>
      </c>
      <c r="H147" t="s">
        <v>886</v>
      </c>
      <c r="I147" s="7">
        <v>7000</v>
      </c>
      <c r="J147" s="7">
        <v>15000</v>
      </c>
      <c r="K147" s="7">
        <v>78000</v>
      </c>
      <c r="L147" t="s">
        <v>873</v>
      </c>
      <c r="M147" t="s">
        <v>874</v>
      </c>
      <c r="N147" t="s">
        <v>911</v>
      </c>
      <c r="O147" t="s">
        <v>887</v>
      </c>
      <c r="P147" t="s">
        <v>892</v>
      </c>
      <c r="Q147" s="7">
        <v>63000</v>
      </c>
    </row>
    <row r="148" spans="1:17">
      <c r="A148" t="s">
        <v>1043</v>
      </c>
      <c r="B148" s="6">
        <v>45835</v>
      </c>
      <c r="C148" t="s">
        <v>115</v>
      </c>
      <c r="D148" t="s">
        <v>807</v>
      </c>
      <c r="E148">
        <v>3</v>
      </c>
      <c r="F148" s="7">
        <v>150000</v>
      </c>
      <c r="G148" s="7">
        <v>450000</v>
      </c>
      <c r="H148" t="s">
        <v>886</v>
      </c>
      <c r="I148" s="7">
        <v>45000</v>
      </c>
      <c r="J148" s="7">
        <v>15000</v>
      </c>
      <c r="K148" s="7">
        <v>420000</v>
      </c>
      <c r="L148" t="s">
        <v>889</v>
      </c>
      <c r="M148" t="s">
        <v>901</v>
      </c>
      <c r="N148" t="s">
        <v>875</v>
      </c>
      <c r="O148" t="s">
        <v>915</v>
      </c>
      <c r="P148" t="s">
        <v>877</v>
      </c>
      <c r="Q148" s="7">
        <v>405000</v>
      </c>
    </row>
    <row r="149" spans="1:17">
      <c r="A149" t="s">
        <v>1044</v>
      </c>
      <c r="B149" s="6">
        <v>45667</v>
      </c>
      <c r="C149" t="s">
        <v>316</v>
      </c>
      <c r="D149" t="s">
        <v>807</v>
      </c>
      <c r="E149">
        <v>2</v>
      </c>
      <c r="F149" s="7">
        <v>150000</v>
      </c>
      <c r="G149" s="7">
        <v>300000</v>
      </c>
      <c r="H149" t="s">
        <v>886</v>
      </c>
      <c r="I149" s="7">
        <v>30000</v>
      </c>
      <c r="J149" s="7">
        <v>25000</v>
      </c>
      <c r="K149" s="7">
        <v>295000</v>
      </c>
      <c r="L149" t="s">
        <v>889</v>
      </c>
      <c r="M149" t="s">
        <v>901</v>
      </c>
      <c r="N149" t="s">
        <v>875</v>
      </c>
      <c r="O149" t="s">
        <v>908</v>
      </c>
      <c r="P149" t="s">
        <v>877</v>
      </c>
      <c r="Q149" s="7">
        <v>270000</v>
      </c>
    </row>
    <row r="150" spans="1:17">
      <c r="A150" t="s">
        <v>1045</v>
      </c>
      <c r="B150" s="6">
        <v>45668</v>
      </c>
      <c r="C150" t="s">
        <v>32</v>
      </c>
      <c r="D150" t="s">
        <v>765</v>
      </c>
      <c r="E150">
        <v>1</v>
      </c>
      <c r="F150" s="7">
        <v>500000</v>
      </c>
      <c r="G150" s="7">
        <v>500000</v>
      </c>
      <c r="H150" t="s">
        <v>872</v>
      </c>
      <c r="I150" s="7">
        <v>0</v>
      </c>
      <c r="J150" s="7">
        <v>25000</v>
      </c>
      <c r="K150" s="7">
        <v>525000</v>
      </c>
      <c r="L150" t="s">
        <v>889</v>
      </c>
      <c r="M150" t="s">
        <v>901</v>
      </c>
      <c r="N150" t="s">
        <v>911</v>
      </c>
      <c r="O150" t="s">
        <v>908</v>
      </c>
      <c r="P150" t="s">
        <v>892</v>
      </c>
      <c r="Q150" s="7">
        <v>500000</v>
      </c>
    </row>
    <row r="151" spans="1:17">
      <c r="A151" t="s">
        <v>1046</v>
      </c>
      <c r="B151" s="6">
        <v>45771</v>
      </c>
      <c r="C151" t="s">
        <v>574</v>
      </c>
      <c r="D151" t="s">
        <v>839</v>
      </c>
      <c r="E151">
        <v>3</v>
      </c>
      <c r="F151" s="7">
        <v>200000</v>
      </c>
      <c r="G151" s="7">
        <v>600000</v>
      </c>
      <c r="H151" t="s">
        <v>883</v>
      </c>
      <c r="I151" s="7">
        <v>60000</v>
      </c>
      <c r="J151" s="7">
        <v>30000</v>
      </c>
      <c r="K151" s="7">
        <v>570000</v>
      </c>
      <c r="L151" t="s">
        <v>873</v>
      </c>
      <c r="M151" t="s">
        <v>881</v>
      </c>
      <c r="N151" t="s">
        <v>911</v>
      </c>
      <c r="O151" t="s">
        <v>891</v>
      </c>
      <c r="P151" t="s">
        <v>892</v>
      </c>
      <c r="Q151" s="7">
        <v>540000</v>
      </c>
    </row>
    <row r="152" spans="1:17">
      <c r="A152" t="s">
        <v>1047</v>
      </c>
      <c r="B152" s="6">
        <v>45779</v>
      </c>
      <c r="C152" t="s">
        <v>81</v>
      </c>
      <c r="D152" t="s">
        <v>795</v>
      </c>
      <c r="E152">
        <v>4</v>
      </c>
      <c r="F152" s="7">
        <v>100000</v>
      </c>
      <c r="G152" s="7">
        <v>400000</v>
      </c>
      <c r="H152" t="s">
        <v>872</v>
      </c>
      <c r="I152" s="7">
        <v>0</v>
      </c>
      <c r="J152" s="7">
        <v>30000</v>
      </c>
      <c r="K152" s="7">
        <v>430000</v>
      </c>
      <c r="L152" t="s">
        <v>884</v>
      </c>
      <c r="M152" t="s">
        <v>881</v>
      </c>
      <c r="N152" t="s">
        <v>905</v>
      </c>
      <c r="O152" t="s">
        <v>896</v>
      </c>
      <c r="P152" t="s">
        <v>892</v>
      </c>
      <c r="Q152" s="7">
        <v>400000</v>
      </c>
    </row>
    <row r="153" spans="1:17">
      <c r="A153" t="s">
        <v>1048</v>
      </c>
      <c r="B153" s="6">
        <v>45806</v>
      </c>
      <c r="C153" t="s">
        <v>270</v>
      </c>
      <c r="D153" t="s">
        <v>751</v>
      </c>
      <c r="E153">
        <v>3</v>
      </c>
      <c r="F153" s="7">
        <v>150000</v>
      </c>
      <c r="G153" s="7">
        <v>450000</v>
      </c>
      <c r="H153" t="s">
        <v>872</v>
      </c>
      <c r="I153" s="7">
        <v>0</v>
      </c>
      <c r="J153" s="7">
        <v>20000</v>
      </c>
      <c r="K153" s="7">
        <v>470000</v>
      </c>
      <c r="L153" t="s">
        <v>873</v>
      </c>
      <c r="M153" t="s">
        <v>874</v>
      </c>
      <c r="N153" t="s">
        <v>890</v>
      </c>
      <c r="O153" t="s">
        <v>896</v>
      </c>
      <c r="P153" t="s">
        <v>892</v>
      </c>
      <c r="Q153" s="7">
        <v>450000</v>
      </c>
    </row>
    <row r="154" spans="1:17">
      <c r="A154" t="s">
        <v>1049</v>
      </c>
      <c r="B154" s="6">
        <v>45746</v>
      </c>
      <c r="C154" t="s">
        <v>61</v>
      </c>
      <c r="D154" t="s">
        <v>791</v>
      </c>
      <c r="E154">
        <v>2</v>
      </c>
      <c r="F154" s="7">
        <v>50000</v>
      </c>
      <c r="G154" s="7">
        <v>100000</v>
      </c>
      <c r="H154" t="s">
        <v>895</v>
      </c>
      <c r="I154" s="7">
        <v>15000</v>
      </c>
      <c r="J154" s="7">
        <v>20000</v>
      </c>
      <c r="K154" s="7">
        <v>105000</v>
      </c>
      <c r="L154" t="s">
        <v>889</v>
      </c>
      <c r="M154" t="s">
        <v>901</v>
      </c>
      <c r="N154" t="s">
        <v>890</v>
      </c>
      <c r="O154" t="s">
        <v>876</v>
      </c>
      <c r="P154" t="s">
        <v>892</v>
      </c>
      <c r="Q154" s="7">
        <v>85000</v>
      </c>
    </row>
    <row r="155" spans="1:17">
      <c r="A155" t="s">
        <v>1050</v>
      </c>
      <c r="B155" s="6">
        <v>45707</v>
      </c>
      <c r="C155" t="s">
        <v>208</v>
      </c>
      <c r="D155" t="s">
        <v>765</v>
      </c>
      <c r="E155">
        <v>1</v>
      </c>
      <c r="F155" s="7">
        <v>500000</v>
      </c>
      <c r="G155" s="7">
        <v>500000</v>
      </c>
      <c r="H155" t="s">
        <v>886</v>
      </c>
      <c r="I155" s="7">
        <v>50000</v>
      </c>
      <c r="J155" s="7">
        <v>30000</v>
      </c>
      <c r="K155" s="7">
        <v>480000</v>
      </c>
      <c r="L155" t="s">
        <v>884</v>
      </c>
      <c r="M155" t="s">
        <v>903</v>
      </c>
      <c r="N155" t="s">
        <v>875</v>
      </c>
      <c r="O155" t="s">
        <v>887</v>
      </c>
      <c r="P155" t="s">
        <v>877</v>
      </c>
      <c r="Q155" s="7">
        <v>450000</v>
      </c>
    </row>
    <row r="156" spans="1:17">
      <c r="A156" t="s">
        <v>1051</v>
      </c>
      <c r="B156" s="6">
        <v>45754</v>
      </c>
      <c r="C156" t="s">
        <v>386</v>
      </c>
      <c r="D156" t="s">
        <v>733</v>
      </c>
      <c r="E156">
        <v>4</v>
      </c>
      <c r="F156" s="7">
        <v>150000</v>
      </c>
      <c r="G156" s="7">
        <v>600000</v>
      </c>
      <c r="H156" t="s">
        <v>883</v>
      </c>
      <c r="I156" s="7">
        <v>60000</v>
      </c>
      <c r="J156" s="7">
        <v>10000</v>
      </c>
      <c r="K156" s="7">
        <v>550000</v>
      </c>
      <c r="L156" t="s">
        <v>889</v>
      </c>
      <c r="M156" t="s">
        <v>903</v>
      </c>
      <c r="N156" t="s">
        <v>875</v>
      </c>
      <c r="O156" t="s">
        <v>891</v>
      </c>
      <c r="P156" t="s">
        <v>877</v>
      </c>
      <c r="Q156" s="7">
        <v>540000</v>
      </c>
    </row>
    <row r="157" spans="1:17">
      <c r="A157" t="s">
        <v>1052</v>
      </c>
      <c r="B157" s="6">
        <v>45785</v>
      </c>
      <c r="C157" t="s">
        <v>476</v>
      </c>
      <c r="D157" t="s">
        <v>829</v>
      </c>
      <c r="E157">
        <v>1</v>
      </c>
      <c r="F157" s="7">
        <v>500000</v>
      </c>
      <c r="G157" s="7">
        <v>500000</v>
      </c>
      <c r="H157" t="s">
        <v>895</v>
      </c>
      <c r="I157" s="7">
        <v>75000</v>
      </c>
      <c r="J157" s="7">
        <v>10000</v>
      </c>
      <c r="K157" s="7">
        <v>435000</v>
      </c>
      <c r="L157" t="s">
        <v>880</v>
      </c>
      <c r="M157" t="s">
        <v>874</v>
      </c>
      <c r="N157" t="s">
        <v>875</v>
      </c>
      <c r="O157" t="s">
        <v>896</v>
      </c>
      <c r="P157" t="s">
        <v>877</v>
      </c>
      <c r="Q157" s="7">
        <v>425000</v>
      </c>
    </row>
    <row r="158" spans="1:17">
      <c r="A158" t="s">
        <v>1053</v>
      </c>
      <c r="B158" s="6">
        <v>45789</v>
      </c>
      <c r="C158" t="s">
        <v>226</v>
      </c>
      <c r="D158" t="s">
        <v>805</v>
      </c>
      <c r="E158">
        <v>1</v>
      </c>
      <c r="F158" s="7">
        <v>200000</v>
      </c>
      <c r="G158" s="7">
        <v>200000</v>
      </c>
      <c r="H158" t="s">
        <v>895</v>
      </c>
      <c r="I158" s="7">
        <v>30000</v>
      </c>
      <c r="J158" s="7">
        <v>20000</v>
      </c>
      <c r="K158" s="7">
        <v>190000</v>
      </c>
      <c r="L158" t="s">
        <v>884</v>
      </c>
      <c r="M158" t="s">
        <v>901</v>
      </c>
      <c r="N158" t="s">
        <v>875</v>
      </c>
      <c r="O158" t="s">
        <v>896</v>
      </c>
      <c r="P158" t="s">
        <v>877</v>
      </c>
      <c r="Q158" s="7">
        <v>170000</v>
      </c>
    </row>
    <row r="159" spans="1:17">
      <c r="A159" t="s">
        <v>1054</v>
      </c>
      <c r="B159" s="6">
        <v>45812</v>
      </c>
      <c r="C159" t="s">
        <v>150</v>
      </c>
      <c r="D159" t="s">
        <v>817</v>
      </c>
      <c r="E159">
        <v>2</v>
      </c>
      <c r="F159" s="7">
        <v>75000</v>
      </c>
      <c r="G159" s="7">
        <v>150000</v>
      </c>
      <c r="H159" t="s">
        <v>895</v>
      </c>
      <c r="I159" s="7">
        <v>22500</v>
      </c>
      <c r="J159" s="7">
        <v>25000</v>
      </c>
      <c r="K159" s="7">
        <v>152500</v>
      </c>
      <c r="L159" t="s">
        <v>884</v>
      </c>
      <c r="N159" t="s">
        <v>875</v>
      </c>
      <c r="O159" t="s">
        <v>915</v>
      </c>
      <c r="P159" t="s">
        <v>877</v>
      </c>
      <c r="Q159" s="7">
        <v>127500</v>
      </c>
    </row>
    <row r="160" spans="1:17">
      <c r="A160" t="s">
        <v>1055</v>
      </c>
      <c r="B160" s="6">
        <v>45671</v>
      </c>
      <c r="C160" t="s">
        <v>260</v>
      </c>
      <c r="D160" t="s">
        <v>803</v>
      </c>
      <c r="E160">
        <v>2</v>
      </c>
      <c r="F160" s="7">
        <v>50000</v>
      </c>
      <c r="G160" s="7">
        <v>100000</v>
      </c>
      <c r="H160" t="s">
        <v>883</v>
      </c>
      <c r="I160" s="7">
        <v>10000</v>
      </c>
      <c r="J160" s="7">
        <v>20000</v>
      </c>
      <c r="K160" s="7">
        <v>110000</v>
      </c>
      <c r="L160" t="s">
        <v>884</v>
      </c>
      <c r="M160" t="s">
        <v>881</v>
      </c>
      <c r="N160" t="s">
        <v>875</v>
      </c>
      <c r="O160" t="s">
        <v>908</v>
      </c>
      <c r="P160" t="s">
        <v>877</v>
      </c>
      <c r="Q160" s="7">
        <v>90000</v>
      </c>
    </row>
    <row r="161" spans="1:17">
      <c r="A161" t="s">
        <v>1056</v>
      </c>
      <c r="B161" s="6">
        <v>45758</v>
      </c>
      <c r="C161" t="s">
        <v>390</v>
      </c>
      <c r="D161" t="s">
        <v>737</v>
      </c>
      <c r="E161">
        <v>4</v>
      </c>
      <c r="F161" s="7">
        <v>300000</v>
      </c>
      <c r="G161" s="7">
        <v>1200000</v>
      </c>
      <c r="H161" t="s">
        <v>872</v>
      </c>
      <c r="I161" s="7">
        <v>0</v>
      </c>
      <c r="J161" s="7">
        <v>15000</v>
      </c>
      <c r="K161" s="7">
        <v>1215000</v>
      </c>
      <c r="L161" t="s">
        <v>873</v>
      </c>
      <c r="N161" t="s">
        <v>875</v>
      </c>
      <c r="O161" t="s">
        <v>891</v>
      </c>
      <c r="P161" t="s">
        <v>877</v>
      </c>
      <c r="Q161" s="7">
        <v>1200000</v>
      </c>
    </row>
    <row r="162" spans="1:17">
      <c r="A162" t="s">
        <v>1057</v>
      </c>
      <c r="B162" s="6">
        <v>45694</v>
      </c>
      <c r="C162" t="s">
        <v>478</v>
      </c>
      <c r="D162" t="s">
        <v>777</v>
      </c>
      <c r="E162">
        <v>3</v>
      </c>
      <c r="F162" s="7">
        <v>200000</v>
      </c>
      <c r="G162" s="7">
        <v>600000</v>
      </c>
      <c r="H162" t="s">
        <v>872</v>
      </c>
      <c r="I162" s="7">
        <v>0</v>
      </c>
      <c r="J162" s="7">
        <v>25000</v>
      </c>
      <c r="K162" s="7">
        <v>625000</v>
      </c>
      <c r="L162" t="s">
        <v>889</v>
      </c>
      <c r="M162" t="s">
        <v>903</v>
      </c>
      <c r="N162" t="s">
        <v>890</v>
      </c>
      <c r="O162" t="s">
        <v>887</v>
      </c>
      <c r="P162" t="s">
        <v>892</v>
      </c>
      <c r="Q162" s="7">
        <v>600000</v>
      </c>
    </row>
    <row r="163" spans="1:17">
      <c r="A163" t="s">
        <v>1058</v>
      </c>
      <c r="B163" s="6">
        <v>45714</v>
      </c>
      <c r="C163" t="s">
        <v>57</v>
      </c>
      <c r="D163" t="s">
        <v>769</v>
      </c>
      <c r="E163">
        <v>4</v>
      </c>
      <c r="F163" s="7">
        <v>100000</v>
      </c>
      <c r="G163" s="7">
        <v>400000</v>
      </c>
      <c r="H163" t="s">
        <v>872</v>
      </c>
      <c r="I163" s="7">
        <v>0</v>
      </c>
      <c r="J163" s="7">
        <v>15000</v>
      </c>
      <c r="K163" s="7">
        <v>415000</v>
      </c>
      <c r="L163" t="s">
        <v>884</v>
      </c>
      <c r="M163" t="s">
        <v>881</v>
      </c>
      <c r="N163" t="s">
        <v>905</v>
      </c>
      <c r="O163" t="s">
        <v>887</v>
      </c>
      <c r="P163" t="s">
        <v>892</v>
      </c>
      <c r="Q163" s="7">
        <v>400000</v>
      </c>
    </row>
    <row r="164" spans="1:17">
      <c r="A164" t="s">
        <v>1059</v>
      </c>
      <c r="B164" s="6">
        <v>45712</v>
      </c>
      <c r="C164" t="s">
        <v>526</v>
      </c>
      <c r="D164" t="s">
        <v>783</v>
      </c>
      <c r="E164">
        <v>1</v>
      </c>
      <c r="F164" s="7">
        <v>500000</v>
      </c>
      <c r="G164" s="7">
        <v>500000</v>
      </c>
      <c r="H164" t="s">
        <v>883</v>
      </c>
      <c r="I164" s="7">
        <v>50000</v>
      </c>
      <c r="J164" s="7">
        <v>10000</v>
      </c>
      <c r="K164" s="7">
        <v>460000</v>
      </c>
      <c r="L164" t="s">
        <v>873</v>
      </c>
      <c r="M164" t="s">
        <v>874</v>
      </c>
      <c r="N164" t="s">
        <v>875</v>
      </c>
      <c r="O164" t="s">
        <v>887</v>
      </c>
      <c r="P164" t="s">
        <v>877</v>
      </c>
      <c r="Q164" s="7">
        <v>450000</v>
      </c>
    </row>
    <row r="165" spans="1:17">
      <c r="A165" t="s">
        <v>1060</v>
      </c>
      <c r="B165" s="6">
        <v>45720</v>
      </c>
      <c r="C165" t="s">
        <v>440</v>
      </c>
      <c r="D165" t="s">
        <v>779</v>
      </c>
      <c r="E165">
        <v>2</v>
      </c>
      <c r="F165" s="7">
        <v>150000</v>
      </c>
      <c r="G165" s="7">
        <v>300000</v>
      </c>
      <c r="H165" t="s">
        <v>895</v>
      </c>
      <c r="I165" s="7">
        <v>45000</v>
      </c>
      <c r="J165" s="7">
        <v>20000</v>
      </c>
      <c r="K165" s="7">
        <v>275000</v>
      </c>
      <c r="L165" t="s">
        <v>880</v>
      </c>
      <c r="M165" t="s">
        <v>901</v>
      </c>
      <c r="N165" t="s">
        <v>890</v>
      </c>
      <c r="O165" t="s">
        <v>876</v>
      </c>
      <c r="P165" t="s">
        <v>892</v>
      </c>
      <c r="Q165" s="7">
        <v>255000</v>
      </c>
    </row>
    <row r="166" spans="1:17">
      <c r="A166" t="s">
        <v>1061</v>
      </c>
      <c r="B166" s="6">
        <v>45833</v>
      </c>
      <c r="C166" t="s">
        <v>364</v>
      </c>
      <c r="D166" t="s">
        <v>807</v>
      </c>
      <c r="E166">
        <v>3</v>
      </c>
      <c r="F166" s="7">
        <v>150000</v>
      </c>
      <c r="G166" s="7">
        <v>450000</v>
      </c>
      <c r="H166" t="s">
        <v>872</v>
      </c>
      <c r="I166" s="7">
        <v>0</v>
      </c>
      <c r="J166" s="7">
        <v>10000</v>
      </c>
      <c r="K166" s="7">
        <v>460000</v>
      </c>
      <c r="L166" t="s">
        <v>884</v>
      </c>
      <c r="M166" t="s">
        <v>903</v>
      </c>
      <c r="N166" t="s">
        <v>875</v>
      </c>
      <c r="O166" t="s">
        <v>915</v>
      </c>
      <c r="P166" t="s">
        <v>877</v>
      </c>
      <c r="Q166" s="7">
        <v>450000</v>
      </c>
    </row>
    <row r="167" spans="1:17">
      <c r="A167" t="s">
        <v>1062</v>
      </c>
      <c r="B167" s="6">
        <v>45704</v>
      </c>
      <c r="C167" t="s">
        <v>644</v>
      </c>
      <c r="D167" t="s">
        <v>855</v>
      </c>
      <c r="E167">
        <v>3</v>
      </c>
      <c r="F167" s="7">
        <v>150000</v>
      </c>
      <c r="G167" s="7">
        <v>450000</v>
      </c>
      <c r="H167" t="s">
        <v>886</v>
      </c>
      <c r="I167" s="7">
        <v>45000</v>
      </c>
      <c r="J167" s="7">
        <v>20000</v>
      </c>
      <c r="K167" s="7">
        <v>425000</v>
      </c>
      <c r="L167" t="s">
        <v>884</v>
      </c>
      <c r="M167" t="s">
        <v>874</v>
      </c>
      <c r="N167" t="s">
        <v>875</v>
      </c>
      <c r="O167" t="s">
        <v>887</v>
      </c>
      <c r="P167" t="s">
        <v>877</v>
      </c>
      <c r="Q167" s="7">
        <v>405000</v>
      </c>
    </row>
    <row r="168" spans="1:17">
      <c r="A168" t="s">
        <v>1063</v>
      </c>
      <c r="B168" s="6">
        <v>45800</v>
      </c>
      <c r="C168" t="s">
        <v>414</v>
      </c>
      <c r="D168" t="s">
        <v>829</v>
      </c>
      <c r="E168">
        <v>3</v>
      </c>
      <c r="F168" s="7">
        <v>500000</v>
      </c>
      <c r="G168" s="7">
        <v>1500000</v>
      </c>
      <c r="H168" t="s">
        <v>886</v>
      </c>
      <c r="I168" s="7">
        <v>150000</v>
      </c>
      <c r="J168" s="7">
        <v>10000</v>
      </c>
      <c r="K168" s="7">
        <v>1360000</v>
      </c>
      <c r="L168" t="s">
        <v>873</v>
      </c>
      <c r="M168" t="s">
        <v>903</v>
      </c>
      <c r="N168" t="s">
        <v>890</v>
      </c>
      <c r="O168" t="s">
        <v>896</v>
      </c>
      <c r="P168" t="s">
        <v>892</v>
      </c>
      <c r="Q168" s="7">
        <v>1350000</v>
      </c>
    </row>
    <row r="169" spans="1:17">
      <c r="A169" t="s">
        <v>1064</v>
      </c>
      <c r="B169" s="6">
        <v>45718</v>
      </c>
      <c r="C169" t="s">
        <v>294</v>
      </c>
      <c r="D169" t="s">
        <v>835</v>
      </c>
      <c r="E169">
        <v>1</v>
      </c>
      <c r="F169" s="7">
        <v>200000</v>
      </c>
      <c r="G169" s="7">
        <v>200000</v>
      </c>
      <c r="H169" t="s">
        <v>886</v>
      </c>
      <c r="I169" s="7">
        <v>20000</v>
      </c>
      <c r="J169" s="7">
        <v>10000</v>
      </c>
      <c r="K169" s="7">
        <v>190000</v>
      </c>
      <c r="L169" t="s">
        <v>889</v>
      </c>
      <c r="M169" t="s">
        <v>903</v>
      </c>
      <c r="N169" t="s">
        <v>875</v>
      </c>
      <c r="O169" t="s">
        <v>876</v>
      </c>
      <c r="P169" t="s">
        <v>877</v>
      </c>
      <c r="Q169" s="7">
        <v>180000</v>
      </c>
    </row>
    <row r="170" spans="1:17">
      <c r="A170" t="s">
        <v>1065</v>
      </c>
      <c r="B170" s="6">
        <v>45766</v>
      </c>
      <c r="C170" t="s">
        <v>119</v>
      </c>
      <c r="D170" t="s">
        <v>841</v>
      </c>
      <c r="E170">
        <v>1</v>
      </c>
      <c r="F170" s="7">
        <v>75000</v>
      </c>
      <c r="G170" s="7">
        <v>75000</v>
      </c>
      <c r="H170" t="s">
        <v>872</v>
      </c>
      <c r="I170" s="7">
        <v>0</v>
      </c>
      <c r="J170" s="7">
        <v>30000</v>
      </c>
      <c r="K170" s="7">
        <v>105000</v>
      </c>
      <c r="L170" t="s">
        <v>884</v>
      </c>
      <c r="M170" t="s">
        <v>881</v>
      </c>
      <c r="N170" t="s">
        <v>875</v>
      </c>
      <c r="O170" t="s">
        <v>891</v>
      </c>
      <c r="P170" t="s">
        <v>877</v>
      </c>
      <c r="Q170" s="7">
        <v>75000</v>
      </c>
    </row>
    <row r="171" spans="1:17">
      <c r="A171" t="s">
        <v>1066</v>
      </c>
      <c r="B171" s="6">
        <v>45706</v>
      </c>
      <c r="C171" t="s">
        <v>166</v>
      </c>
      <c r="D171" t="s">
        <v>741</v>
      </c>
      <c r="E171">
        <v>2</v>
      </c>
      <c r="F171" s="7">
        <v>75000</v>
      </c>
      <c r="G171" s="7">
        <v>150000</v>
      </c>
      <c r="H171" t="s">
        <v>879</v>
      </c>
      <c r="I171" s="7">
        <v>30000</v>
      </c>
      <c r="J171" s="7">
        <v>20000</v>
      </c>
      <c r="K171" s="7">
        <v>140000</v>
      </c>
      <c r="L171" t="s">
        <v>889</v>
      </c>
      <c r="M171" t="s">
        <v>881</v>
      </c>
      <c r="N171" t="s">
        <v>875</v>
      </c>
      <c r="O171" t="s">
        <v>887</v>
      </c>
      <c r="P171" t="s">
        <v>877</v>
      </c>
      <c r="Q171" s="7">
        <v>120000</v>
      </c>
    </row>
    <row r="172" spans="1:17">
      <c r="A172" t="s">
        <v>1067</v>
      </c>
      <c r="B172" s="6">
        <v>45786</v>
      </c>
      <c r="C172" t="s">
        <v>578</v>
      </c>
      <c r="D172" t="s">
        <v>849</v>
      </c>
      <c r="E172">
        <v>2</v>
      </c>
      <c r="F172" s="7">
        <v>500000</v>
      </c>
      <c r="G172" s="7">
        <v>1000000</v>
      </c>
      <c r="H172" t="s">
        <v>872</v>
      </c>
      <c r="I172" s="7">
        <v>0</v>
      </c>
      <c r="J172" s="7">
        <v>10000</v>
      </c>
      <c r="K172" s="7">
        <v>1010000</v>
      </c>
      <c r="L172" t="s">
        <v>889</v>
      </c>
      <c r="M172" t="s">
        <v>874</v>
      </c>
      <c r="N172" t="s">
        <v>890</v>
      </c>
      <c r="O172" t="s">
        <v>896</v>
      </c>
      <c r="P172" t="s">
        <v>892</v>
      </c>
      <c r="Q172" s="7">
        <v>1000000</v>
      </c>
    </row>
    <row r="173" spans="1:17">
      <c r="A173" t="s">
        <v>1068</v>
      </c>
      <c r="B173" s="6">
        <v>45688</v>
      </c>
      <c r="C173" t="s">
        <v>186</v>
      </c>
      <c r="D173" t="s">
        <v>783</v>
      </c>
      <c r="E173">
        <v>1</v>
      </c>
      <c r="F173" s="7">
        <v>500000</v>
      </c>
      <c r="G173" s="7">
        <v>500000</v>
      </c>
      <c r="H173" t="s">
        <v>872</v>
      </c>
      <c r="I173" s="7">
        <v>0</v>
      </c>
      <c r="J173" s="7">
        <v>25000</v>
      </c>
      <c r="K173" s="7">
        <v>525000</v>
      </c>
      <c r="L173" t="s">
        <v>889</v>
      </c>
      <c r="M173" t="s">
        <v>874</v>
      </c>
      <c r="N173" t="s">
        <v>921</v>
      </c>
      <c r="O173" t="s">
        <v>908</v>
      </c>
      <c r="P173" t="s">
        <v>892</v>
      </c>
      <c r="Q173" s="7">
        <v>500000</v>
      </c>
    </row>
    <row r="174" spans="1:17">
      <c r="A174" t="s">
        <v>1069</v>
      </c>
      <c r="B174" s="6">
        <v>45792</v>
      </c>
      <c r="C174" t="s">
        <v>344</v>
      </c>
      <c r="D174" t="s">
        <v>845</v>
      </c>
      <c r="E174">
        <v>2</v>
      </c>
      <c r="F174" s="7">
        <v>300000</v>
      </c>
      <c r="G174" s="7">
        <v>600000</v>
      </c>
      <c r="H174" t="s">
        <v>895</v>
      </c>
      <c r="I174" s="7">
        <v>90000</v>
      </c>
      <c r="J174" s="7">
        <v>15000</v>
      </c>
      <c r="K174" s="7">
        <v>525000</v>
      </c>
      <c r="L174" t="s">
        <v>880</v>
      </c>
      <c r="M174" t="s">
        <v>874</v>
      </c>
      <c r="N174" t="s">
        <v>890</v>
      </c>
      <c r="O174" t="s">
        <v>896</v>
      </c>
      <c r="P174" t="s">
        <v>892</v>
      </c>
      <c r="Q174" s="7">
        <v>510000</v>
      </c>
    </row>
    <row r="175" spans="1:17">
      <c r="A175" t="s">
        <v>1070</v>
      </c>
      <c r="B175" s="6">
        <v>45727</v>
      </c>
      <c r="C175" t="s">
        <v>105</v>
      </c>
      <c r="D175" t="s">
        <v>753</v>
      </c>
      <c r="E175">
        <v>2</v>
      </c>
      <c r="F175" s="7">
        <v>300000</v>
      </c>
      <c r="G175" s="7">
        <v>600000</v>
      </c>
      <c r="H175" t="s">
        <v>879</v>
      </c>
      <c r="I175" s="7">
        <v>120000</v>
      </c>
      <c r="J175" s="7">
        <v>10000</v>
      </c>
      <c r="K175" s="7">
        <v>490000</v>
      </c>
      <c r="L175" t="s">
        <v>889</v>
      </c>
      <c r="M175" t="s">
        <v>903</v>
      </c>
      <c r="N175" t="s">
        <v>905</v>
      </c>
      <c r="O175" t="s">
        <v>876</v>
      </c>
      <c r="P175" t="s">
        <v>892</v>
      </c>
      <c r="Q175" s="7">
        <v>480000</v>
      </c>
    </row>
    <row r="176" spans="1:17">
      <c r="A176" t="s">
        <v>1071</v>
      </c>
      <c r="B176" s="6">
        <v>45678</v>
      </c>
      <c r="C176" t="s">
        <v>410</v>
      </c>
      <c r="D176" t="s">
        <v>835</v>
      </c>
      <c r="E176">
        <v>1</v>
      </c>
      <c r="F176" s="7">
        <v>200000</v>
      </c>
      <c r="G176" s="7">
        <v>200000</v>
      </c>
      <c r="H176" t="s">
        <v>872</v>
      </c>
      <c r="I176" s="7">
        <v>0</v>
      </c>
      <c r="J176" s="7">
        <v>20000</v>
      </c>
      <c r="K176" s="7">
        <v>220000</v>
      </c>
      <c r="L176" t="s">
        <v>889</v>
      </c>
      <c r="M176" t="s">
        <v>881</v>
      </c>
      <c r="N176" t="s">
        <v>890</v>
      </c>
      <c r="O176" t="s">
        <v>908</v>
      </c>
      <c r="P176" t="s">
        <v>892</v>
      </c>
      <c r="Q176" s="7">
        <v>200000</v>
      </c>
    </row>
    <row r="177" spans="1:17">
      <c r="A177" t="s">
        <v>1072</v>
      </c>
      <c r="B177" s="6">
        <v>45805</v>
      </c>
      <c r="C177" t="s">
        <v>304</v>
      </c>
      <c r="D177" t="s">
        <v>831</v>
      </c>
      <c r="E177">
        <v>4</v>
      </c>
      <c r="F177" s="7">
        <v>300000</v>
      </c>
      <c r="G177" s="7">
        <v>1200000</v>
      </c>
      <c r="H177" t="s">
        <v>872</v>
      </c>
      <c r="I177" s="7">
        <v>0</v>
      </c>
      <c r="J177" s="7">
        <v>10000</v>
      </c>
      <c r="K177" s="7">
        <v>1210000</v>
      </c>
      <c r="L177" t="s">
        <v>880</v>
      </c>
      <c r="M177" t="s">
        <v>874</v>
      </c>
      <c r="N177" t="s">
        <v>875</v>
      </c>
      <c r="O177" t="s">
        <v>896</v>
      </c>
      <c r="P177" t="s">
        <v>877</v>
      </c>
      <c r="Q177" s="7">
        <v>1200000</v>
      </c>
    </row>
    <row r="178" spans="1:17">
      <c r="A178" t="s">
        <v>1073</v>
      </c>
      <c r="B178" s="6">
        <v>45822</v>
      </c>
      <c r="C178" t="s">
        <v>646</v>
      </c>
      <c r="D178" t="s">
        <v>777</v>
      </c>
      <c r="E178">
        <v>1</v>
      </c>
      <c r="F178" s="7">
        <v>200000</v>
      </c>
      <c r="G178" s="7">
        <v>200000</v>
      </c>
      <c r="H178" t="s">
        <v>886</v>
      </c>
      <c r="I178" s="7">
        <v>20000</v>
      </c>
      <c r="J178" s="7">
        <v>20000</v>
      </c>
      <c r="K178" s="7">
        <v>200000</v>
      </c>
      <c r="L178" t="s">
        <v>873</v>
      </c>
      <c r="M178" t="s">
        <v>901</v>
      </c>
      <c r="N178" t="s">
        <v>875</v>
      </c>
      <c r="O178" t="s">
        <v>915</v>
      </c>
      <c r="P178" t="s">
        <v>877</v>
      </c>
      <c r="Q178" s="7">
        <v>180000</v>
      </c>
    </row>
    <row r="179" spans="1:17">
      <c r="A179" t="s">
        <v>1074</v>
      </c>
      <c r="B179" s="6">
        <v>45772</v>
      </c>
      <c r="C179" t="s">
        <v>708</v>
      </c>
      <c r="D179" t="s">
        <v>777</v>
      </c>
      <c r="E179">
        <v>2</v>
      </c>
      <c r="F179" s="7">
        <v>200000</v>
      </c>
      <c r="G179" s="7">
        <v>400000</v>
      </c>
      <c r="H179" t="s">
        <v>895</v>
      </c>
      <c r="I179" s="7">
        <v>60000</v>
      </c>
      <c r="J179" s="7">
        <v>15000</v>
      </c>
      <c r="K179" s="7">
        <v>355000</v>
      </c>
      <c r="L179" t="s">
        <v>889</v>
      </c>
      <c r="M179" t="s">
        <v>903</v>
      </c>
      <c r="N179" t="s">
        <v>875</v>
      </c>
      <c r="O179" t="s">
        <v>891</v>
      </c>
      <c r="P179" t="s">
        <v>877</v>
      </c>
      <c r="Q179" s="7">
        <v>340000</v>
      </c>
    </row>
    <row r="180" spans="1:17">
      <c r="A180" t="s">
        <v>1075</v>
      </c>
      <c r="B180" s="6">
        <v>45728</v>
      </c>
      <c r="C180" t="s">
        <v>190</v>
      </c>
      <c r="D180" t="s">
        <v>845</v>
      </c>
      <c r="E180">
        <v>1</v>
      </c>
      <c r="F180" s="7">
        <v>300000</v>
      </c>
      <c r="G180" s="7">
        <v>300000</v>
      </c>
      <c r="H180" t="s">
        <v>872</v>
      </c>
      <c r="I180" s="7">
        <v>0</v>
      </c>
      <c r="J180" s="7">
        <v>20000</v>
      </c>
      <c r="K180" s="7">
        <v>320000</v>
      </c>
      <c r="L180" t="s">
        <v>889</v>
      </c>
      <c r="M180" t="s">
        <v>903</v>
      </c>
      <c r="N180" t="s">
        <v>875</v>
      </c>
      <c r="O180" t="s">
        <v>876</v>
      </c>
      <c r="P180" t="s">
        <v>877</v>
      </c>
      <c r="Q180" s="7">
        <v>300000</v>
      </c>
    </row>
    <row r="181" spans="1:17">
      <c r="A181" t="s">
        <v>1076</v>
      </c>
      <c r="B181" s="6">
        <v>45826</v>
      </c>
      <c r="C181" t="s">
        <v>190</v>
      </c>
      <c r="D181" t="s">
        <v>833</v>
      </c>
      <c r="E181">
        <v>1</v>
      </c>
      <c r="F181" s="7">
        <v>200000</v>
      </c>
      <c r="G181" s="7">
        <v>200000</v>
      </c>
      <c r="H181" t="s">
        <v>886</v>
      </c>
      <c r="I181" s="7">
        <v>20000</v>
      </c>
      <c r="J181" s="7">
        <v>30000</v>
      </c>
      <c r="K181" s="7">
        <v>210000</v>
      </c>
      <c r="L181" t="s">
        <v>889</v>
      </c>
      <c r="M181" t="s">
        <v>903</v>
      </c>
      <c r="N181" t="s">
        <v>875</v>
      </c>
      <c r="O181" t="s">
        <v>915</v>
      </c>
      <c r="P181" t="s">
        <v>877</v>
      </c>
      <c r="Q181" s="7">
        <v>180000</v>
      </c>
    </row>
    <row r="182" spans="1:17">
      <c r="A182" t="s">
        <v>1077</v>
      </c>
      <c r="B182" s="6">
        <v>45662</v>
      </c>
      <c r="C182" t="s">
        <v>10</v>
      </c>
      <c r="D182" t="s">
        <v>779</v>
      </c>
      <c r="E182">
        <v>1</v>
      </c>
      <c r="F182" s="7">
        <v>150000</v>
      </c>
      <c r="G182" s="7">
        <v>150000</v>
      </c>
      <c r="H182" t="s">
        <v>886</v>
      </c>
      <c r="I182" s="7">
        <v>15000</v>
      </c>
      <c r="J182" s="7">
        <v>25000</v>
      </c>
      <c r="K182" s="7">
        <v>160000</v>
      </c>
      <c r="L182" t="s">
        <v>884</v>
      </c>
      <c r="M182" t="s">
        <v>874</v>
      </c>
      <c r="N182" t="s">
        <v>875</v>
      </c>
      <c r="O182" t="s">
        <v>908</v>
      </c>
      <c r="P182" t="s">
        <v>877</v>
      </c>
      <c r="Q182" s="7">
        <v>135000</v>
      </c>
    </row>
    <row r="183" spans="1:17">
      <c r="A183" t="s">
        <v>1078</v>
      </c>
      <c r="B183" s="6">
        <v>45745</v>
      </c>
      <c r="C183" t="s">
        <v>606</v>
      </c>
      <c r="D183" t="s">
        <v>855</v>
      </c>
      <c r="E183">
        <v>1</v>
      </c>
      <c r="F183" s="7">
        <v>150000</v>
      </c>
      <c r="G183" s="7">
        <v>150000</v>
      </c>
      <c r="H183" t="s">
        <v>886</v>
      </c>
      <c r="I183" s="7">
        <v>15000</v>
      </c>
      <c r="J183" s="7">
        <v>30000</v>
      </c>
      <c r="K183" s="7">
        <v>165000</v>
      </c>
      <c r="L183" t="s">
        <v>889</v>
      </c>
      <c r="M183" t="s">
        <v>881</v>
      </c>
      <c r="N183" t="s">
        <v>875</v>
      </c>
      <c r="O183" t="s">
        <v>876</v>
      </c>
      <c r="P183" t="s">
        <v>877</v>
      </c>
      <c r="Q183" s="7">
        <v>135000</v>
      </c>
    </row>
    <row r="184" spans="1:17">
      <c r="A184" t="s">
        <v>1079</v>
      </c>
      <c r="B184" s="6">
        <v>45677</v>
      </c>
      <c r="C184" t="s">
        <v>326</v>
      </c>
      <c r="D184" t="s">
        <v>737</v>
      </c>
      <c r="E184">
        <v>3</v>
      </c>
      <c r="F184" s="7">
        <v>300000</v>
      </c>
      <c r="G184" s="7">
        <v>900000</v>
      </c>
      <c r="H184" t="s">
        <v>883</v>
      </c>
      <c r="I184" s="7">
        <v>90000</v>
      </c>
      <c r="J184" s="7">
        <v>25000</v>
      </c>
      <c r="K184" s="7">
        <v>835000</v>
      </c>
      <c r="L184" t="s">
        <v>889</v>
      </c>
      <c r="M184" t="s">
        <v>874</v>
      </c>
      <c r="N184" t="s">
        <v>890</v>
      </c>
      <c r="O184" t="s">
        <v>908</v>
      </c>
      <c r="P184" t="s">
        <v>892</v>
      </c>
      <c r="Q184" s="7">
        <v>810000</v>
      </c>
    </row>
    <row r="185" spans="1:17">
      <c r="A185" t="s">
        <v>1080</v>
      </c>
      <c r="B185" s="6">
        <v>45749</v>
      </c>
      <c r="C185" t="s">
        <v>558</v>
      </c>
      <c r="D185" t="s">
        <v>789</v>
      </c>
      <c r="E185">
        <v>2</v>
      </c>
      <c r="F185" s="7">
        <v>200000</v>
      </c>
      <c r="G185" s="7">
        <v>400000</v>
      </c>
      <c r="H185" t="s">
        <v>886</v>
      </c>
      <c r="I185" s="7">
        <v>40000</v>
      </c>
      <c r="J185" s="7">
        <v>15000</v>
      </c>
      <c r="K185" s="7">
        <v>375000</v>
      </c>
      <c r="L185" t="s">
        <v>880</v>
      </c>
      <c r="M185" t="s">
        <v>903</v>
      </c>
      <c r="N185" t="s">
        <v>875</v>
      </c>
      <c r="O185" t="s">
        <v>891</v>
      </c>
      <c r="P185" t="s">
        <v>877</v>
      </c>
      <c r="Q185" s="7">
        <v>360000</v>
      </c>
    </row>
    <row r="186" spans="1:17">
      <c r="A186" t="s">
        <v>1081</v>
      </c>
      <c r="B186" s="6">
        <v>45810</v>
      </c>
      <c r="C186" t="s">
        <v>514</v>
      </c>
      <c r="D186" t="s">
        <v>733</v>
      </c>
      <c r="E186">
        <v>2</v>
      </c>
      <c r="F186" s="7">
        <v>150000</v>
      </c>
      <c r="G186" s="7">
        <v>300000</v>
      </c>
      <c r="H186" t="s">
        <v>872</v>
      </c>
      <c r="I186" s="7">
        <v>0</v>
      </c>
      <c r="J186" s="7">
        <v>10000</v>
      </c>
      <c r="K186" s="7">
        <v>310000</v>
      </c>
      <c r="L186" t="s">
        <v>884</v>
      </c>
      <c r="M186" t="s">
        <v>903</v>
      </c>
      <c r="N186" t="s">
        <v>875</v>
      </c>
      <c r="O186" t="s">
        <v>915</v>
      </c>
      <c r="P186" t="s">
        <v>877</v>
      </c>
      <c r="Q186" s="7">
        <v>300000</v>
      </c>
    </row>
    <row r="187" spans="1:17">
      <c r="A187" t="s">
        <v>1082</v>
      </c>
      <c r="B187" s="6">
        <v>45780</v>
      </c>
      <c r="C187" t="s">
        <v>374</v>
      </c>
      <c r="D187" t="s">
        <v>821</v>
      </c>
      <c r="E187">
        <v>1</v>
      </c>
      <c r="F187" s="7">
        <v>50000</v>
      </c>
      <c r="G187" s="7">
        <v>50000</v>
      </c>
      <c r="H187" t="s">
        <v>886</v>
      </c>
      <c r="I187" s="7">
        <v>5000</v>
      </c>
      <c r="J187" s="7">
        <v>25000</v>
      </c>
      <c r="K187" s="7">
        <v>70000</v>
      </c>
      <c r="L187" t="s">
        <v>889</v>
      </c>
      <c r="M187" t="s">
        <v>874</v>
      </c>
      <c r="N187" t="s">
        <v>875</v>
      </c>
      <c r="O187" t="s">
        <v>896</v>
      </c>
      <c r="P187" t="s">
        <v>877</v>
      </c>
      <c r="Q187" s="7">
        <v>45000</v>
      </c>
    </row>
    <row r="188" spans="1:17">
      <c r="A188" t="s">
        <v>1083</v>
      </c>
      <c r="B188" s="6">
        <v>45698</v>
      </c>
      <c r="C188" t="s">
        <v>346</v>
      </c>
      <c r="D188" t="s">
        <v>809</v>
      </c>
      <c r="E188">
        <v>2</v>
      </c>
      <c r="F188" s="7">
        <v>100000</v>
      </c>
      <c r="G188" s="7">
        <v>200000</v>
      </c>
      <c r="H188" t="s">
        <v>879</v>
      </c>
      <c r="I188" s="7">
        <v>40000</v>
      </c>
      <c r="J188" s="7">
        <v>15000</v>
      </c>
      <c r="K188" s="7">
        <v>175000</v>
      </c>
      <c r="L188" t="s">
        <v>873</v>
      </c>
      <c r="M188" t="s">
        <v>881</v>
      </c>
      <c r="N188" t="s">
        <v>875</v>
      </c>
      <c r="O188" t="s">
        <v>887</v>
      </c>
      <c r="P188" t="s">
        <v>877</v>
      </c>
      <c r="Q188" s="7">
        <v>160000</v>
      </c>
    </row>
    <row r="189" spans="1:17">
      <c r="A189" t="s">
        <v>1084</v>
      </c>
      <c r="B189" s="6">
        <v>45699</v>
      </c>
      <c r="C189" t="s">
        <v>650</v>
      </c>
      <c r="D189" t="s">
        <v>775</v>
      </c>
      <c r="E189">
        <v>3</v>
      </c>
      <c r="F189" s="7">
        <v>75000</v>
      </c>
      <c r="G189" s="7">
        <v>225000</v>
      </c>
      <c r="H189" t="s">
        <v>872</v>
      </c>
      <c r="I189" s="7">
        <v>0</v>
      </c>
      <c r="J189" s="7">
        <v>20000</v>
      </c>
      <c r="K189" s="7">
        <v>245000</v>
      </c>
      <c r="L189" t="s">
        <v>884</v>
      </c>
      <c r="M189" t="s">
        <v>881</v>
      </c>
      <c r="N189" t="s">
        <v>890</v>
      </c>
      <c r="O189" t="s">
        <v>887</v>
      </c>
      <c r="P189" t="s">
        <v>892</v>
      </c>
      <c r="Q189" s="7">
        <v>225000</v>
      </c>
    </row>
    <row r="190" spans="1:17">
      <c r="A190" t="s">
        <v>1085</v>
      </c>
      <c r="B190" s="6">
        <v>45771</v>
      </c>
      <c r="C190" t="s">
        <v>97</v>
      </c>
      <c r="D190" t="s">
        <v>811</v>
      </c>
      <c r="E190">
        <v>1</v>
      </c>
      <c r="F190" s="7">
        <v>35000</v>
      </c>
      <c r="G190" s="7">
        <v>35000</v>
      </c>
      <c r="H190" t="s">
        <v>883</v>
      </c>
      <c r="I190" s="7">
        <v>3500</v>
      </c>
      <c r="J190" s="7">
        <v>25000</v>
      </c>
      <c r="K190" s="7">
        <v>56500</v>
      </c>
      <c r="L190" t="s">
        <v>889</v>
      </c>
      <c r="M190" t="s">
        <v>874</v>
      </c>
      <c r="N190" t="s">
        <v>875</v>
      </c>
      <c r="O190" t="s">
        <v>891</v>
      </c>
      <c r="P190" t="s">
        <v>877</v>
      </c>
      <c r="Q190" s="7">
        <v>31500</v>
      </c>
    </row>
    <row r="191" spans="1:17">
      <c r="A191" t="s">
        <v>1086</v>
      </c>
      <c r="B191" s="6">
        <v>45833</v>
      </c>
      <c r="C191" t="s">
        <v>232</v>
      </c>
      <c r="D191" t="s">
        <v>809</v>
      </c>
      <c r="E191">
        <v>2</v>
      </c>
      <c r="F191" s="7">
        <v>100000</v>
      </c>
      <c r="G191" s="7">
        <v>200000</v>
      </c>
      <c r="H191" t="s">
        <v>883</v>
      </c>
      <c r="I191" s="7">
        <v>20000</v>
      </c>
      <c r="J191" s="7">
        <v>25000</v>
      </c>
      <c r="K191" s="7">
        <v>205000</v>
      </c>
      <c r="L191" t="s">
        <v>880</v>
      </c>
      <c r="M191" t="s">
        <v>881</v>
      </c>
      <c r="N191" t="s">
        <v>890</v>
      </c>
      <c r="O191" t="s">
        <v>915</v>
      </c>
      <c r="P191" t="s">
        <v>892</v>
      </c>
      <c r="Q191" s="7">
        <v>180000</v>
      </c>
    </row>
    <row r="192" spans="1:17">
      <c r="A192" t="s">
        <v>1087</v>
      </c>
      <c r="B192" s="6">
        <v>45796</v>
      </c>
      <c r="C192" t="s">
        <v>622</v>
      </c>
      <c r="D192" t="s">
        <v>845</v>
      </c>
      <c r="E192">
        <v>1</v>
      </c>
      <c r="F192" s="7">
        <v>300000</v>
      </c>
      <c r="G192" s="7">
        <v>300000</v>
      </c>
      <c r="H192" t="s">
        <v>895</v>
      </c>
      <c r="I192" s="7">
        <v>45000</v>
      </c>
      <c r="J192" s="7">
        <v>15000</v>
      </c>
      <c r="K192" s="7">
        <v>270000</v>
      </c>
      <c r="L192" t="s">
        <v>880</v>
      </c>
      <c r="M192" t="s">
        <v>901</v>
      </c>
      <c r="N192" t="s">
        <v>875</v>
      </c>
      <c r="O192" t="s">
        <v>896</v>
      </c>
      <c r="P192" t="s">
        <v>877</v>
      </c>
      <c r="Q192" s="7">
        <v>255000</v>
      </c>
    </row>
    <row r="193" spans="1:17">
      <c r="A193" t="s">
        <v>1088</v>
      </c>
      <c r="B193" s="6">
        <v>45661</v>
      </c>
      <c r="C193" t="s">
        <v>222</v>
      </c>
      <c r="D193" t="s">
        <v>851</v>
      </c>
      <c r="E193">
        <v>4</v>
      </c>
      <c r="F193" s="7">
        <v>35000</v>
      </c>
      <c r="G193" s="7">
        <v>140000</v>
      </c>
      <c r="H193" t="s">
        <v>886</v>
      </c>
      <c r="I193" s="7">
        <v>14000</v>
      </c>
      <c r="J193" s="7">
        <v>10000</v>
      </c>
      <c r="K193" s="7">
        <v>136000</v>
      </c>
      <c r="L193" t="s">
        <v>889</v>
      </c>
      <c r="M193" t="s">
        <v>901</v>
      </c>
      <c r="N193" t="s">
        <v>875</v>
      </c>
      <c r="O193" t="s">
        <v>908</v>
      </c>
      <c r="P193" t="s">
        <v>877</v>
      </c>
      <c r="Q193" s="7">
        <v>126000</v>
      </c>
    </row>
    <row r="194" spans="1:17">
      <c r="A194" t="s">
        <v>1089</v>
      </c>
      <c r="B194" s="6">
        <v>45682</v>
      </c>
      <c r="C194" t="s">
        <v>326</v>
      </c>
      <c r="D194" t="s">
        <v>741</v>
      </c>
      <c r="E194">
        <v>1</v>
      </c>
      <c r="F194" s="7">
        <v>75000</v>
      </c>
      <c r="G194" s="7">
        <v>75000</v>
      </c>
      <c r="H194" t="s">
        <v>879</v>
      </c>
      <c r="I194" s="7">
        <v>15000</v>
      </c>
      <c r="J194" s="7">
        <v>20000</v>
      </c>
      <c r="K194" s="7">
        <v>80000</v>
      </c>
      <c r="L194" t="s">
        <v>880</v>
      </c>
      <c r="M194" t="s">
        <v>874</v>
      </c>
      <c r="N194" t="s">
        <v>875</v>
      </c>
      <c r="O194" t="s">
        <v>908</v>
      </c>
      <c r="P194" t="s">
        <v>877</v>
      </c>
      <c r="Q194" s="7">
        <v>60000</v>
      </c>
    </row>
    <row r="195" spans="1:17">
      <c r="A195" t="s">
        <v>1090</v>
      </c>
      <c r="B195" s="6">
        <v>45717</v>
      </c>
      <c r="C195" t="s">
        <v>444</v>
      </c>
      <c r="D195" t="s">
        <v>783</v>
      </c>
      <c r="E195">
        <v>1</v>
      </c>
      <c r="F195" s="7">
        <v>500000</v>
      </c>
      <c r="G195" s="7">
        <v>500000</v>
      </c>
      <c r="H195" t="s">
        <v>872</v>
      </c>
      <c r="I195" s="7">
        <v>0</v>
      </c>
      <c r="J195" s="7">
        <v>30000</v>
      </c>
      <c r="K195" s="7">
        <v>530000</v>
      </c>
      <c r="L195" t="s">
        <v>880</v>
      </c>
      <c r="M195" t="s">
        <v>903</v>
      </c>
      <c r="N195" t="s">
        <v>905</v>
      </c>
      <c r="O195" t="s">
        <v>876</v>
      </c>
      <c r="P195" t="s">
        <v>892</v>
      </c>
      <c r="Q195" s="7">
        <v>500000</v>
      </c>
    </row>
    <row r="196" spans="1:17">
      <c r="A196" t="s">
        <v>1091</v>
      </c>
      <c r="B196" s="6">
        <v>45813</v>
      </c>
      <c r="C196" t="s">
        <v>514</v>
      </c>
      <c r="D196" t="s">
        <v>787</v>
      </c>
      <c r="E196">
        <v>3</v>
      </c>
      <c r="F196" s="7">
        <v>200000</v>
      </c>
      <c r="G196" s="7">
        <v>600000</v>
      </c>
      <c r="H196" t="s">
        <v>872</v>
      </c>
      <c r="I196" s="7">
        <v>0</v>
      </c>
      <c r="J196" s="7">
        <v>15000</v>
      </c>
      <c r="K196" s="7">
        <v>615000</v>
      </c>
      <c r="L196" t="s">
        <v>884</v>
      </c>
      <c r="M196" t="s">
        <v>903</v>
      </c>
      <c r="N196" t="s">
        <v>890</v>
      </c>
      <c r="O196" t="s">
        <v>915</v>
      </c>
      <c r="P196" t="s">
        <v>892</v>
      </c>
      <c r="Q196" s="7">
        <v>600000</v>
      </c>
    </row>
    <row r="197" spans="1:17">
      <c r="A197" t="s">
        <v>1092</v>
      </c>
      <c r="B197" s="6">
        <v>45715</v>
      </c>
      <c r="C197" t="s">
        <v>168</v>
      </c>
      <c r="D197" t="s">
        <v>849</v>
      </c>
      <c r="E197">
        <v>4</v>
      </c>
      <c r="F197" s="7">
        <v>500000</v>
      </c>
      <c r="G197" s="7">
        <v>2000000</v>
      </c>
      <c r="H197" t="s">
        <v>883</v>
      </c>
      <c r="I197" s="7">
        <v>200000</v>
      </c>
      <c r="J197" s="7">
        <v>20000</v>
      </c>
      <c r="K197" s="7">
        <v>1820000</v>
      </c>
      <c r="L197" t="s">
        <v>884</v>
      </c>
      <c r="M197" t="s">
        <v>901</v>
      </c>
      <c r="N197" t="s">
        <v>875</v>
      </c>
      <c r="O197" t="s">
        <v>887</v>
      </c>
      <c r="P197" t="s">
        <v>877</v>
      </c>
      <c r="Q197" s="7">
        <v>1800000</v>
      </c>
    </row>
    <row r="198" spans="1:17">
      <c r="A198" t="s">
        <v>1093</v>
      </c>
      <c r="B198" s="6">
        <v>45820</v>
      </c>
      <c r="C198" t="s">
        <v>596</v>
      </c>
      <c r="D198" t="s">
        <v>775</v>
      </c>
      <c r="E198">
        <v>2</v>
      </c>
      <c r="F198" s="7">
        <v>75000</v>
      </c>
      <c r="G198" s="7">
        <v>150000</v>
      </c>
      <c r="H198" t="s">
        <v>872</v>
      </c>
      <c r="I198" s="7">
        <v>0</v>
      </c>
      <c r="J198" s="7">
        <v>10000</v>
      </c>
      <c r="K198" s="7">
        <v>160000</v>
      </c>
      <c r="L198" t="s">
        <v>884</v>
      </c>
      <c r="M198" t="s">
        <v>874</v>
      </c>
      <c r="N198" t="s">
        <v>875</v>
      </c>
      <c r="O198" t="s">
        <v>915</v>
      </c>
      <c r="P198" t="s">
        <v>877</v>
      </c>
      <c r="Q198" s="7">
        <v>150000</v>
      </c>
    </row>
    <row r="199" spans="1:17">
      <c r="A199" t="s">
        <v>1094</v>
      </c>
      <c r="B199" s="6">
        <v>45805</v>
      </c>
      <c r="C199" t="s">
        <v>266</v>
      </c>
      <c r="D199" t="s">
        <v>725</v>
      </c>
      <c r="E199">
        <v>4</v>
      </c>
      <c r="F199" s="7">
        <v>300000</v>
      </c>
      <c r="G199" s="7">
        <v>1200000</v>
      </c>
      <c r="H199" t="s">
        <v>883</v>
      </c>
      <c r="I199" s="7">
        <v>120000</v>
      </c>
      <c r="J199" s="7">
        <v>30000</v>
      </c>
      <c r="K199" s="7">
        <v>1110000</v>
      </c>
      <c r="L199" t="s">
        <v>873</v>
      </c>
      <c r="M199" t="s">
        <v>874</v>
      </c>
      <c r="N199" t="s">
        <v>875</v>
      </c>
      <c r="O199" t="s">
        <v>896</v>
      </c>
      <c r="P199" t="s">
        <v>877</v>
      </c>
      <c r="Q199" s="7">
        <v>1080000</v>
      </c>
    </row>
    <row r="200" spans="1:17">
      <c r="A200" t="s">
        <v>1095</v>
      </c>
      <c r="B200" s="6">
        <v>45714</v>
      </c>
      <c r="C200" t="s">
        <v>252</v>
      </c>
      <c r="D200" t="s">
        <v>841</v>
      </c>
      <c r="E200">
        <v>3</v>
      </c>
      <c r="F200" s="7">
        <v>75000</v>
      </c>
      <c r="G200" s="7">
        <v>225000</v>
      </c>
      <c r="H200" t="s">
        <v>895</v>
      </c>
      <c r="I200" s="7">
        <v>33750</v>
      </c>
      <c r="J200" s="7">
        <v>20000</v>
      </c>
      <c r="K200" s="7">
        <v>211250</v>
      </c>
      <c r="L200" t="s">
        <v>880</v>
      </c>
      <c r="M200" t="s">
        <v>901</v>
      </c>
      <c r="N200" t="s">
        <v>890</v>
      </c>
      <c r="O200" t="s">
        <v>887</v>
      </c>
      <c r="P200" t="s">
        <v>892</v>
      </c>
      <c r="Q200" s="7">
        <v>191250</v>
      </c>
    </row>
    <row r="201" spans="1:17">
      <c r="A201" t="s">
        <v>1096</v>
      </c>
      <c r="B201" s="6">
        <v>45734</v>
      </c>
      <c r="C201" t="s">
        <v>432</v>
      </c>
      <c r="D201" t="s">
        <v>771</v>
      </c>
      <c r="E201">
        <v>1</v>
      </c>
      <c r="F201" s="7">
        <v>500000</v>
      </c>
      <c r="G201" s="7">
        <v>500000</v>
      </c>
      <c r="I201" s="7">
        <v>0</v>
      </c>
      <c r="J201" s="7">
        <v>15000</v>
      </c>
      <c r="K201" s="7">
        <v>515000</v>
      </c>
      <c r="L201" t="s">
        <v>873</v>
      </c>
      <c r="M201" t="s">
        <v>881</v>
      </c>
      <c r="N201" t="s">
        <v>911</v>
      </c>
      <c r="O201" t="s">
        <v>876</v>
      </c>
      <c r="P201" t="s">
        <v>892</v>
      </c>
      <c r="Q201" s="7">
        <v>500000</v>
      </c>
    </row>
    <row r="202" spans="1:17">
      <c r="A202" t="s">
        <v>1097</v>
      </c>
      <c r="B202" s="6">
        <v>45777</v>
      </c>
      <c r="C202" t="s">
        <v>109</v>
      </c>
      <c r="D202" t="s">
        <v>811</v>
      </c>
      <c r="E202">
        <v>3</v>
      </c>
      <c r="F202" s="7">
        <v>35000</v>
      </c>
      <c r="G202" s="7">
        <v>105000</v>
      </c>
      <c r="H202" t="s">
        <v>872</v>
      </c>
      <c r="I202" s="7">
        <v>0</v>
      </c>
      <c r="J202" s="7">
        <v>20000</v>
      </c>
      <c r="K202" s="7">
        <v>125000</v>
      </c>
      <c r="L202" t="s">
        <v>884</v>
      </c>
      <c r="M202" t="s">
        <v>881</v>
      </c>
      <c r="N202" t="s">
        <v>905</v>
      </c>
      <c r="O202" t="s">
        <v>891</v>
      </c>
      <c r="P202" t="s">
        <v>892</v>
      </c>
      <c r="Q202" s="7">
        <v>105000</v>
      </c>
    </row>
    <row r="203" spans="1:17">
      <c r="A203" t="s">
        <v>1098</v>
      </c>
      <c r="B203" s="6">
        <v>45741</v>
      </c>
      <c r="C203" t="s">
        <v>580</v>
      </c>
      <c r="D203" t="s">
        <v>815</v>
      </c>
      <c r="E203">
        <v>3</v>
      </c>
      <c r="F203" s="7">
        <v>75000</v>
      </c>
      <c r="G203" s="7">
        <v>225000</v>
      </c>
      <c r="H203" t="s">
        <v>895</v>
      </c>
      <c r="I203" s="7">
        <v>33750</v>
      </c>
      <c r="J203" s="7">
        <v>20000</v>
      </c>
      <c r="K203" s="7">
        <v>211250</v>
      </c>
      <c r="L203" t="s">
        <v>884</v>
      </c>
      <c r="M203" t="s">
        <v>874</v>
      </c>
      <c r="N203" t="s">
        <v>911</v>
      </c>
      <c r="O203" t="s">
        <v>876</v>
      </c>
      <c r="P203" t="s">
        <v>892</v>
      </c>
      <c r="Q203" s="7">
        <v>191250</v>
      </c>
    </row>
    <row r="204" spans="1:17">
      <c r="A204" t="s">
        <v>1099</v>
      </c>
      <c r="B204" s="6">
        <v>45788</v>
      </c>
      <c r="C204" t="s">
        <v>568</v>
      </c>
      <c r="D204" t="s">
        <v>753</v>
      </c>
      <c r="E204">
        <v>2</v>
      </c>
      <c r="F204" s="7">
        <v>300000</v>
      </c>
      <c r="G204" s="7">
        <v>600000</v>
      </c>
      <c r="H204" t="s">
        <v>886</v>
      </c>
      <c r="I204" s="7">
        <v>60000</v>
      </c>
      <c r="J204" s="7">
        <v>25000</v>
      </c>
      <c r="K204" s="7">
        <v>565000</v>
      </c>
      <c r="L204" t="s">
        <v>880</v>
      </c>
      <c r="M204" t="s">
        <v>881</v>
      </c>
      <c r="N204" t="s">
        <v>875</v>
      </c>
      <c r="O204" t="s">
        <v>896</v>
      </c>
      <c r="P204" t="s">
        <v>877</v>
      </c>
      <c r="Q204" s="7">
        <v>540000</v>
      </c>
    </row>
    <row r="205" spans="1:17">
      <c r="A205" t="s">
        <v>1100</v>
      </c>
      <c r="B205" s="6">
        <v>45776</v>
      </c>
      <c r="C205" t="s">
        <v>260</v>
      </c>
      <c r="D205" t="s">
        <v>855</v>
      </c>
      <c r="E205">
        <v>1</v>
      </c>
      <c r="F205" s="7">
        <v>150000</v>
      </c>
      <c r="G205" s="7">
        <v>150000</v>
      </c>
      <c r="H205" t="s">
        <v>872</v>
      </c>
      <c r="I205" s="7">
        <v>0</v>
      </c>
      <c r="J205" s="7">
        <v>25000</v>
      </c>
      <c r="K205" s="7">
        <v>175000</v>
      </c>
      <c r="L205" t="s">
        <v>889</v>
      </c>
      <c r="M205" t="s">
        <v>903</v>
      </c>
      <c r="N205" t="s">
        <v>905</v>
      </c>
      <c r="O205" t="s">
        <v>891</v>
      </c>
      <c r="P205" t="s">
        <v>892</v>
      </c>
      <c r="Q205" s="7">
        <v>150000</v>
      </c>
    </row>
    <row r="206" spans="1:17">
      <c r="A206" t="s">
        <v>1101</v>
      </c>
      <c r="B206" s="6">
        <v>45825</v>
      </c>
      <c r="C206" t="s">
        <v>590</v>
      </c>
      <c r="D206" t="s">
        <v>753</v>
      </c>
      <c r="E206">
        <v>1</v>
      </c>
      <c r="F206" s="7">
        <v>300000</v>
      </c>
      <c r="G206" s="7">
        <v>300000</v>
      </c>
      <c r="H206" t="s">
        <v>872</v>
      </c>
      <c r="I206" s="7">
        <v>0</v>
      </c>
      <c r="J206" s="7">
        <v>10000</v>
      </c>
      <c r="K206" s="7">
        <v>310000</v>
      </c>
      <c r="L206" t="s">
        <v>884</v>
      </c>
      <c r="M206" t="s">
        <v>881</v>
      </c>
      <c r="N206" t="s">
        <v>875</v>
      </c>
      <c r="O206" t="s">
        <v>915</v>
      </c>
      <c r="P206" t="s">
        <v>877</v>
      </c>
      <c r="Q206" s="7">
        <v>300000</v>
      </c>
    </row>
    <row r="207" spans="1:17">
      <c r="A207" t="s">
        <v>1102</v>
      </c>
      <c r="B207" s="6">
        <v>45735</v>
      </c>
      <c r="C207" t="s">
        <v>462</v>
      </c>
      <c r="D207" t="s">
        <v>817</v>
      </c>
      <c r="E207">
        <v>2</v>
      </c>
      <c r="F207" s="7">
        <v>75000</v>
      </c>
      <c r="G207" s="7">
        <v>150000</v>
      </c>
      <c r="H207" t="s">
        <v>895</v>
      </c>
      <c r="I207" s="7">
        <v>22500</v>
      </c>
      <c r="J207" s="7">
        <v>10000</v>
      </c>
      <c r="K207" s="7">
        <v>137500</v>
      </c>
      <c r="L207" t="s">
        <v>880</v>
      </c>
      <c r="M207" t="s">
        <v>903</v>
      </c>
      <c r="N207" t="s">
        <v>875</v>
      </c>
      <c r="O207" t="s">
        <v>876</v>
      </c>
      <c r="P207" t="s">
        <v>877</v>
      </c>
      <c r="Q207" s="7">
        <v>127500</v>
      </c>
    </row>
    <row r="208" spans="1:17">
      <c r="A208" t="s">
        <v>1103</v>
      </c>
      <c r="B208" s="6">
        <v>45777</v>
      </c>
      <c r="C208" t="s">
        <v>272</v>
      </c>
      <c r="D208" t="s">
        <v>845</v>
      </c>
      <c r="E208">
        <v>2</v>
      </c>
      <c r="F208" s="7">
        <v>300000</v>
      </c>
      <c r="G208" s="7">
        <v>600000</v>
      </c>
      <c r="H208" t="s">
        <v>886</v>
      </c>
      <c r="I208" s="7">
        <v>60000</v>
      </c>
      <c r="J208" s="7">
        <v>15000</v>
      </c>
      <c r="K208" s="7">
        <v>555000</v>
      </c>
      <c r="L208" t="s">
        <v>884</v>
      </c>
      <c r="M208" t="s">
        <v>874</v>
      </c>
      <c r="N208" t="s">
        <v>905</v>
      </c>
      <c r="O208" t="s">
        <v>891</v>
      </c>
      <c r="P208" t="s">
        <v>892</v>
      </c>
      <c r="Q208" s="7">
        <v>540000</v>
      </c>
    </row>
    <row r="209" spans="1:17">
      <c r="A209" t="s">
        <v>1104</v>
      </c>
      <c r="B209" s="6">
        <v>45806</v>
      </c>
      <c r="C209" t="s">
        <v>668</v>
      </c>
      <c r="D209" t="s">
        <v>831</v>
      </c>
      <c r="E209">
        <v>2</v>
      </c>
      <c r="F209" s="7">
        <v>300000</v>
      </c>
      <c r="G209" s="7">
        <v>600000</v>
      </c>
      <c r="H209" t="s">
        <v>872</v>
      </c>
      <c r="I209" s="7">
        <v>0</v>
      </c>
      <c r="J209" s="7">
        <v>30000</v>
      </c>
      <c r="K209" s="7">
        <v>630000</v>
      </c>
      <c r="L209" t="s">
        <v>884</v>
      </c>
      <c r="M209" t="s">
        <v>901</v>
      </c>
      <c r="N209" t="s">
        <v>875</v>
      </c>
      <c r="O209" t="s">
        <v>896</v>
      </c>
      <c r="P209" t="s">
        <v>877</v>
      </c>
      <c r="Q209" s="7">
        <v>600000</v>
      </c>
    </row>
    <row r="210" spans="1:17">
      <c r="A210" t="s">
        <v>1105</v>
      </c>
      <c r="B210" s="6">
        <v>45794</v>
      </c>
      <c r="C210" t="s">
        <v>666</v>
      </c>
      <c r="D210" t="s">
        <v>805</v>
      </c>
      <c r="E210">
        <v>1</v>
      </c>
      <c r="F210" s="7">
        <v>200000</v>
      </c>
      <c r="G210" s="7">
        <v>200000</v>
      </c>
      <c r="H210" t="s">
        <v>886</v>
      </c>
      <c r="I210" s="7">
        <v>20000</v>
      </c>
      <c r="J210" s="7">
        <v>25000</v>
      </c>
      <c r="K210" s="7">
        <v>205000</v>
      </c>
      <c r="L210" t="s">
        <v>880</v>
      </c>
      <c r="M210" t="s">
        <v>874</v>
      </c>
      <c r="N210" t="s">
        <v>875</v>
      </c>
      <c r="O210" t="s">
        <v>896</v>
      </c>
      <c r="P210" t="s">
        <v>877</v>
      </c>
      <c r="Q210" s="7">
        <v>180000</v>
      </c>
    </row>
    <row r="211" spans="1:17">
      <c r="A211" t="s">
        <v>1106</v>
      </c>
      <c r="B211" s="6">
        <v>45733</v>
      </c>
      <c r="C211" t="s">
        <v>366</v>
      </c>
      <c r="D211" t="s">
        <v>829</v>
      </c>
      <c r="E211">
        <v>4</v>
      </c>
      <c r="F211" s="7">
        <v>500000</v>
      </c>
      <c r="G211" s="7">
        <v>2000000</v>
      </c>
      <c r="H211" t="s">
        <v>872</v>
      </c>
      <c r="I211" s="7">
        <v>0</v>
      </c>
      <c r="J211" s="7">
        <v>30000</v>
      </c>
      <c r="K211" s="7">
        <v>2030000</v>
      </c>
      <c r="L211" t="s">
        <v>880</v>
      </c>
      <c r="M211" t="s">
        <v>901</v>
      </c>
      <c r="N211" t="s">
        <v>875</v>
      </c>
      <c r="O211" t="s">
        <v>876</v>
      </c>
      <c r="P211" t="s">
        <v>877</v>
      </c>
      <c r="Q211" s="7">
        <v>2000000</v>
      </c>
    </row>
    <row r="212" spans="1:17">
      <c r="A212" t="s">
        <v>1107</v>
      </c>
      <c r="B212" s="6">
        <v>45708</v>
      </c>
      <c r="C212" t="s">
        <v>93</v>
      </c>
      <c r="D212" t="s">
        <v>775</v>
      </c>
      <c r="E212">
        <v>1</v>
      </c>
      <c r="F212" s="7">
        <v>75000</v>
      </c>
      <c r="G212" s="7">
        <v>75000</v>
      </c>
      <c r="H212" t="s">
        <v>872</v>
      </c>
      <c r="I212" s="7">
        <v>0</v>
      </c>
      <c r="J212" s="7">
        <v>25000</v>
      </c>
      <c r="K212" s="7">
        <v>100000</v>
      </c>
      <c r="L212" t="s">
        <v>889</v>
      </c>
      <c r="M212" t="s">
        <v>881</v>
      </c>
      <c r="N212" t="s">
        <v>890</v>
      </c>
      <c r="O212" t="s">
        <v>887</v>
      </c>
      <c r="P212" t="s">
        <v>892</v>
      </c>
      <c r="Q212" s="7">
        <v>75000</v>
      </c>
    </row>
    <row r="213" spans="1:17">
      <c r="A213" t="s">
        <v>1108</v>
      </c>
      <c r="B213" s="6">
        <v>45807</v>
      </c>
      <c r="C213" t="s">
        <v>170</v>
      </c>
      <c r="D213" t="s">
        <v>825</v>
      </c>
      <c r="E213">
        <v>1</v>
      </c>
      <c r="F213" s="7">
        <v>100000</v>
      </c>
      <c r="G213" s="7">
        <v>100000</v>
      </c>
      <c r="H213" t="s">
        <v>886</v>
      </c>
      <c r="I213" s="7">
        <v>10000</v>
      </c>
      <c r="J213" s="7">
        <v>10000</v>
      </c>
      <c r="K213" s="7">
        <v>100000</v>
      </c>
      <c r="L213" t="s">
        <v>880</v>
      </c>
      <c r="M213" t="s">
        <v>903</v>
      </c>
      <c r="N213" t="s">
        <v>875</v>
      </c>
      <c r="O213" t="s">
        <v>896</v>
      </c>
      <c r="P213" t="s">
        <v>877</v>
      </c>
      <c r="Q213" s="7">
        <v>90000</v>
      </c>
    </row>
    <row r="214" spans="1:17">
      <c r="A214" t="s">
        <v>1109</v>
      </c>
      <c r="B214" s="6">
        <v>45658</v>
      </c>
      <c r="C214" t="s">
        <v>162</v>
      </c>
      <c r="D214" t="s">
        <v>781</v>
      </c>
      <c r="E214">
        <v>3</v>
      </c>
      <c r="F214" s="7">
        <v>50000</v>
      </c>
      <c r="G214" s="7">
        <v>150000</v>
      </c>
      <c r="H214" t="s">
        <v>872</v>
      </c>
      <c r="I214" s="7">
        <v>0</v>
      </c>
      <c r="J214" s="7">
        <v>15000</v>
      </c>
      <c r="K214" s="7">
        <v>165000</v>
      </c>
      <c r="L214" t="s">
        <v>884</v>
      </c>
      <c r="M214" t="s">
        <v>901</v>
      </c>
      <c r="N214" t="s">
        <v>875</v>
      </c>
      <c r="O214" t="s">
        <v>908</v>
      </c>
      <c r="P214" t="s">
        <v>877</v>
      </c>
      <c r="Q214" s="7">
        <v>150000</v>
      </c>
    </row>
    <row r="215" spans="1:17">
      <c r="A215" t="s">
        <v>1110</v>
      </c>
      <c r="B215" s="6">
        <v>45684</v>
      </c>
      <c r="C215" t="s">
        <v>290</v>
      </c>
      <c r="D215" t="s">
        <v>773</v>
      </c>
      <c r="E215">
        <v>2</v>
      </c>
      <c r="F215" s="7">
        <v>500000</v>
      </c>
      <c r="G215" s="7">
        <v>1000000</v>
      </c>
      <c r="H215" t="s">
        <v>886</v>
      </c>
      <c r="I215" s="7">
        <v>100000</v>
      </c>
      <c r="J215" s="7">
        <v>20000</v>
      </c>
      <c r="K215" s="7">
        <v>920000</v>
      </c>
      <c r="L215" t="s">
        <v>884</v>
      </c>
      <c r="M215" t="s">
        <v>901</v>
      </c>
      <c r="N215" t="s">
        <v>875</v>
      </c>
      <c r="O215" t="s">
        <v>908</v>
      </c>
      <c r="P215" t="s">
        <v>877</v>
      </c>
      <c r="Q215" s="7">
        <v>900000</v>
      </c>
    </row>
    <row r="216" spans="1:17">
      <c r="A216" t="s">
        <v>1111</v>
      </c>
      <c r="B216" s="6">
        <v>45833</v>
      </c>
      <c r="C216" t="s">
        <v>492</v>
      </c>
      <c r="D216" t="s">
        <v>775</v>
      </c>
      <c r="E216">
        <v>1</v>
      </c>
      <c r="F216" s="7">
        <v>75000</v>
      </c>
      <c r="G216" s="7">
        <v>75000</v>
      </c>
      <c r="H216" t="s">
        <v>872</v>
      </c>
      <c r="I216" s="7">
        <v>0</v>
      </c>
      <c r="J216" s="7">
        <v>20000</v>
      </c>
      <c r="K216" s="7">
        <v>95000</v>
      </c>
      <c r="L216" t="s">
        <v>889</v>
      </c>
      <c r="M216" t="s">
        <v>903</v>
      </c>
      <c r="N216" t="s">
        <v>875</v>
      </c>
      <c r="O216" t="s">
        <v>915</v>
      </c>
      <c r="P216" t="s">
        <v>877</v>
      </c>
      <c r="Q216" s="7">
        <v>75000</v>
      </c>
    </row>
    <row r="217" spans="1:17">
      <c r="A217" t="s">
        <v>1112</v>
      </c>
      <c r="B217" s="6">
        <v>45805</v>
      </c>
      <c r="C217" t="s">
        <v>198</v>
      </c>
      <c r="D217" t="s">
        <v>813</v>
      </c>
      <c r="E217">
        <v>2</v>
      </c>
      <c r="F217" s="7">
        <v>35000</v>
      </c>
      <c r="G217" s="7">
        <v>70000</v>
      </c>
      <c r="H217" t="s">
        <v>872</v>
      </c>
      <c r="I217" s="7">
        <v>0</v>
      </c>
      <c r="J217" s="7">
        <v>10000</v>
      </c>
      <c r="K217" s="7">
        <v>80000</v>
      </c>
      <c r="L217" t="s">
        <v>889</v>
      </c>
      <c r="M217" t="s">
        <v>903</v>
      </c>
      <c r="N217" t="s">
        <v>875</v>
      </c>
      <c r="O217" t="s">
        <v>896</v>
      </c>
      <c r="P217" t="s">
        <v>877</v>
      </c>
      <c r="Q217" s="7">
        <v>70000</v>
      </c>
    </row>
    <row r="218" spans="1:17">
      <c r="A218" t="s">
        <v>1113</v>
      </c>
      <c r="B218" s="6">
        <v>45666</v>
      </c>
      <c r="C218" t="s">
        <v>706</v>
      </c>
      <c r="D218" t="s">
        <v>809</v>
      </c>
      <c r="E218">
        <v>1</v>
      </c>
      <c r="F218" s="7">
        <v>100000</v>
      </c>
      <c r="G218" s="7">
        <v>100000</v>
      </c>
      <c r="H218" t="s">
        <v>883</v>
      </c>
      <c r="I218" s="7">
        <v>10000</v>
      </c>
      <c r="J218" s="7">
        <v>10000</v>
      </c>
      <c r="K218" s="7">
        <v>100000</v>
      </c>
      <c r="L218" t="s">
        <v>889</v>
      </c>
      <c r="M218" t="s">
        <v>881</v>
      </c>
      <c r="N218" t="s">
        <v>875</v>
      </c>
      <c r="O218" t="s">
        <v>908</v>
      </c>
      <c r="P218" t="s">
        <v>877</v>
      </c>
      <c r="Q218" s="7">
        <v>90000</v>
      </c>
    </row>
    <row r="219" spans="1:17">
      <c r="A219" t="s">
        <v>1114</v>
      </c>
      <c r="B219" s="6">
        <v>45696</v>
      </c>
      <c r="C219" t="s">
        <v>402</v>
      </c>
      <c r="D219" t="s">
        <v>757</v>
      </c>
      <c r="E219">
        <v>3</v>
      </c>
      <c r="F219" s="7">
        <v>75000</v>
      </c>
      <c r="G219" s="7">
        <v>225000</v>
      </c>
      <c r="H219" t="s">
        <v>872</v>
      </c>
      <c r="I219" s="7">
        <v>0</v>
      </c>
      <c r="J219" s="7">
        <v>25000</v>
      </c>
      <c r="K219" s="7">
        <v>250000</v>
      </c>
      <c r="L219" t="s">
        <v>889</v>
      </c>
      <c r="M219" t="s">
        <v>903</v>
      </c>
      <c r="N219" t="s">
        <v>921</v>
      </c>
      <c r="O219" t="s">
        <v>887</v>
      </c>
      <c r="P219" t="s">
        <v>892</v>
      </c>
      <c r="Q219" s="7">
        <v>225000</v>
      </c>
    </row>
    <row r="220" spans="1:17">
      <c r="A220" t="s">
        <v>1115</v>
      </c>
      <c r="B220" s="6">
        <v>45676</v>
      </c>
      <c r="C220" t="s">
        <v>682</v>
      </c>
      <c r="D220" t="s">
        <v>751</v>
      </c>
      <c r="E220">
        <v>2</v>
      </c>
      <c r="F220" s="7">
        <v>150000</v>
      </c>
      <c r="G220" s="7">
        <v>300000</v>
      </c>
      <c r="H220" t="s">
        <v>872</v>
      </c>
      <c r="I220" s="7">
        <v>0</v>
      </c>
      <c r="J220" s="7">
        <v>15000</v>
      </c>
      <c r="K220" s="7">
        <v>315000</v>
      </c>
      <c r="L220" t="s">
        <v>873</v>
      </c>
      <c r="M220" t="s">
        <v>874</v>
      </c>
      <c r="N220" t="s">
        <v>890</v>
      </c>
      <c r="O220" t="s">
        <v>908</v>
      </c>
      <c r="P220" t="s">
        <v>892</v>
      </c>
      <c r="Q220" s="7">
        <v>300000</v>
      </c>
    </row>
    <row r="221" spans="1:17">
      <c r="A221" t="s">
        <v>1116</v>
      </c>
      <c r="B221" s="6">
        <v>45760</v>
      </c>
      <c r="C221" t="s">
        <v>518</v>
      </c>
      <c r="D221" t="s">
        <v>741</v>
      </c>
      <c r="E221">
        <v>1</v>
      </c>
      <c r="F221" s="7">
        <v>75000</v>
      </c>
      <c r="G221" s="7">
        <v>75000</v>
      </c>
      <c r="H221" t="s">
        <v>883</v>
      </c>
      <c r="I221" s="7">
        <v>7500</v>
      </c>
      <c r="J221" s="7">
        <v>10000</v>
      </c>
      <c r="K221" s="7">
        <v>77500</v>
      </c>
      <c r="L221" t="s">
        <v>889</v>
      </c>
      <c r="M221" t="s">
        <v>901</v>
      </c>
      <c r="N221" t="s">
        <v>875</v>
      </c>
      <c r="O221" t="s">
        <v>891</v>
      </c>
      <c r="P221" t="s">
        <v>877</v>
      </c>
      <c r="Q221" s="7">
        <v>67500</v>
      </c>
    </row>
    <row r="222" spans="1:17">
      <c r="A222" t="s">
        <v>1117</v>
      </c>
      <c r="B222" s="6">
        <v>45832</v>
      </c>
      <c r="C222" t="s">
        <v>698</v>
      </c>
      <c r="D222" t="s">
        <v>771</v>
      </c>
      <c r="E222">
        <v>1</v>
      </c>
      <c r="F222" s="7">
        <v>500000</v>
      </c>
      <c r="G222" s="7">
        <v>500000</v>
      </c>
      <c r="H222" t="s">
        <v>895</v>
      </c>
      <c r="I222" s="7">
        <v>75000</v>
      </c>
      <c r="J222" s="7">
        <v>30000</v>
      </c>
      <c r="K222" s="7">
        <v>455000</v>
      </c>
      <c r="L222" t="s">
        <v>884</v>
      </c>
      <c r="M222" t="s">
        <v>881</v>
      </c>
      <c r="N222" t="s">
        <v>875</v>
      </c>
      <c r="O222" t="s">
        <v>915</v>
      </c>
      <c r="P222" t="s">
        <v>877</v>
      </c>
      <c r="Q222" s="7">
        <v>425000</v>
      </c>
    </row>
    <row r="223" spans="1:17">
      <c r="A223" t="s">
        <v>1118</v>
      </c>
      <c r="B223" s="6">
        <v>45804</v>
      </c>
      <c r="C223" t="s">
        <v>496</v>
      </c>
      <c r="D223" t="s">
        <v>791</v>
      </c>
      <c r="E223">
        <v>2</v>
      </c>
      <c r="F223" s="7">
        <v>50000</v>
      </c>
      <c r="G223" s="7">
        <v>100000</v>
      </c>
      <c r="H223" t="s">
        <v>872</v>
      </c>
      <c r="I223" s="7">
        <v>0</v>
      </c>
      <c r="J223" s="7">
        <v>15000</v>
      </c>
      <c r="K223" s="7">
        <v>115000</v>
      </c>
      <c r="L223" t="s">
        <v>884</v>
      </c>
      <c r="M223" t="s">
        <v>881</v>
      </c>
      <c r="N223" t="s">
        <v>911</v>
      </c>
      <c r="O223" t="s">
        <v>896</v>
      </c>
      <c r="P223" t="s">
        <v>892</v>
      </c>
      <c r="Q223" s="7">
        <v>100000</v>
      </c>
    </row>
    <row r="224" spans="1:17">
      <c r="A224" t="s">
        <v>1119</v>
      </c>
      <c r="B224" s="6">
        <v>45686</v>
      </c>
      <c r="C224" t="s">
        <v>228</v>
      </c>
      <c r="D224" t="s">
        <v>755</v>
      </c>
      <c r="E224">
        <v>1</v>
      </c>
      <c r="F224" s="7">
        <v>50000</v>
      </c>
      <c r="G224" s="7">
        <v>50000</v>
      </c>
      <c r="H224" t="s">
        <v>886</v>
      </c>
      <c r="I224" s="7">
        <v>5000</v>
      </c>
      <c r="J224" s="7">
        <v>10000</v>
      </c>
      <c r="K224" s="7">
        <v>55000</v>
      </c>
      <c r="L224" t="s">
        <v>884</v>
      </c>
      <c r="M224" t="s">
        <v>903</v>
      </c>
      <c r="N224" t="s">
        <v>911</v>
      </c>
      <c r="O224" t="s">
        <v>908</v>
      </c>
      <c r="P224" t="s">
        <v>892</v>
      </c>
      <c r="Q224" s="7">
        <v>45000</v>
      </c>
    </row>
    <row r="225" spans="1:17">
      <c r="A225" t="s">
        <v>1120</v>
      </c>
      <c r="B225" s="6">
        <v>45778</v>
      </c>
      <c r="C225" t="s">
        <v>95</v>
      </c>
      <c r="D225" t="s">
        <v>791</v>
      </c>
      <c r="E225">
        <v>1</v>
      </c>
      <c r="F225" s="7">
        <v>50000</v>
      </c>
      <c r="G225" s="7">
        <v>50000</v>
      </c>
      <c r="H225" t="s">
        <v>886</v>
      </c>
      <c r="I225" s="7">
        <v>5000</v>
      </c>
      <c r="J225" s="7">
        <v>20000</v>
      </c>
      <c r="K225" s="7">
        <v>65000</v>
      </c>
      <c r="L225" t="s">
        <v>889</v>
      </c>
      <c r="M225" t="s">
        <v>903</v>
      </c>
      <c r="N225" t="s">
        <v>890</v>
      </c>
      <c r="O225" t="s">
        <v>896</v>
      </c>
      <c r="P225" t="s">
        <v>892</v>
      </c>
      <c r="Q225" s="7">
        <v>45000</v>
      </c>
    </row>
    <row r="226" spans="1:17">
      <c r="A226" t="s">
        <v>1121</v>
      </c>
      <c r="B226" s="6">
        <v>45801</v>
      </c>
      <c r="C226" t="s">
        <v>718</v>
      </c>
      <c r="D226" t="s">
        <v>815</v>
      </c>
      <c r="E226">
        <v>1</v>
      </c>
      <c r="F226" s="7">
        <v>75000</v>
      </c>
      <c r="G226" s="7">
        <v>75000</v>
      </c>
      <c r="H226" t="s">
        <v>872</v>
      </c>
      <c r="I226" s="7">
        <v>0</v>
      </c>
      <c r="J226" s="7">
        <v>30000</v>
      </c>
      <c r="K226" s="7">
        <v>105000</v>
      </c>
      <c r="L226" t="s">
        <v>884</v>
      </c>
      <c r="M226" t="s">
        <v>881</v>
      </c>
      <c r="N226" t="s">
        <v>875</v>
      </c>
      <c r="O226" t="s">
        <v>896</v>
      </c>
      <c r="P226" t="s">
        <v>877</v>
      </c>
      <c r="Q226" s="7">
        <v>75000</v>
      </c>
    </row>
    <row r="227" spans="1:17">
      <c r="A227" t="s">
        <v>1122</v>
      </c>
      <c r="B227" s="6">
        <v>45758</v>
      </c>
      <c r="C227" t="s">
        <v>444</v>
      </c>
      <c r="D227" t="s">
        <v>833</v>
      </c>
      <c r="E227">
        <v>4</v>
      </c>
      <c r="F227" s="7">
        <v>200000</v>
      </c>
      <c r="G227" s="7">
        <v>800000</v>
      </c>
      <c r="H227" t="s">
        <v>872</v>
      </c>
      <c r="I227" s="7">
        <v>0</v>
      </c>
      <c r="J227" s="7">
        <v>30000</v>
      </c>
      <c r="K227" s="7">
        <v>830000</v>
      </c>
      <c r="L227" t="s">
        <v>873</v>
      </c>
      <c r="M227" t="s">
        <v>901</v>
      </c>
      <c r="N227" t="s">
        <v>875</v>
      </c>
      <c r="O227" t="s">
        <v>891</v>
      </c>
      <c r="P227" t="s">
        <v>877</v>
      </c>
      <c r="Q227" s="7">
        <v>800000</v>
      </c>
    </row>
    <row r="228" spans="1:17">
      <c r="A228" t="s">
        <v>1123</v>
      </c>
      <c r="B228" s="6">
        <v>45764</v>
      </c>
      <c r="C228" t="s">
        <v>310</v>
      </c>
      <c r="D228" t="s">
        <v>807</v>
      </c>
      <c r="E228">
        <v>1</v>
      </c>
      <c r="F228" s="7">
        <v>150000</v>
      </c>
      <c r="G228" s="7">
        <v>150000</v>
      </c>
      <c r="H228" t="s">
        <v>895</v>
      </c>
      <c r="I228" s="7">
        <v>22500</v>
      </c>
      <c r="J228" s="7">
        <v>25000</v>
      </c>
      <c r="K228" s="7">
        <v>152500</v>
      </c>
      <c r="L228" t="s">
        <v>884</v>
      </c>
      <c r="M228" t="s">
        <v>903</v>
      </c>
      <c r="N228" t="s">
        <v>875</v>
      </c>
      <c r="O228" t="s">
        <v>891</v>
      </c>
      <c r="P228" t="s">
        <v>877</v>
      </c>
      <c r="Q228" s="7">
        <v>127500</v>
      </c>
    </row>
    <row r="229" spans="1:17">
      <c r="A229" t="s">
        <v>1124</v>
      </c>
      <c r="B229" s="6">
        <v>45765</v>
      </c>
      <c r="C229" t="s">
        <v>594</v>
      </c>
      <c r="D229" t="s">
        <v>733</v>
      </c>
      <c r="E229">
        <v>1</v>
      </c>
      <c r="F229" s="7">
        <v>150000</v>
      </c>
      <c r="G229" s="7">
        <v>150000</v>
      </c>
      <c r="H229" t="s">
        <v>872</v>
      </c>
      <c r="I229" s="7">
        <v>0</v>
      </c>
      <c r="J229" s="7">
        <v>20000</v>
      </c>
      <c r="K229" s="7">
        <v>170000</v>
      </c>
      <c r="L229" t="s">
        <v>880</v>
      </c>
      <c r="M229" t="s">
        <v>881</v>
      </c>
      <c r="N229" t="s">
        <v>905</v>
      </c>
      <c r="O229" t="s">
        <v>891</v>
      </c>
      <c r="P229" t="s">
        <v>892</v>
      </c>
      <c r="Q229" s="7">
        <v>150000</v>
      </c>
    </row>
    <row r="230" spans="1:17">
      <c r="A230" t="s">
        <v>1125</v>
      </c>
      <c r="B230" s="6">
        <v>45705</v>
      </c>
      <c r="C230" t="s">
        <v>338</v>
      </c>
      <c r="D230" t="s">
        <v>851</v>
      </c>
      <c r="E230">
        <v>1</v>
      </c>
      <c r="F230" s="7">
        <v>35000</v>
      </c>
      <c r="G230" s="7">
        <v>35000</v>
      </c>
      <c r="H230" t="s">
        <v>886</v>
      </c>
      <c r="I230" s="7">
        <v>3500</v>
      </c>
      <c r="J230" s="7">
        <v>15000</v>
      </c>
      <c r="K230" s="7">
        <v>46500</v>
      </c>
      <c r="L230" t="s">
        <v>873</v>
      </c>
      <c r="M230" t="s">
        <v>901</v>
      </c>
      <c r="N230" t="s">
        <v>875</v>
      </c>
      <c r="O230" t="s">
        <v>887</v>
      </c>
      <c r="P230" t="s">
        <v>877</v>
      </c>
      <c r="Q230" s="7">
        <v>31500</v>
      </c>
    </row>
    <row r="231" spans="1:17">
      <c r="A231" t="s">
        <v>1126</v>
      </c>
      <c r="B231" s="6">
        <v>45813</v>
      </c>
      <c r="C231" t="s">
        <v>25</v>
      </c>
      <c r="D231" t="s">
        <v>737</v>
      </c>
      <c r="E231">
        <v>2</v>
      </c>
      <c r="F231" s="7">
        <v>300000</v>
      </c>
      <c r="G231" s="7">
        <v>600000</v>
      </c>
      <c r="H231" t="s">
        <v>872</v>
      </c>
      <c r="I231" s="7">
        <v>0</v>
      </c>
      <c r="J231" s="7">
        <v>15000</v>
      </c>
      <c r="K231" s="7">
        <v>615000</v>
      </c>
      <c r="L231" t="s">
        <v>884</v>
      </c>
      <c r="M231" t="s">
        <v>874</v>
      </c>
      <c r="N231" t="s">
        <v>911</v>
      </c>
      <c r="O231" t="s">
        <v>915</v>
      </c>
      <c r="P231" t="s">
        <v>892</v>
      </c>
      <c r="Q231" s="7">
        <v>600000</v>
      </c>
    </row>
    <row r="232" spans="1:17">
      <c r="A232" t="s">
        <v>1127</v>
      </c>
      <c r="B232" s="6">
        <v>45803</v>
      </c>
      <c r="C232" t="s">
        <v>270</v>
      </c>
      <c r="D232" t="s">
        <v>757</v>
      </c>
      <c r="E232">
        <v>1</v>
      </c>
      <c r="F232" s="7">
        <v>75000</v>
      </c>
      <c r="G232" s="7">
        <v>75000</v>
      </c>
      <c r="H232" t="s">
        <v>872</v>
      </c>
      <c r="I232" s="7">
        <v>0</v>
      </c>
      <c r="J232" s="7">
        <v>25000</v>
      </c>
      <c r="K232" s="7">
        <v>100000</v>
      </c>
      <c r="L232" t="s">
        <v>880</v>
      </c>
      <c r="M232" t="s">
        <v>874</v>
      </c>
      <c r="N232" t="s">
        <v>875</v>
      </c>
      <c r="O232" t="s">
        <v>896</v>
      </c>
      <c r="P232" t="s">
        <v>877</v>
      </c>
      <c r="Q232" s="7">
        <v>75000</v>
      </c>
    </row>
    <row r="233" spans="1:17">
      <c r="A233" t="s">
        <v>1128</v>
      </c>
      <c r="B233" s="6">
        <v>45722</v>
      </c>
      <c r="C233" t="s">
        <v>79</v>
      </c>
      <c r="D233" t="s">
        <v>737</v>
      </c>
      <c r="E233">
        <v>1</v>
      </c>
      <c r="F233" s="7">
        <v>300000</v>
      </c>
      <c r="G233" s="7">
        <v>300000</v>
      </c>
      <c r="H233" t="s">
        <v>879</v>
      </c>
      <c r="I233" s="7">
        <v>60000</v>
      </c>
      <c r="J233" s="7">
        <v>20000</v>
      </c>
      <c r="K233" s="7">
        <v>260000</v>
      </c>
      <c r="L233" t="s">
        <v>884</v>
      </c>
      <c r="M233" t="s">
        <v>874</v>
      </c>
      <c r="N233" t="s">
        <v>875</v>
      </c>
      <c r="O233" t="s">
        <v>876</v>
      </c>
      <c r="P233" t="s">
        <v>877</v>
      </c>
      <c r="Q233" s="7">
        <v>240000</v>
      </c>
    </row>
    <row r="234" spans="1:17">
      <c r="A234" t="s">
        <v>1129</v>
      </c>
      <c r="B234" s="6">
        <v>45732</v>
      </c>
      <c r="C234" t="s">
        <v>107</v>
      </c>
      <c r="D234" t="s">
        <v>737</v>
      </c>
      <c r="E234">
        <v>1</v>
      </c>
      <c r="F234" s="7">
        <v>300000</v>
      </c>
      <c r="G234" s="7">
        <v>300000</v>
      </c>
      <c r="H234" t="s">
        <v>872</v>
      </c>
      <c r="I234" s="7">
        <v>0</v>
      </c>
      <c r="J234" s="7">
        <v>20000</v>
      </c>
      <c r="K234" s="7">
        <v>320000</v>
      </c>
      <c r="L234" t="s">
        <v>889</v>
      </c>
      <c r="M234" t="s">
        <v>874</v>
      </c>
      <c r="N234" t="s">
        <v>875</v>
      </c>
      <c r="O234" t="s">
        <v>876</v>
      </c>
      <c r="P234" t="s">
        <v>877</v>
      </c>
      <c r="Q234" s="7">
        <v>300000</v>
      </c>
    </row>
    <row r="235" spans="1:17">
      <c r="A235" t="s">
        <v>1130</v>
      </c>
      <c r="B235" s="6">
        <v>45707</v>
      </c>
      <c r="C235" t="s">
        <v>542</v>
      </c>
      <c r="D235" t="s">
        <v>853</v>
      </c>
      <c r="E235">
        <v>2</v>
      </c>
      <c r="F235" s="7">
        <v>75000</v>
      </c>
      <c r="G235" s="7">
        <v>150000</v>
      </c>
      <c r="H235" t="s">
        <v>883</v>
      </c>
      <c r="I235" s="7">
        <v>15000</v>
      </c>
      <c r="J235" s="7">
        <v>30000</v>
      </c>
      <c r="K235" s="7">
        <v>165000</v>
      </c>
      <c r="L235" t="s">
        <v>884</v>
      </c>
      <c r="M235" t="s">
        <v>901</v>
      </c>
      <c r="N235" t="s">
        <v>875</v>
      </c>
      <c r="O235" t="s">
        <v>887</v>
      </c>
      <c r="P235" t="s">
        <v>877</v>
      </c>
      <c r="Q235" s="7">
        <v>135000</v>
      </c>
    </row>
    <row r="236" spans="1:17">
      <c r="A236" t="s">
        <v>1131</v>
      </c>
      <c r="B236" s="6">
        <v>45827</v>
      </c>
      <c r="C236" t="s">
        <v>266</v>
      </c>
      <c r="D236" t="s">
        <v>809</v>
      </c>
      <c r="E236">
        <v>1</v>
      </c>
      <c r="F236" s="7">
        <v>100000</v>
      </c>
      <c r="G236" s="7">
        <v>100000</v>
      </c>
      <c r="H236" t="s">
        <v>886</v>
      </c>
      <c r="I236" s="7">
        <v>10000</v>
      </c>
      <c r="J236" s="7">
        <v>30000</v>
      </c>
      <c r="K236" s="7">
        <v>120000</v>
      </c>
      <c r="L236" t="s">
        <v>873</v>
      </c>
      <c r="M236" t="s">
        <v>874</v>
      </c>
      <c r="N236" t="s">
        <v>911</v>
      </c>
      <c r="O236" t="s">
        <v>915</v>
      </c>
      <c r="P236" t="s">
        <v>892</v>
      </c>
      <c r="Q236" s="7">
        <v>90000</v>
      </c>
    </row>
    <row r="237" spans="1:17">
      <c r="A237" t="s">
        <v>1132</v>
      </c>
      <c r="B237" s="6">
        <v>45734</v>
      </c>
      <c r="C237" t="s">
        <v>135</v>
      </c>
      <c r="D237" t="s">
        <v>829</v>
      </c>
      <c r="E237">
        <v>3</v>
      </c>
      <c r="F237" s="7">
        <v>500000</v>
      </c>
      <c r="G237" s="7">
        <v>1500000</v>
      </c>
      <c r="H237" t="s">
        <v>895</v>
      </c>
      <c r="I237" s="7">
        <v>225000</v>
      </c>
      <c r="J237" s="7">
        <v>30000</v>
      </c>
      <c r="K237" s="7">
        <v>1305000</v>
      </c>
      <c r="L237" t="s">
        <v>884</v>
      </c>
      <c r="M237" t="s">
        <v>874</v>
      </c>
      <c r="N237" t="s">
        <v>875</v>
      </c>
      <c r="O237" t="s">
        <v>876</v>
      </c>
      <c r="P237" t="s">
        <v>877</v>
      </c>
      <c r="Q237" s="7">
        <v>1275000</v>
      </c>
    </row>
    <row r="238" spans="1:17">
      <c r="A238" t="s">
        <v>1133</v>
      </c>
      <c r="B238" s="6">
        <v>45822</v>
      </c>
      <c r="C238" t="s">
        <v>628</v>
      </c>
      <c r="D238" t="s">
        <v>761</v>
      </c>
      <c r="E238">
        <v>1</v>
      </c>
      <c r="F238" s="7">
        <v>75000</v>
      </c>
      <c r="G238" s="7">
        <v>75000</v>
      </c>
      <c r="H238" t="s">
        <v>872</v>
      </c>
      <c r="I238" s="7">
        <v>0</v>
      </c>
      <c r="J238" s="7">
        <v>15000</v>
      </c>
      <c r="K238" s="7">
        <v>90000</v>
      </c>
      <c r="L238" t="s">
        <v>889</v>
      </c>
      <c r="M238" t="s">
        <v>881</v>
      </c>
      <c r="N238" t="s">
        <v>875</v>
      </c>
      <c r="O238" t="s">
        <v>915</v>
      </c>
      <c r="P238" t="s">
        <v>877</v>
      </c>
      <c r="Q238" s="7">
        <v>75000</v>
      </c>
    </row>
    <row r="239" spans="1:17">
      <c r="A239" t="s">
        <v>1134</v>
      </c>
      <c r="B239" s="6">
        <v>45755</v>
      </c>
      <c r="C239" t="s">
        <v>236</v>
      </c>
      <c r="D239" t="s">
        <v>837</v>
      </c>
      <c r="E239">
        <v>1</v>
      </c>
      <c r="F239" s="7">
        <v>300000</v>
      </c>
      <c r="G239" s="7">
        <v>300000</v>
      </c>
      <c r="H239" t="s">
        <v>872</v>
      </c>
      <c r="I239" s="7">
        <v>0</v>
      </c>
      <c r="J239" s="7">
        <v>20000</v>
      </c>
      <c r="K239" s="7">
        <v>320000</v>
      </c>
      <c r="L239" t="s">
        <v>884</v>
      </c>
      <c r="M239" t="s">
        <v>874</v>
      </c>
      <c r="N239" t="s">
        <v>875</v>
      </c>
      <c r="O239" t="s">
        <v>891</v>
      </c>
      <c r="P239" t="s">
        <v>877</v>
      </c>
      <c r="Q239" s="7">
        <v>300000</v>
      </c>
    </row>
    <row r="240" spans="1:17">
      <c r="A240" t="s">
        <v>1135</v>
      </c>
      <c r="B240" s="6">
        <v>45760</v>
      </c>
      <c r="C240" t="s">
        <v>666</v>
      </c>
      <c r="D240" t="s">
        <v>837</v>
      </c>
      <c r="E240">
        <v>1</v>
      </c>
      <c r="F240" s="7">
        <v>300000</v>
      </c>
      <c r="G240" s="7">
        <v>300000</v>
      </c>
      <c r="H240" t="s">
        <v>872</v>
      </c>
      <c r="I240" s="7">
        <v>0</v>
      </c>
      <c r="J240" s="7">
        <v>15000</v>
      </c>
      <c r="K240" s="7">
        <v>315000</v>
      </c>
      <c r="L240" t="s">
        <v>889</v>
      </c>
      <c r="M240" t="s">
        <v>881</v>
      </c>
      <c r="N240" t="s">
        <v>875</v>
      </c>
      <c r="O240" t="s">
        <v>891</v>
      </c>
      <c r="P240" t="s">
        <v>877</v>
      </c>
      <c r="Q240" s="7">
        <v>300000</v>
      </c>
    </row>
    <row r="241" spans="1:17">
      <c r="A241" t="s">
        <v>1136</v>
      </c>
      <c r="B241" s="6">
        <v>45796</v>
      </c>
      <c r="C241" t="s">
        <v>564</v>
      </c>
      <c r="D241" t="s">
        <v>805</v>
      </c>
      <c r="E241">
        <v>2</v>
      </c>
      <c r="F241" s="7">
        <v>200000</v>
      </c>
      <c r="G241" s="7">
        <v>400000</v>
      </c>
      <c r="H241" t="s">
        <v>886</v>
      </c>
      <c r="I241" s="7">
        <v>40000</v>
      </c>
      <c r="J241" s="7">
        <v>30000</v>
      </c>
      <c r="K241" s="7">
        <v>390000</v>
      </c>
      <c r="L241" t="s">
        <v>884</v>
      </c>
      <c r="M241" t="s">
        <v>874</v>
      </c>
      <c r="N241" t="s">
        <v>875</v>
      </c>
      <c r="O241" t="s">
        <v>896</v>
      </c>
      <c r="P241" t="s">
        <v>877</v>
      </c>
      <c r="Q241" s="7">
        <v>360000</v>
      </c>
    </row>
    <row r="242" spans="1:17">
      <c r="A242" t="s">
        <v>1137</v>
      </c>
      <c r="B242" s="6">
        <v>45742</v>
      </c>
      <c r="C242" t="s">
        <v>27</v>
      </c>
      <c r="D242" t="s">
        <v>791</v>
      </c>
      <c r="E242">
        <v>2</v>
      </c>
      <c r="F242" s="7">
        <v>50000</v>
      </c>
      <c r="G242" s="7">
        <v>100000</v>
      </c>
      <c r="H242" t="s">
        <v>872</v>
      </c>
      <c r="I242" s="7">
        <v>0</v>
      </c>
      <c r="J242" s="7">
        <v>20000</v>
      </c>
      <c r="K242" s="7">
        <v>120000</v>
      </c>
      <c r="L242" t="s">
        <v>884</v>
      </c>
      <c r="M242" t="s">
        <v>881</v>
      </c>
      <c r="N242" t="s">
        <v>875</v>
      </c>
      <c r="O242" t="s">
        <v>876</v>
      </c>
      <c r="P242" t="s">
        <v>877</v>
      </c>
      <c r="Q242" s="7">
        <v>100000</v>
      </c>
    </row>
    <row r="243" spans="1:17">
      <c r="A243" t="s">
        <v>1138</v>
      </c>
      <c r="B243" s="6">
        <v>45774</v>
      </c>
      <c r="C243" t="s">
        <v>552</v>
      </c>
      <c r="D243" t="s">
        <v>843</v>
      </c>
      <c r="E243">
        <v>2</v>
      </c>
      <c r="F243" s="7">
        <v>100000</v>
      </c>
      <c r="G243" s="7">
        <v>200000</v>
      </c>
      <c r="H243" t="s">
        <v>895</v>
      </c>
      <c r="I243" s="7">
        <v>30000</v>
      </c>
      <c r="J243" s="7">
        <v>25000</v>
      </c>
      <c r="K243" s="7">
        <v>195000</v>
      </c>
      <c r="L243" t="s">
        <v>889</v>
      </c>
      <c r="M243" t="s">
        <v>903</v>
      </c>
      <c r="N243" t="s">
        <v>875</v>
      </c>
      <c r="O243" t="s">
        <v>891</v>
      </c>
      <c r="P243" t="s">
        <v>877</v>
      </c>
      <c r="Q243" s="7">
        <v>170000</v>
      </c>
    </row>
    <row r="244" spans="1:17">
      <c r="A244" t="s">
        <v>1139</v>
      </c>
      <c r="B244" s="6">
        <v>45662</v>
      </c>
      <c r="C244" t="s">
        <v>386</v>
      </c>
      <c r="D244" t="s">
        <v>775</v>
      </c>
      <c r="E244">
        <v>1</v>
      </c>
      <c r="F244" s="7">
        <v>75000</v>
      </c>
      <c r="G244" s="7">
        <v>75000</v>
      </c>
      <c r="H244" t="s">
        <v>879</v>
      </c>
      <c r="I244" s="7">
        <v>15000</v>
      </c>
      <c r="J244" s="7">
        <v>15000</v>
      </c>
      <c r="K244" s="7">
        <v>75000</v>
      </c>
      <c r="L244" t="s">
        <v>880</v>
      </c>
      <c r="M244" t="s">
        <v>901</v>
      </c>
      <c r="N244" t="s">
        <v>905</v>
      </c>
      <c r="O244" t="s">
        <v>908</v>
      </c>
      <c r="P244" t="s">
        <v>892</v>
      </c>
      <c r="Q244" s="7">
        <v>60000</v>
      </c>
    </row>
    <row r="245" spans="1:17">
      <c r="A245" t="s">
        <v>1140</v>
      </c>
      <c r="B245" s="6">
        <v>45705</v>
      </c>
      <c r="C245" t="s">
        <v>234</v>
      </c>
      <c r="D245" t="s">
        <v>823</v>
      </c>
      <c r="E245">
        <v>2</v>
      </c>
      <c r="F245" s="7">
        <v>500000</v>
      </c>
      <c r="G245" s="7">
        <v>1000000</v>
      </c>
      <c r="H245" t="s">
        <v>886</v>
      </c>
      <c r="I245" s="7">
        <v>100000</v>
      </c>
      <c r="J245" s="7">
        <v>20000</v>
      </c>
      <c r="K245" s="7">
        <v>920000</v>
      </c>
      <c r="L245" t="s">
        <v>884</v>
      </c>
      <c r="M245" t="s">
        <v>903</v>
      </c>
      <c r="N245" t="s">
        <v>905</v>
      </c>
      <c r="O245" t="s">
        <v>887</v>
      </c>
      <c r="P245" t="s">
        <v>892</v>
      </c>
      <c r="Q245" s="7">
        <v>900000</v>
      </c>
    </row>
    <row r="246" spans="1:17">
      <c r="A246" t="s">
        <v>1141</v>
      </c>
      <c r="B246" s="6">
        <v>45818</v>
      </c>
      <c r="C246" t="s">
        <v>450</v>
      </c>
      <c r="D246" t="s">
        <v>781</v>
      </c>
      <c r="E246">
        <v>4</v>
      </c>
      <c r="F246" s="7">
        <v>50000</v>
      </c>
      <c r="G246" s="7">
        <v>200000</v>
      </c>
      <c r="H246" t="s">
        <v>886</v>
      </c>
      <c r="I246" s="7">
        <v>20000</v>
      </c>
      <c r="J246" s="7">
        <v>20000</v>
      </c>
      <c r="K246" s="7">
        <v>200000</v>
      </c>
      <c r="L246" t="s">
        <v>880</v>
      </c>
      <c r="M246" t="s">
        <v>881</v>
      </c>
      <c r="N246" t="s">
        <v>875</v>
      </c>
      <c r="O246" t="s">
        <v>915</v>
      </c>
      <c r="P246" t="s">
        <v>877</v>
      </c>
      <c r="Q246" s="7">
        <v>180000</v>
      </c>
    </row>
    <row r="247" spans="1:17">
      <c r="A247" t="s">
        <v>1142</v>
      </c>
      <c r="B247" s="6">
        <v>45838</v>
      </c>
      <c r="C247" t="s">
        <v>456</v>
      </c>
      <c r="D247" t="s">
        <v>771</v>
      </c>
      <c r="E247">
        <v>2</v>
      </c>
      <c r="F247" s="7">
        <v>500000</v>
      </c>
      <c r="G247" s="7">
        <v>1000000</v>
      </c>
      <c r="H247" t="s">
        <v>883</v>
      </c>
      <c r="I247" s="7">
        <v>100000</v>
      </c>
      <c r="J247" s="7">
        <v>20000</v>
      </c>
      <c r="K247" s="7">
        <v>920000</v>
      </c>
      <c r="L247" t="s">
        <v>873</v>
      </c>
      <c r="M247" t="s">
        <v>874</v>
      </c>
      <c r="N247" t="s">
        <v>905</v>
      </c>
      <c r="O247" t="s">
        <v>915</v>
      </c>
      <c r="P247" t="s">
        <v>892</v>
      </c>
      <c r="Q247" s="7">
        <v>900000</v>
      </c>
    </row>
    <row r="248" spans="1:17">
      <c r="A248" t="s">
        <v>1143</v>
      </c>
      <c r="B248" s="6">
        <v>45705</v>
      </c>
      <c r="C248" t="s">
        <v>676</v>
      </c>
      <c r="D248" t="s">
        <v>751</v>
      </c>
      <c r="E248">
        <v>2</v>
      </c>
      <c r="F248" s="7">
        <v>150000</v>
      </c>
      <c r="G248" s="7">
        <v>300000</v>
      </c>
      <c r="H248" t="s">
        <v>883</v>
      </c>
      <c r="I248" s="7">
        <v>30000</v>
      </c>
      <c r="J248" s="7">
        <v>20000</v>
      </c>
      <c r="K248" s="7">
        <v>290000</v>
      </c>
      <c r="L248" t="s">
        <v>873</v>
      </c>
      <c r="M248" t="s">
        <v>901</v>
      </c>
      <c r="N248" t="s">
        <v>875</v>
      </c>
      <c r="O248" t="s">
        <v>887</v>
      </c>
      <c r="P248" t="s">
        <v>877</v>
      </c>
      <c r="Q248" s="7">
        <v>270000</v>
      </c>
    </row>
    <row r="249" spans="1:17">
      <c r="A249" t="s">
        <v>1144</v>
      </c>
      <c r="B249" s="6">
        <v>45720</v>
      </c>
      <c r="C249" t="s">
        <v>606</v>
      </c>
      <c r="D249" t="s">
        <v>733</v>
      </c>
      <c r="E249">
        <v>1</v>
      </c>
      <c r="F249" s="7">
        <v>150000</v>
      </c>
      <c r="G249" s="7">
        <v>150000</v>
      </c>
      <c r="H249" t="s">
        <v>879</v>
      </c>
      <c r="I249" s="7">
        <v>30000</v>
      </c>
      <c r="J249" s="7">
        <v>15000</v>
      </c>
      <c r="K249" s="7">
        <v>135000</v>
      </c>
      <c r="L249" t="s">
        <v>880</v>
      </c>
      <c r="M249" t="s">
        <v>901</v>
      </c>
      <c r="N249" t="s">
        <v>875</v>
      </c>
      <c r="O249" t="s">
        <v>876</v>
      </c>
      <c r="P249" t="s">
        <v>877</v>
      </c>
      <c r="Q249" s="7">
        <v>120000</v>
      </c>
    </row>
    <row r="250" spans="1:17">
      <c r="A250" t="s">
        <v>1145</v>
      </c>
      <c r="B250" s="6">
        <v>45679</v>
      </c>
      <c r="C250" t="s">
        <v>716</v>
      </c>
      <c r="D250" t="s">
        <v>779</v>
      </c>
      <c r="E250">
        <v>1</v>
      </c>
      <c r="F250" s="7">
        <v>150000</v>
      </c>
      <c r="G250" s="7">
        <v>150000</v>
      </c>
      <c r="H250" t="s">
        <v>872</v>
      </c>
      <c r="I250" s="7">
        <v>0</v>
      </c>
      <c r="J250" s="7">
        <v>25000</v>
      </c>
      <c r="K250" s="7">
        <v>175000</v>
      </c>
      <c r="L250" t="s">
        <v>884</v>
      </c>
      <c r="M250" t="s">
        <v>874</v>
      </c>
      <c r="N250" t="s">
        <v>905</v>
      </c>
      <c r="O250" t="s">
        <v>908</v>
      </c>
      <c r="P250" t="s">
        <v>892</v>
      </c>
      <c r="Q250" s="7">
        <v>150000</v>
      </c>
    </row>
    <row r="251" spans="1:17">
      <c r="A251" t="s">
        <v>1146</v>
      </c>
      <c r="B251" s="6">
        <v>45826</v>
      </c>
      <c r="C251" t="s">
        <v>322</v>
      </c>
      <c r="D251" t="s">
        <v>805</v>
      </c>
      <c r="E251">
        <v>3</v>
      </c>
      <c r="F251" s="7">
        <v>200000</v>
      </c>
      <c r="G251" s="7">
        <v>600000</v>
      </c>
      <c r="H251" t="s">
        <v>872</v>
      </c>
      <c r="I251" s="7">
        <v>0</v>
      </c>
      <c r="J251" s="7">
        <v>15000</v>
      </c>
      <c r="K251" s="7">
        <v>615000</v>
      </c>
      <c r="L251" t="s">
        <v>889</v>
      </c>
      <c r="M251" t="s">
        <v>881</v>
      </c>
      <c r="N251" t="s">
        <v>921</v>
      </c>
      <c r="O251" t="s">
        <v>915</v>
      </c>
      <c r="P251" t="s">
        <v>892</v>
      </c>
      <c r="Q251" s="7">
        <v>600000</v>
      </c>
    </row>
    <row r="252" spans="1:17">
      <c r="A252" t="s">
        <v>1147</v>
      </c>
      <c r="B252" s="6">
        <v>45770</v>
      </c>
      <c r="C252" t="s">
        <v>672</v>
      </c>
      <c r="D252" t="s">
        <v>795</v>
      </c>
      <c r="E252">
        <v>4</v>
      </c>
      <c r="F252" s="7">
        <v>100000</v>
      </c>
      <c r="G252" s="7">
        <v>400000</v>
      </c>
      <c r="H252" t="s">
        <v>895</v>
      </c>
      <c r="I252" s="7">
        <v>60000</v>
      </c>
      <c r="J252" s="7">
        <v>30000</v>
      </c>
      <c r="K252" s="7">
        <v>370000</v>
      </c>
      <c r="L252" t="s">
        <v>884</v>
      </c>
      <c r="M252" t="s">
        <v>901</v>
      </c>
      <c r="N252" t="s">
        <v>875</v>
      </c>
      <c r="O252" t="s">
        <v>891</v>
      </c>
      <c r="P252" t="s">
        <v>877</v>
      </c>
      <c r="Q252" s="7">
        <v>340000</v>
      </c>
    </row>
    <row r="253" spans="1:17">
      <c r="A253" t="s">
        <v>1148</v>
      </c>
      <c r="B253" s="6">
        <v>45798</v>
      </c>
      <c r="C253" t="s">
        <v>482</v>
      </c>
      <c r="D253" t="s">
        <v>751</v>
      </c>
      <c r="E253">
        <v>2</v>
      </c>
      <c r="F253" s="7">
        <v>150000</v>
      </c>
      <c r="G253" s="7">
        <v>300000</v>
      </c>
      <c r="H253" t="s">
        <v>883</v>
      </c>
      <c r="I253" s="7">
        <v>30000</v>
      </c>
      <c r="J253" s="7">
        <v>15000</v>
      </c>
      <c r="K253" s="7">
        <v>285000</v>
      </c>
      <c r="L253" t="s">
        <v>880</v>
      </c>
      <c r="M253" t="s">
        <v>901</v>
      </c>
      <c r="N253" t="s">
        <v>905</v>
      </c>
      <c r="O253" t="s">
        <v>896</v>
      </c>
      <c r="P253" t="s">
        <v>892</v>
      </c>
      <c r="Q253" s="7">
        <v>270000</v>
      </c>
    </row>
    <row r="254" spans="1:17">
      <c r="A254" t="s">
        <v>1149</v>
      </c>
      <c r="B254" s="6">
        <v>45761</v>
      </c>
      <c r="C254" t="s">
        <v>63</v>
      </c>
      <c r="D254" t="s">
        <v>753</v>
      </c>
      <c r="E254">
        <v>1</v>
      </c>
      <c r="F254" s="7">
        <v>300000</v>
      </c>
      <c r="G254" s="7">
        <v>300000</v>
      </c>
      <c r="H254" t="s">
        <v>872</v>
      </c>
      <c r="I254" s="7">
        <v>0</v>
      </c>
      <c r="J254" s="7">
        <v>20000</v>
      </c>
      <c r="K254" s="7">
        <v>320000</v>
      </c>
      <c r="L254" t="s">
        <v>884</v>
      </c>
      <c r="M254" t="s">
        <v>903</v>
      </c>
      <c r="N254" t="s">
        <v>875</v>
      </c>
      <c r="O254" t="s">
        <v>891</v>
      </c>
      <c r="P254" t="s">
        <v>877</v>
      </c>
      <c r="Q254" s="7">
        <v>300000</v>
      </c>
    </row>
    <row r="255" spans="1:17">
      <c r="A255" t="s">
        <v>1150</v>
      </c>
      <c r="B255" s="6">
        <v>45756</v>
      </c>
      <c r="C255" t="s">
        <v>162</v>
      </c>
      <c r="D255" t="s">
        <v>733</v>
      </c>
      <c r="E255">
        <v>3</v>
      </c>
      <c r="F255" s="7">
        <v>150000</v>
      </c>
      <c r="G255" s="7">
        <v>450000</v>
      </c>
      <c r="H255" t="s">
        <v>872</v>
      </c>
      <c r="I255" s="7">
        <v>0</v>
      </c>
      <c r="J255" s="7">
        <v>20000</v>
      </c>
      <c r="K255" s="7">
        <v>470000</v>
      </c>
      <c r="L255" t="s">
        <v>880</v>
      </c>
      <c r="M255" t="s">
        <v>903</v>
      </c>
      <c r="N255" t="s">
        <v>905</v>
      </c>
      <c r="O255" t="s">
        <v>891</v>
      </c>
      <c r="P255" t="s">
        <v>892</v>
      </c>
      <c r="Q255" s="7">
        <v>450000</v>
      </c>
    </row>
    <row r="256" spans="1:17">
      <c r="A256" t="s">
        <v>1151</v>
      </c>
      <c r="B256" s="6">
        <v>45780</v>
      </c>
      <c r="C256" t="s">
        <v>47</v>
      </c>
      <c r="D256" t="s">
        <v>729</v>
      </c>
      <c r="E256">
        <v>1</v>
      </c>
      <c r="F256" s="7">
        <v>100000</v>
      </c>
      <c r="G256" s="7">
        <v>100000</v>
      </c>
      <c r="H256" t="s">
        <v>886</v>
      </c>
      <c r="I256" s="7">
        <v>10000</v>
      </c>
      <c r="J256" s="7">
        <v>15000</v>
      </c>
      <c r="K256" s="7">
        <v>105000</v>
      </c>
      <c r="L256" t="s">
        <v>873</v>
      </c>
      <c r="M256" t="s">
        <v>874</v>
      </c>
      <c r="N256" t="s">
        <v>875</v>
      </c>
      <c r="O256" t="s">
        <v>896</v>
      </c>
      <c r="P256" t="s">
        <v>877</v>
      </c>
      <c r="Q256" s="7">
        <v>90000</v>
      </c>
    </row>
    <row r="257" spans="1:17">
      <c r="A257" t="s">
        <v>1152</v>
      </c>
      <c r="B257" s="6">
        <v>45670</v>
      </c>
      <c r="C257" t="s">
        <v>386</v>
      </c>
      <c r="D257" t="s">
        <v>829</v>
      </c>
      <c r="E257">
        <v>4</v>
      </c>
      <c r="F257" s="7">
        <v>500000</v>
      </c>
      <c r="G257" s="7">
        <v>2000000</v>
      </c>
      <c r="H257" t="s">
        <v>872</v>
      </c>
      <c r="I257" s="7">
        <v>0</v>
      </c>
      <c r="J257" s="7">
        <v>20000</v>
      </c>
      <c r="K257" s="7">
        <v>2020000</v>
      </c>
      <c r="L257" t="s">
        <v>884</v>
      </c>
      <c r="M257" t="s">
        <v>874</v>
      </c>
      <c r="N257" t="s">
        <v>875</v>
      </c>
      <c r="O257" t="s">
        <v>908</v>
      </c>
      <c r="P257" t="s">
        <v>877</v>
      </c>
      <c r="Q257" s="7">
        <v>2000000</v>
      </c>
    </row>
    <row r="258" spans="1:17">
      <c r="A258" t="s">
        <v>1153</v>
      </c>
      <c r="B258" s="6">
        <v>45775</v>
      </c>
      <c r="C258" t="s">
        <v>460</v>
      </c>
      <c r="D258" t="s">
        <v>813</v>
      </c>
      <c r="E258">
        <v>2</v>
      </c>
      <c r="F258" s="7">
        <v>35000</v>
      </c>
      <c r="G258" s="7">
        <v>70000</v>
      </c>
      <c r="H258" t="s">
        <v>879</v>
      </c>
      <c r="I258" s="7">
        <v>14000</v>
      </c>
      <c r="J258" s="7">
        <v>30000</v>
      </c>
      <c r="K258" s="7">
        <v>86000</v>
      </c>
      <c r="L258" t="s">
        <v>884</v>
      </c>
      <c r="M258" t="s">
        <v>903</v>
      </c>
      <c r="N258" t="s">
        <v>905</v>
      </c>
      <c r="O258" t="s">
        <v>891</v>
      </c>
      <c r="P258" t="s">
        <v>892</v>
      </c>
      <c r="Q258" s="7">
        <v>56000</v>
      </c>
    </row>
    <row r="259" spans="1:17">
      <c r="A259" t="s">
        <v>1154</v>
      </c>
      <c r="B259" s="6">
        <v>45804</v>
      </c>
      <c r="C259" t="s">
        <v>123</v>
      </c>
      <c r="D259" t="s">
        <v>773</v>
      </c>
      <c r="E259">
        <v>1</v>
      </c>
      <c r="F259" s="7">
        <v>500000</v>
      </c>
      <c r="G259" s="7">
        <v>500000</v>
      </c>
      <c r="H259" t="s">
        <v>886</v>
      </c>
      <c r="I259" s="7">
        <v>50000</v>
      </c>
      <c r="J259" s="7">
        <v>15000</v>
      </c>
      <c r="K259" s="7">
        <v>465000</v>
      </c>
      <c r="L259" t="s">
        <v>889</v>
      </c>
      <c r="M259" t="s">
        <v>881</v>
      </c>
      <c r="N259" t="s">
        <v>890</v>
      </c>
      <c r="O259" t="s">
        <v>896</v>
      </c>
      <c r="P259" t="s">
        <v>892</v>
      </c>
      <c r="Q259" s="7">
        <v>450000</v>
      </c>
    </row>
    <row r="260" spans="1:17">
      <c r="A260" t="s">
        <v>1155</v>
      </c>
      <c r="B260" s="6">
        <v>45667</v>
      </c>
      <c r="C260" t="s">
        <v>125</v>
      </c>
      <c r="D260" t="s">
        <v>839</v>
      </c>
      <c r="E260">
        <v>2</v>
      </c>
      <c r="F260" s="7">
        <v>200000</v>
      </c>
      <c r="G260" s="7">
        <v>400000</v>
      </c>
      <c r="H260" t="s">
        <v>872</v>
      </c>
      <c r="I260" s="7">
        <v>0</v>
      </c>
      <c r="J260" s="7">
        <v>30000</v>
      </c>
      <c r="K260" s="7">
        <v>430000</v>
      </c>
      <c r="L260" t="s">
        <v>889</v>
      </c>
      <c r="M260" t="s">
        <v>874</v>
      </c>
      <c r="N260" t="s">
        <v>890</v>
      </c>
      <c r="O260" t="s">
        <v>908</v>
      </c>
      <c r="P260" t="s">
        <v>892</v>
      </c>
      <c r="Q260" s="7">
        <v>400000</v>
      </c>
    </row>
    <row r="261" spans="1:17">
      <c r="A261" t="s">
        <v>1156</v>
      </c>
      <c r="B261" s="6">
        <v>45809</v>
      </c>
      <c r="C261" t="s">
        <v>688</v>
      </c>
      <c r="D261" t="s">
        <v>779</v>
      </c>
      <c r="E261">
        <v>3</v>
      </c>
      <c r="F261" s="7">
        <v>150000</v>
      </c>
      <c r="G261" s="7">
        <v>450000</v>
      </c>
      <c r="H261" t="s">
        <v>895</v>
      </c>
      <c r="I261" s="7">
        <v>67500</v>
      </c>
      <c r="J261" s="7">
        <v>25000</v>
      </c>
      <c r="K261" s="7">
        <v>407500</v>
      </c>
      <c r="L261" t="s">
        <v>889</v>
      </c>
      <c r="M261" t="s">
        <v>881</v>
      </c>
      <c r="N261" t="s">
        <v>875</v>
      </c>
      <c r="O261" t="s">
        <v>915</v>
      </c>
      <c r="P261" t="s">
        <v>877</v>
      </c>
      <c r="Q261" s="7">
        <v>382500</v>
      </c>
    </row>
    <row r="262" spans="1:17">
      <c r="A262" t="s">
        <v>1157</v>
      </c>
      <c r="B262" s="6">
        <v>45776</v>
      </c>
      <c r="C262" t="s">
        <v>598</v>
      </c>
      <c r="D262" t="s">
        <v>771</v>
      </c>
      <c r="E262">
        <v>1</v>
      </c>
      <c r="F262" s="7">
        <v>500000</v>
      </c>
      <c r="G262" s="7">
        <v>500000</v>
      </c>
      <c r="H262" t="s">
        <v>872</v>
      </c>
      <c r="I262" s="7">
        <v>0</v>
      </c>
      <c r="J262" s="7">
        <v>10000</v>
      </c>
      <c r="K262" s="7">
        <v>510000</v>
      </c>
      <c r="L262" t="s">
        <v>884</v>
      </c>
      <c r="M262" t="s">
        <v>901</v>
      </c>
      <c r="N262" t="s">
        <v>890</v>
      </c>
      <c r="O262" t="s">
        <v>891</v>
      </c>
      <c r="P262" t="s">
        <v>892</v>
      </c>
      <c r="Q262" s="7">
        <v>500000</v>
      </c>
    </row>
    <row r="263" spans="1:17">
      <c r="A263" t="s">
        <v>1158</v>
      </c>
      <c r="B263" s="6">
        <v>45750</v>
      </c>
      <c r="C263" t="s">
        <v>326</v>
      </c>
      <c r="D263" t="s">
        <v>771</v>
      </c>
      <c r="E263">
        <v>3</v>
      </c>
      <c r="F263" s="7">
        <v>500000</v>
      </c>
      <c r="G263" s="7">
        <v>1500000</v>
      </c>
      <c r="H263" t="s">
        <v>886</v>
      </c>
      <c r="I263" s="7">
        <v>150000</v>
      </c>
      <c r="J263" s="7">
        <v>30000</v>
      </c>
      <c r="K263" s="7">
        <v>1380000</v>
      </c>
      <c r="L263" t="s">
        <v>889</v>
      </c>
      <c r="M263" t="s">
        <v>903</v>
      </c>
      <c r="N263" t="s">
        <v>890</v>
      </c>
      <c r="O263" t="s">
        <v>891</v>
      </c>
      <c r="P263" t="s">
        <v>892</v>
      </c>
      <c r="Q263" s="7">
        <v>1350000</v>
      </c>
    </row>
    <row r="264" spans="1:17">
      <c r="A264" t="s">
        <v>1159</v>
      </c>
      <c r="B264" s="6">
        <v>45829</v>
      </c>
      <c r="C264" t="s">
        <v>658</v>
      </c>
      <c r="D264" t="s">
        <v>793</v>
      </c>
      <c r="E264">
        <v>2</v>
      </c>
      <c r="F264" s="7">
        <v>500000</v>
      </c>
      <c r="G264" s="7">
        <v>1000000</v>
      </c>
      <c r="H264" t="s">
        <v>886</v>
      </c>
      <c r="I264" s="7">
        <v>100000</v>
      </c>
      <c r="J264" s="7">
        <v>15000</v>
      </c>
      <c r="K264" s="7">
        <v>915000</v>
      </c>
      <c r="L264" t="s">
        <v>884</v>
      </c>
      <c r="M264" t="s">
        <v>881</v>
      </c>
      <c r="N264" t="s">
        <v>875</v>
      </c>
      <c r="O264" t="s">
        <v>915</v>
      </c>
      <c r="P264" t="s">
        <v>877</v>
      </c>
      <c r="Q264" s="7">
        <v>900000</v>
      </c>
    </row>
    <row r="265" spans="1:17">
      <c r="A265" t="s">
        <v>1160</v>
      </c>
      <c r="B265" s="6">
        <v>45829</v>
      </c>
      <c r="C265" t="s">
        <v>218</v>
      </c>
      <c r="D265" t="s">
        <v>771</v>
      </c>
      <c r="E265">
        <v>4</v>
      </c>
      <c r="F265" s="7">
        <v>500000</v>
      </c>
      <c r="G265" s="7">
        <v>2000000</v>
      </c>
      <c r="H265" t="s">
        <v>872</v>
      </c>
      <c r="I265" s="7">
        <v>0</v>
      </c>
      <c r="J265" s="7">
        <v>25000</v>
      </c>
      <c r="K265" s="7">
        <v>2025000</v>
      </c>
      <c r="L265" t="s">
        <v>884</v>
      </c>
      <c r="M265" t="s">
        <v>903</v>
      </c>
      <c r="N265" t="s">
        <v>911</v>
      </c>
      <c r="O265" t="s">
        <v>915</v>
      </c>
      <c r="P265" t="s">
        <v>892</v>
      </c>
      <c r="Q265" s="7">
        <v>2000000</v>
      </c>
    </row>
    <row r="266" spans="1:17">
      <c r="A266" t="s">
        <v>1161</v>
      </c>
      <c r="B266" s="6">
        <v>45836</v>
      </c>
      <c r="C266" t="s">
        <v>390</v>
      </c>
      <c r="D266" t="s">
        <v>781</v>
      </c>
      <c r="E266">
        <v>1</v>
      </c>
      <c r="F266" s="7">
        <v>50000</v>
      </c>
      <c r="G266" s="7">
        <v>50000</v>
      </c>
      <c r="H266" t="s">
        <v>895</v>
      </c>
      <c r="I266" s="7">
        <v>7500</v>
      </c>
      <c r="J266" s="7">
        <v>15000</v>
      </c>
      <c r="K266" s="7">
        <v>57500</v>
      </c>
      <c r="L266" t="s">
        <v>880</v>
      </c>
      <c r="M266" t="s">
        <v>901</v>
      </c>
      <c r="N266" t="s">
        <v>875</v>
      </c>
      <c r="O266" t="s">
        <v>915</v>
      </c>
      <c r="P266" t="s">
        <v>877</v>
      </c>
      <c r="Q266" s="7">
        <v>42500</v>
      </c>
    </row>
    <row r="267" spans="1:17">
      <c r="A267" t="s">
        <v>1162</v>
      </c>
      <c r="B267" s="6">
        <v>45832</v>
      </c>
      <c r="C267" t="s">
        <v>63</v>
      </c>
      <c r="D267" t="s">
        <v>777</v>
      </c>
      <c r="E267">
        <v>2</v>
      </c>
      <c r="F267" s="7">
        <v>200000</v>
      </c>
      <c r="G267" s="7">
        <v>400000</v>
      </c>
      <c r="H267" t="s">
        <v>895</v>
      </c>
      <c r="I267" s="7">
        <v>60000</v>
      </c>
      <c r="J267" s="7">
        <v>10000</v>
      </c>
      <c r="K267" s="7">
        <v>350000</v>
      </c>
      <c r="L267" t="s">
        <v>889</v>
      </c>
      <c r="M267" t="s">
        <v>874</v>
      </c>
      <c r="N267" t="s">
        <v>905</v>
      </c>
      <c r="O267" t="s">
        <v>915</v>
      </c>
      <c r="P267" t="s">
        <v>892</v>
      </c>
      <c r="Q267" s="7">
        <v>340000</v>
      </c>
    </row>
    <row r="268" spans="1:17">
      <c r="A268" t="s">
        <v>1163</v>
      </c>
      <c r="B268" s="6">
        <v>45832</v>
      </c>
      <c r="C268" t="s">
        <v>580</v>
      </c>
      <c r="D268" t="s">
        <v>795</v>
      </c>
      <c r="E268">
        <v>1</v>
      </c>
      <c r="F268" s="7">
        <v>100000</v>
      </c>
      <c r="G268" s="7">
        <v>100000</v>
      </c>
      <c r="H268" t="s">
        <v>879</v>
      </c>
      <c r="I268" s="7">
        <v>20000</v>
      </c>
      <c r="J268" s="7">
        <v>10000</v>
      </c>
      <c r="K268" s="7">
        <v>90000</v>
      </c>
      <c r="L268" t="s">
        <v>873</v>
      </c>
      <c r="M268" t="s">
        <v>874</v>
      </c>
      <c r="N268" t="s">
        <v>875</v>
      </c>
      <c r="O268" t="s">
        <v>915</v>
      </c>
      <c r="P268" t="s">
        <v>877</v>
      </c>
      <c r="Q268" s="7">
        <v>80000</v>
      </c>
    </row>
    <row r="269" spans="1:17">
      <c r="A269" t="s">
        <v>1164</v>
      </c>
      <c r="B269" s="6">
        <v>45758</v>
      </c>
      <c r="C269" t="s">
        <v>626</v>
      </c>
      <c r="D269" t="s">
        <v>813</v>
      </c>
      <c r="E269">
        <v>2</v>
      </c>
      <c r="F269" s="7">
        <v>35000</v>
      </c>
      <c r="G269" s="7">
        <v>70000</v>
      </c>
      <c r="H269" t="s">
        <v>872</v>
      </c>
      <c r="I269" s="7">
        <v>0</v>
      </c>
      <c r="J269" s="7">
        <v>20000</v>
      </c>
      <c r="K269" s="7">
        <v>90000</v>
      </c>
      <c r="L269" t="s">
        <v>884</v>
      </c>
      <c r="M269" t="s">
        <v>874</v>
      </c>
      <c r="N269" t="s">
        <v>905</v>
      </c>
      <c r="O269" t="s">
        <v>891</v>
      </c>
      <c r="P269" t="s">
        <v>892</v>
      </c>
      <c r="Q269" s="7">
        <v>70000</v>
      </c>
    </row>
    <row r="270" spans="1:17">
      <c r="A270" t="s">
        <v>1165</v>
      </c>
      <c r="B270" s="6">
        <v>45762</v>
      </c>
      <c r="C270" t="s">
        <v>40</v>
      </c>
      <c r="D270" t="s">
        <v>771</v>
      </c>
      <c r="E270">
        <v>2</v>
      </c>
      <c r="F270" s="7">
        <v>500000</v>
      </c>
      <c r="G270" s="7">
        <v>1000000</v>
      </c>
      <c r="H270" t="s">
        <v>872</v>
      </c>
      <c r="I270" s="7">
        <v>0</v>
      </c>
      <c r="J270" s="7">
        <v>20000</v>
      </c>
      <c r="K270" s="7">
        <v>1020000</v>
      </c>
      <c r="L270" t="s">
        <v>880</v>
      </c>
      <c r="M270" t="s">
        <v>874</v>
      </c>
      <c r="N270" t="s">
        <v>905</v>
      </c>
      <c r="O270" t="s">
        <v>891</v>
      </c>
      <c r="P270" t="s">
        <v>892</v>
      </c>
      <c r="Q270" s="7">
        <v>1000000</v>
      </c>
    </row>
    <row r="271" spans="1:17">
      <c r="A271" t="s">
        <v>1166</v>
      </c>
      <c r="B271" s="6">
        <v>45711</v>
      </c>
      <c r="C271" t="s">
        <v>218</v>
      </c>
      <c r="D271" t="s">
        <v>825</v>
      </c>
      <c r="E271">
        <v>4</v>
      </c>
      <c r="F271" s="7">
        <v>100000</v>
      </c>
      <c r="G271" s="7">
        <v>400000</v>
      </c>
      <c r="H271" t="s">
        <v>879</v>
      </c>
      <c r="I271" s="7">
        <v>80000</v>
      </c>
      <c r="J271" s="7">
        <v>25000</v>
      </c>
      <c r="K271" s="7">
        <v>345000</v>
      </c>
      <c r="L271" t="s">
        <v>884</v>
      </c>
      <c r="M271" t="s">
        <v>874</v>
      </c>
      <c r="N271" t="s">
        <v>875</v>
      </c>
      <c r="O271" t="s">
        <v>887</v>
      </c>
      <c r="P271" t="s">
        <v>877</v>
      </c>
      <c r="Q271" s="7">
        <v>320000</v>
      </c>
    </row>
    <row r="272" spans="1:17">
      <c r="A272" t="s">
        <v>1167</v>
      </c>
      <c r="B272" s="6">
        <v>45675</v>
      </c>
      <c r="C272" t="s">
        <v>13</v>
      </c>
      <c r="D272" t="s">
        <v>791</v>
      </c>
      <c r="E272">
        <v>3</v>
      </c>
      <c r="F272" s="7">
        <v>50000</v>
      </c>
      <c r="G272" s="7">
        <v>150000</v>
      </c>
      <c r="H272" t="s">
        <v>886</v>
      </c>
      <c r="I272" s="7">
        <v>15000</v>
      </c>
      <c r="J272" s="7">
        <v>10000</v>
      </c>
      <c r="K272" s="7">
        <v>145000</v>
      </c>
      <c r="L272" t="s">
        <v>884</v>
      </c>
      <c r="M272" t="s">
        <v>874</v>
      </c>
      <c r="N272" t="s">
        <v>875</v>
      </c>
      <c r="O272" t="s">
        <v>908</v>
      </c>
      <c r="P272" t="s">
        <v>877</v>
      </c>
      <c r="Q272" s="7">
        <v>135000</v>
      </c>
    </row>
    <row r="273" spans="1:17">
      <c r="A273" t="s">
        <v>1168</v>
      </c>
      <c r="B273" s="6">
        <v>45757</v>
      </c>
      <c r="C273" t="s">
        <v>59</v>
      </c>
      <c r="D273" t="s">
        <v>855</v>
      </c>
      <c r="E273">
        <v>1</v>
      </c>
      <c r="F273" s="7">
        <v>150000</v>
      </c>
      <c r="G273" s="7">
        <v>150000</v>
      </c>
      <c r="H273" t="s">
        <v>895</v>
      </c>
      <c r="I273" s="7">
        <v>22500</v>
      </c>
      <c r="J273" s="7">
        <v>30000</v>
      </c>
      <c r="K273" s="7">
        <v>157500</v>
      </c>
      <c r="L273" t="s">
        <v>889</v>
      </c>
      <c r="M273" t="s">
        <v>903</v>
      </c>
      <c r="N273" t="s">
        <v>875</v>
      </c>
      <c r="O273" t="s">
        <v>891</v>
      </c>
      <c r="P273" t="s">
        <v>877</v>
      </c>
      <c r="Q273" s="7">
        <v>127500</v>
      </c>
    </row>
    <row r="274" spans="1:17">
      <c r="A274" t="s">
        <v>1169</v>
      </c>
      <c r="B274" s="6">
        <v>45701</v>
      </c>
      <c r="C274" t="s">
        <v>624</v>
      </c>
      <c r="D274" t="s">
        <v>841</v>
      </c>
      <c r="E274">
        <v>1</v>
      </c>
      <c r="F274" s="7">
        <v>75000</v>
      </c>
      <c r="G274" s="7">
        <v>75000</v>
      </c>
      <c r="H274" t="s">
        <v>883</v>
      </c>
      <c r="I274" s="7">
        <v>7500</v>
      </c>
      <c r="J274" s="7">
        <v>10000</v>
      </c>
      <c r="K274" s="7">
        <v>77500</v>
      </c>
      <c r="L274" t="s">
        <v>884</v>
      </c>
      <c r="M274" t="s">
        <v>874</v>
      </c>
      <c r="N274" t="s">
        <v>875</v>
      </c>
      <c r="O274" t="s">
        <v>887</v>
      </c>
      <c r="P274" t="s">
        <v>877</v>
      </c>
      <c r="Q274" s="7">
        <v>67500</v>
      </c>
    </row>
    <row r="275" spans="1:17">
      <c r="A275" t="s">
        <v>1170</v>
      </c>
      <c r="B275" s="6">
        <v>45757</v>
      </c>
      <c r="C275" t="s">
        <v>294</v>
      </c>
      <c r="D275" t="s">
        <v>805</v>
      </c>
      <c r="E275">
        <v>1</v>
      </c>
      <c r="F275" s="7">
        <v>200000</v>
      </c>
      <c r="G275" s="7">
        <v>200000</v>
      </c>
      <c r="H275" t="s">
        <v>886</v>
      </c>
      <c r="I275" s="7">
        <v>20000</v>
      </c>
      <c r="J275" s="7">
        <v>30000</v>
      </c>
      <c r="K275" s="7">
        <v>210000</v>
      </c>
      <c r="L275" t="s">
        <v>884</v>
      </c>
      <c r="M275" t="s">
        <v>874</v>
      </c>
      <c r="N275" t="s">
        <v>890</v>
      </c>
      <c r="O275" t="s">
        <v>891</v>
      </c>
      <c r="P275" t="s">
        <v>892</v>
      </c>
      <c r="Q275" s="7">
        <v>180000</v>
      </c>
    </row>
    <row r="276" spans="1:17">
      <c r="A276" t="s">
        <v>1171</v>
      </c>
      <c r="B276" s="6">
        <v>45828</v>
      </c>
      <c r="C276" t="s">
        <v>474</v>
      </c>
      <c r="D276" t="s">
        <v>851</v>
      </c>
      <c r="E276">
        <v>2</v>
      </c>
      <c r="F276" s="7">
        <v>35000</v>
      </c>
      <c r="G276" s="7">
        <v>70000</v>
      </c>
      <c r="H276" t="s">
        <v>895</v>
      </c>
      <c r="I276" s="7">
        <v>10500</v>
      </c>
      <c r="J276" s="7">
        <v>10000</v>
      </c>
      <c r="K276" s="7">
        <v>69500</v>
      </c>
      <c r="L276" t="s">
        <v>873</v>
      </c>
      <c r="M276" t="s">
        <v>881</v>
      </c>
      <c r="N276" t="s">
        <v>875</v>
      </c>
      <c r="O276" t="s">
        <v>915</v>
      </c>
      <c r="P276" t="s">
        <v>877</v>
      </c>
      <c r="Q276" s="7">
        <v>59500</v>
      </c>
    </row>
    <row r="277" spans="1:17">
      <c r="A277" t="s">
        <v>1172</v>
      </c>
      <c r="B277" s="6">
        <v>45761</v>
      </c>
      <c r="C277" t="s">
        <v>202</v>
      </c>
      <c r="D277" t="s">
        <v>851</v>
      </c>
      <c r="E277">
        <v>2</v>
      </c>
      <c r="F277" s="7">
        <v>35000</v>
      </c>
      <c r="G277" s="7">
        <v>70000</v>
      </c>
      <c r="H277" t="s">
        <v>872</v>
      </c>
      <c r="I277" s="7">
        <v>0</v>
      </c>
      <c r="J277" s="7">
        <v>10000</v>
      </c>
      <c r="K277" s="7">
        <v>80000</v>
      </c>
      <c r="L277" t="s">
        <v>889</v>
      </c>
      <c r="M277" t="s">
        <v>881</v>
      </c>
      <c r="N277" t="s">
        <v>875</v>
      </c>
      <c r="O277" t="s">
        <v>891</v>
      </c>
      <c r="P277" t="s">
        <v>877</v>
      </c>
      <c r="Q277" s="7">
        <v>70000</v>
      </c>
    </row>
    <row r="278" spans="1:17">
      <c r="A278" t="s">
        <v>1173</v>
      </c>
      <c r="B278" s="6">
        <v>45819</v>
      </c>
      <c r="C278" t="s">
        <v>286</v>
      </c>
      <c r="D278" t="s">
        <v>749</v>
      </c>
      <c r="E278">
        <v>2</v>
      </c>
      <c r="F278" s="7">
        <v>150000</v>
      </c>
      <c r="G278" s="7">
        <v>300000</v>
      </c>
      <c r="H278" t="s">
        <v>872</v>
      </c>
      <c r="I278" s="7">
        <v>0</v>
      </c>
      <c r="J278" s="7">
        <v>25000</v>
      </c>
      <c r="K278" s="7">
        <v>325000</v>
      </c>
      <c r="L278" t="s">
        <v>873</v>
      </c>
      <c r="M278" t="s">
        <v>881</v>
      </c>
      <c r="N278" t="s">
        <v>875</v>
      </c>
      <c r="O278" t="s">
        <v>915</v>
      </c>
      <c r="P278" t="s">
        <v>877</v>
      </c>
      <c r="Q278" s="7">
        <v>300000</v>
      </c>
    </row>
    <row r="279" spans="1:17">
      <c r="A279" t="s">
        <v>1174</v>
      </c>
      <c r="B279" s="6">
        <v>45673</v>
      </c>
      <c r="C279" t="s">
        <v>434</v>
      </c>
      <c r="D279" t="s">
        <v>821</v>
      </c>
      <c r="E279">
        <v>2</v>
      </c>
      <c r="F279" s="7">
        <v>50000</v>
      </c>
      <c r="G279" s="7">
        <v>100000</v>
      </c>
      <c r="H279" t="s">
        <v>895</v>
      </c>
      <c r="I279" s="7">
        <v>15000</v>
      </c>
      <c r="J279" s="7">
        <v>20000</v>
      </c>
      <c r="K279" s="7">
        <v>105000</v>
      </c>
      <c r="L279" t="s">
        <v>880</v>
      </c>
      <c r="M279" t="s">
        <v>881</v>
      </c>
      <c r="N279" t="s">
        <v>875</v>
      </c>
      <c r="O279" t="s">
        <v>908</v>
      </c>
      <c r="P279" t="s">
        <v>877</v>
      </c>
      <c r="Q279" s="7">
        <v>85000</v>
      </c>
    </row>
    <row r="280" spans="1:17">
      <c r="A280" t="s">
        <v>1175</v>
      </c>
      <c r="B280" s="6">
        <v>45665</v>
      </c>
      <c r="C280" t="s">
        <v>468</v>
      </c>
      <c r="D280" t="s">
        <v>781</v>
      </c>
      <c r="E280">
        <v>1</v>
      </c>
      <c r="F280" s="7">
        <v>50000</v>
      </c>
      <c r="G280" s="7">
        <v>50000</v>
      </c>
      <c r="H280" t="s">
        <v>872</v>
      </c>
      <c r="I280" s="7">
        <v>0</v>
      </c>
      <c r="J280" s="7">
        <v>20000</v>
      </c>
      <c r="K280" s="7">
        <v>70000</v>
      </c>
      <c r="L280" t="s">
        <v>889</v>
      </c>
      <c r="M280" t="s">
        <v>881</v>
      </c>
      <c r="N280" t="s">
        <v>875</v>
      </c>
      <c r="O280" t="s">
        <v>908</v>
      </c>
      <c r="P280" t="s">
        <v>877</v>
      </c>
      <c r="Q280" s="7">
        <v>50000</v>
      </c>
    </row>
    <row r="281" spans="1:17">
      <c r="A281" t="s">
        <v>1176</v>
      </c>
      <c r="B281" s="6">
        <v>45814</v>
      </c>
      <c r="C281" t="s">
        <v>332</v>
      </c>
      <c r="D281" t="s">
        <v>803</v>
      </c>
      <c r="E281">
        <v>1</v>
      </c>
      <c r="F281" s="7">
        <v>50000</v>
      </c>
      <c r="G281" s="7">
        <v>50000</v>
      </c>
      <c r="H281" t="s">
        <v>895</v>
      </c>
      <c r="I281" s="7">
        <v>7500</v>
      </c>
      <c r="J281" s="7">
        <v>25000</v>
      </c>
      <c r="K281" s="7">
        <v>67500</v>
      </c>
      <c r="L281" t="s">
        <v>873</v>
      </c>
      <c r="M281" t="s">
        <v>881</v>
      </c>
      <c r="N281" t="s">
        <v>875</v>
      </c>
      <c r="O281" t="s">
        <v>915</v>
      </c>
      <c r="P281" t="s">
        <v>877</v>
      </c>
      <c r="Q281" s="7">
        <v>42500</v>
      </c>
    </row>
    <row r="282" spans="1:17">
      <c r="A282" t="s">
        <v>1177</v>
      </c>
      <c r="B282" s="6">
        <v>45747</v>
      </c>
      <c r="C282" t="s">
        <v>226</v>
      </c>
      <c r="D282" t="s">
        <v>753</v>
      </c>
      <c r="E282">
        <v>4</v>
      </c>
      <c r="F282" s="7">
        <v>300000</v>
      </c>
      <c r="G282" s="7">
        <v>1200000</v>
      </c>
      <c r="H282" t="s">
        <v>886</v>
      </c>
      <c r="I282" s="7">
        <v>120000</v>
      </c>
      <c r="J282" s="7">
        <v>25000</v>
      </c>
      <c r="K282" s="7">
        <v>1105000</v>
      </c>
      <c r="L282" t="s">
        <v>880</v>
      </c>
      <c r="M282" t="s">
        <v>903</v>
      </c>
      <c r="N282" t="s">
        <v>890</v>
      </c>
      <c r="O282" t="s">
        <v>876</v>
      </c>
      <c r="P282" t="s">
        <v>892</v>
      </c>
      <c r="Q282" s="7">
        <v>1080000</v>
      </c>
    </row>
    <row r="283" spans="1:17">
      <c r="A283" t="s">
        <v>1178</v>
      </c>
      <c r="B283" s="6">
        <v>45679</v>
      </c>
      <c r="C283" t="s">
        <v>484</v>
      </c>
      <c r="D283" t="s">
        <v>769</v>
      </c>
      <c r="E283">
        <v>1</v>
      </c>
      <c r="F283" s="7">
        <v>100000</v>
      </c>
      <c r="G283" s="7">
        <v>100000</v>
      </c>
      <c r="H283" t="s">
        <v>886</v>
      </c>
      <c r="I283" s="7">
        <v>10000</v>
      </c>
      <c r="J283" s="7">
        <v>15000</v>
      </c>
      <c r="K283" s="7">
        <v>105000</v>
      </c>
      <c r="L283" t="s">
        <v>873</v>
      </c>
      <c r="M283" t="s">
        <v>901</v>
      </c>
      <c r="N283" t="s">
        <v>890</v>
      </c>
      <c r="O283" t="s">
        <v>908</v>
      </c>
      <c r="P283" t="s">
        <v>892</v>
      </c>
      <c r="Q283" s="7">
        <v>90000</v>
      </c>
    </row>
    <row r="284" spans="1:17">
      <c r="A284" t="s">
        <v>1179</v>
      </c>
      <c r="B284" s="6">
        <v>45702</v>
      </c>
      <c r="C284" t="s">
        <v>696</v>
      </c>
      <c r="D284" t="s">
        <v>757</v>
      </c>
      <c r="E284">
        <v>2</v>
      </c>
      <c r="F284" s="7">
        <v>75000</v>
      </c>
      <c r="G284" s="7">
        <v>150000</v>
      </c>
      <c r="H284" t="s">
        <v>872</v>
      </c>
      <c r="I284" s="7">
        <v>0</v>
      </c>
      <c r="J284" s="7">
        <v>20000</v>
      </c>
      <c r="K284" s="7">
        <v>170000</v>
      </c>
      <c r="L284" t="s">
        <v>873</v>
      </c>
      <c r="M284" t="s">
        <v>881</v>
      </c>
      <c r="N284" t="s">
        <v>905</v>
      </c>
      <c r="O284" t="s">
        <v>887</v>
      </c>
      <c r="P284" t="s">
        <v>892</v>
      </c>
      <c r="Q284" s="7">
        <v>150000</v>
      </c>
    </row>
    <row r="285" spans="1:17">
      <c r="A285" t="s">
        <v>1180</v>
      </c>
      <c r="B285" s="6">
        <v>45722</v>
      </c>
      <c r="C285" t="s">
        <v>115</v>
      </c>
      <c r="D285" t="s">
        <v>829</v>
      </c>
      <c r="E285">
        <v>2</v>
      </c>
      <c r="F285" s="7">
        <v>500000</v>
      </c>
      <c r="G285" s="7">
        <v>1000000</v>
      </c>
      <c r="H285" t="s">
        <v>883</v>
      </c>
      <c r="I285" s="7">
        <v>100000</v>
      </c>
      <c r="J285" s="7">
        <v>10000</v>
      </c>
      <c r="K285" s="7">
        <v>910000</v>
      </c>
      <c r="L285" t="s">
        <v>873</v>
      </c>
      <c r="M285" t="s">
        <v>901</v>
      </c>
      <c r="N285" t="s">
        <v>875</v>
      </c>
      <c r="O285" t="s">
        <v>876</v>
      </c>
      <c r="P285" t="s">
        <v>877</v>
      </c>
      <c r="Q285" s="7">
        <v>900000</v>
      </c>
    </row>
    <row r="286" spans="1:17">
      <c r="A286" t="s">
        <v>1181</v>
      </c>
      <c r="B286" s="6">
        <v>45831</v>
      </c>
      <c r="C286" t="s">
        <v>502</v>
      </c>
      <c r="D286" t="s">
        <v>787</v>
      </c>
      <c r="E286">
        <v>1</v>
      </c>
      <c r="F286" s="7">
        <v>200000</v>
      </c>
      <c r="G286" s="7">
        <v>200000</v>
      </c>
      <c r="H286" t="s">
        <v>872</v>
      </c>
      <c r="I286" s="7">
        <v>0</v>
      </c>
      <c r="J286" s="7">
        <v>10000</v>
      </c>
      <c r="K286" s="7">
        <v>210000</v>
      </c>
      <c r="L286" t="s">
        <v>884</v>
      </c>
      <c r="M286" t="s">
        <v>901</v>
      </c>
      <c r="N286" t="s">
        <v>911</v>
      </c>
      <c r="O286" t="s">
        <v>915</v>
      </c>
      <c r="P286" t="s">
        <v>892</v>
      </c>
      <c r="Q286" s="7">
        <v>200000</v>
      </c>
    </row>
    <row r="287" spans="1:17">
      <c r="A287" t="s">
        <v>1182</v>
      </c>
      <c r="B287" s="6">
        <v>45835</v>
      </c>
      <c r="C287" t="s">
        <v>470</v>
      </c>
      <c r="D287" t="s">
        <v>765</v>
      </c>
      <c r="E287">
        <v>2</v>
      </c>
      <c r="F287" s="7">
        <v>500000</v>
      </c>
      <c r="G287" s="7">
        <v>1000000</v>
      </c>
      <c r="H287" t="s">
        <v>872</v>
      </c>
      <c r="I287" s="7">
        <v>0</v>
      </c>
      <c r="J287" s="7">
        <v>15000</v>
      </c>
      <c r="K287" s="7">
        <v>1015000</v>
      </c>
      <c r="L287" t="s">
        <v>880</v>
      </c>
      <c r="M287" t="s">
        <v>903</v>
      </c>
      <c r="N287" t="s">
        <v>911</v>
      </c>
      <c r="O287" t="s">
        <v>915</v>
      </c>
      <c r="P287" t="s">
        <v>892</v>
      </c>
      <c r="Q287" s="7">
        <v>1000000</v>
      </c>
    </row>
    <row r="288" spans="1:17">
      <c r="A288" t="s">
        <v>1183</v>
      </c>
      <c r="B288" s="6">
        <v>45735</v>
      </c>
      <c r="C288" t="s">
        <v>422</v>
      </c>
      <c r="D288" t="s">
        <v>827</v>
      </c>
      <c r="E288">
        <v>2</v>
      </c>
      <c r="F288" s="7">
        <v>100000</v>
      </c>
      <c r="G288" s="7">
        <v>200000</v>
      </c>
      <c r="H288" t="s">
        <v>872</v>
      </c>
      <c r="I288" s="7">
        <v>0</v>
      </c>
      <c r="J288" s="7">
        <v>25000</v>
      </c>
      <c r="K288" s="7">
        <v>225000</v>
      </c>
      <c r="L288" t="s">
        <v>884</v>
      </c>
      <c r="M288" t="s">
        <v>903</v>
      </c>
      <c r="N288" t="s">
        <v>875</v>
      </c>
      <c r="O288" t="s">
        <v>876</v>
      </c>
      <c r="P288" t="s">
        <v>877</v>
      </c>
      <c r="Q288" s="7">
        <v>200000</v>
      </c>
    </row>
    <row r="289" spans="1:17">
      <c r="A289" t="s">
        <v>1184</v>
      </c>
      <c r="B289" s="6">
        <v>45765</v>
      </c>
      <c r="C289" t="s">
        <v>340</v>
      </c>
      <c r="D289" t="s">
        <v>769</v>
      </c>
      <c r="E289">
        <v>1</v>
      </c>
      <c r="F289" s="7">
        <v>100000</v>
      </c>
      <c r="G289" s="7">
        <v>100000</v>
      </c>
      <c r="H289" t="s">
        <v>895</v>
      </c>
      <c r="I289" s="7">
        <v>15000</v>
      </c>
      <c r="J289" s="7">
        <v>10000</v>
      </c>
      <c r="K289" s="7">
        <v>95000</v>
      </c>
      <c r="L289" t="s">
        <v>880</v>
      </c>
      <c r="M289" t="s">
        <v>874</v>
      </c>
      <c r="N289" t="s">
        <v>890</v>
      </c>
      <c r="O289" t="s">
        <v>891</v>
      </c>
      <c r="P289" t="s">
        <v>892</v>
      </c>
      <c r="Q289" s="7">
        <v>85000</v>
      </c>
    </row>
    <row r="290" spans="1:17">
      <c r="A290" t="s">
        <v>1185</v>
      </c>
      <c r="B290" s="6">
        <v>45673</v>
      </c>
      <c r="C290" t="s">
        <v>154</v>
      </c>
      <c r="D290" t="s">
        <v>805</v>
      </c>
      <c r="E290">
        <v>2</v>
      </c>
      <c r="F290" s="7">
        <v>200000</v>
      </c>
      <c r="G290" s="7">
        <v>400000</v>
      </c>
      <c r="H290" t="s">
        <v>886</v>
      </c>
      <c r="I290" s="7">
        <v>40000</v>
      </c>
      <c r="J290" s="7">
        <v>25000</v>
      </c>
      <c r="K290" s="7">
        <v>385000</v>
      </c>
      <c r="L290" t="s">
        <v>873</v>
      </c>
      <c r="M290" t="s">
        <v>903</v>
      </c>
      <c r="N290" t="s">
        <v>921</v>
      </c>
      <c r="O290" t="s">
        <v>908</v>
      </c>
      <c r="P290" t="s">
        <v>892</v>
      </c>
      <c r="Q290" s="7">
        <v>360000</v>
      </c>
    </row>
    <row r="291" spans="1:17">
      <c r="A291" t="s">
        <v>1186</v>
      </c>
      <c r="B291" s="6">
        <v>45796</v>
      </c>
      <c r="C291" t="s">
        <v>196</v>
      </c>
      <c r="D291" t="s">
        <v>771</v>
      </c>
      <c r="E291">
        <v>1</v>
      </c>
      <c r="F291" s="7">
        <v>500000</v>
      </c>
      <c r="G291" s="7">
        <v>500000</v>
      </c>
      <c r="H291" t="s">
        <v>879</v>
      </c>
      <c r="I291" s="7">
        <v>100000</v>
      </c>
      <c r="J291" s="7">
        <v>25000</v>
      </c>
      <c r="K291" s="7">
        <v>425000</v>
      </c>
      <c r="L291" t="s">
        <v>889</v>
      </c>
      <c r="M291" t="s">
        <v>903</v>
      </c>
      <c r="N291" t="s">
        <v>875</v>
      </c>
      <c r="O291" t="s">
        <v>896</v>
      </c>
      <c r="P291" t="s">
        <v>877</v>
      </c>
      <c r="Q291" s="7">
        <v>400000</v>
      </c>
    </row>
    <row r="292" spans="1:17">
      <c r="A292" t="s">
        <v>1187</v>
      </c>
      <c r="B292" s="6">
        <v>45765</v>
      </c>
      <c r="C292" t="s">
        <v>588</v>
      </c>
      <c r="D292" t="s">
        <v>853</v>
      </c>
      <c r="E292">
        <v>2</v>
      </c>
      <c r="F292" s="7">
        <v>75000</v>
      </c>
      <c r="G292" s="7">
        <v>150000</v>
      </c>
      <c r="H292" t="s">
        <v>879</v>
      </c>
      <c r="I292" s="7">
        <v>30000</v>
      </c>
      <c r="J292" s="7">
        <v>15000</v>
      </c>
      <c r="K292" s="7">
        <v>135000</v>
      </c>
      <c r="L292" t="s">
        <v>880</v>
      </c>
      <c r="M292" t="s">
        <v>901</v>
      </c>
      <c r="N292" t="s">
        <v>911</v>
      </c>
      <c r="O292" t="s">
        <v>891</v>
      </c>
      <c r="P292" t="s">
        <v>892</v>
      </c>
      <c r="Q292" s="7">
        <v>120000</v>
      </c>
    </row>
    <row r="293" spans="1:17">
      <c r="A293" t="s">
        <v>1188</v>
      </c>
      <c r="B293" s="6">
        <v>45665</v>
      </c>
      <c r="C293" t="s">
        <v>300</v>
      </c>
      <c r="D293" t="s">
        <v>819</v>
      </c>
      <c r="E293">
        <v>3</v>
      </c>
      <c r="F293" s="7">
        <v>300000</v>
      </c>
      <c r="G293" s="7">
        <v>900000</v>
      </c>
      <c r="H293" t="s">
        <v>886</v>
      </c>
      <c r="I293" s="7">
        <v>90000</v>
      </c>
      <c r="J293" s="7">
        <v>10000</v>
      </c>
      <c r="K293" s="7">
        <v>820000</v>
      </c>
      <c r="L293" t="s">
        <v>889</v>
      </c>
      <c r="M293" t="s">
        <v>901</v>
      </c>
      <c r="N293" t="s">
        <v>890</v>
      </c>
      <c r="O293" t="s">
        <v>908</v>
      </c>
      <c r="P293" t="s">
        <v>892</v>
      </c>
      <c r="Q293" s="7">
        <v>810000</v>
      </c>
    </row>
    <row r="294" spans="1:17">
      <c r="A294" t="s">
        <v>1189</v>
      </c>
      <c r="B294" s="6">
        <v>45741</v>
      </c>
      <c r="C294" t="s">
        <v>194</v>
      </c>
      <c r="D294" t="s">
        <v>835</v>
      </c>
      <c r="E294">
        <v>3</v>
      </c>
      <c r="F294" s="7">
        <v>200000</v>
      </c>
      <c r="G294" s="7">
        <v>600000</v>
      </c>
      <c r="H294" t="s">
        <v>872</v>
      </c>
      <c r="I294" s="7">
        <v>0</v>
      </c>
      <c r="J294" s="7">
        <v>30000</v>
      </c>
      <c r="K294" s="7">
        <v>630000</v>
      </c>
      <c r="L294" t="s">
        <v>873</v>
      </c>
      <c r="M294" t="s">
        <v>901</v>
      </c>
      <c r="N294" t="s">
        <v>905</v>
      </c>
      <c r="O294" t="s">
        <v>876</v>
      </c>
      <c r="P294" t="s">
        <v>892</v>
      </c>
      <c r="Q294" s="7">
        <v>600000</v>
      </c>
    </row>
    <row r="295" spans="1:17">
      <c r="A295" t="s">
        <v>1190</v>
      </c>
      <c r="B295" s="6">
        <v>45813</v>
      </c>
      <c r="C295" t="s">
        <v>528</v>
      </c>
      <c r="D295" t="s">
        <v>821</v>
      </c>
      <c r="E295">
        <v>2</v>
      </c>
      <c r="F295" s="7">
        <v>50000</v>
      </c>
      <c r="G295" s="7">
        <v>100000</v>
      </c>
      <c r="H295" t="s">
        <v>886</v>
      </c>
      <c r="I295" s="7">
        <v>10000</v>
      </c>
      <c r="J295" s="7">
        <v>20000</v>
      </c>
      <c r="K295" s="7">
        <v>110000</v>
      </c>
      <c r="L295" t="s">
        <v>884</v>
      </c>
      <c r="M295" t="s">
        <v>903</v>
      </c>
      <c r="N295" t="s">
        <v>875</v>
      </c>
      <c r="O295" t="s">
        <v>915</v>
      </c>
      <c r="P295" t="s">
        <v>877</v>
      </c>
      <c r="Q295" s="7">
        <v>90000</v>
      </c>
    </row>
    <row r="296" spans="1:17">
      <c r="A296" t="s">
        <v>1191</v>
      </c>
      <c r="B296" s="6">
        <v>45679</v>
      </c>
      <c r="C296" t="s">
        <v>220</v>
      </c>
      <c r="D296" t="s">
        <v>789</v>
      </c>
      <c r="E296">
        <v>1</v>
      </c>
      <c r="F296" s="7">
        <v>200000</v>
      </c>
      <c r="G296" s="7">
        <v>200000</v>
      </c>
      <c r="H296" t="s">
        <v>872</v>
      </c>
      <c r="I296" s="7">
        <v>0</v>
      </c>
      <c r="J296" s="7">
        <v>10000</v>
      </c>
      <c r="K296" s="7">
        <v>210000</v>
      </c>
      <c r="L296" t="s">
        <v>880</v>
      </c>
      <c r="M296" t="s">
        <v>901</v>
      </c>
      <c r="N296" t="s">
        <v>875</v>
      </c>
      <c r="O296" t="s">
        <v>908</v>
      </c>
      <c r="P296" t="s">
        <v>877</v>
      </c>
      <c r="Q296" s="7">
        <v>200000</v>
      </c>
    </row>
    <row r="297" spans="1:17">
      <c r="A297" t="s">
        <v>1192</v>
      </c>
      <c r="B297" s="6">
        <v>45812</v>
      </c>
      <c r="C297" t="s">
        <v>85</v>
      </c>
      <c r="D297" t="s">
        <v>837</v>
      </c>
      <c r="E297">
        <v>1</v>
      </c>
      <c r="F297" s="7">
        <v>300000</v>
      </c>
      <c r="G297" s="7">
        <v>300000</v>
      </c>
      <c r="H297" t="s">
        <v>886</v>
      </c>
      <c r="I297" s="7">
        <v>30000</v>
      </c>
      <c r="J297" s="7">
        <v>25000</v>
      </c>
      <c r="K297" s="7">
        <v>295000</v>
      </c>
      <c r="L297" t="s">
        <v>873</v>
      </c>
      <c r="M297" t="s">
        <v>901</v>
      </c>
      <c r="N297" t="s">
        <v>875</v>
      </c>
      <c r="O297" t="s">
        <v>915</v>
      </c>
      <c r="P297" t="s">
        <v>877</v>
      </c>
      <c r="Q297" s="7">
        <v>270000</v>
      </c>
    </row>
    <row r="298" spans="1:17">
      <c r="A298" t="s">
        <v>1193</v>
      </c>
      <c r="B298" s="6">
        <v>45774</v>
      </c>
      <c r="C298" t="s">
        <v>206</v>
      </c>
      <c r="D298" t="s">
        <v>805</v>
      </c>
      <c r="E298">
        <v>1</v>
      </c>
      <c r="F298" s="7">
        <v>200000</v>
      </c>
      <c r="G298" s="7">
        <v>200000</v>
      </c>
      <c r="H298" t="s">
        <v>886</v>
      </c>
      <c r="I298" s="7">
        <v>20000</v>
      </c>
      <c r="J298" s="7">
        <v>30000</v>
      </c>
      <c r="K298" s="7">
        <v>210000</v>
      </c>
      <c r="L298" t="s">
        <v>884</v>
      </c>
      <c r="M298" t="s">
        <v>903</v>
      </c>
      <c r="N298" t="s">
        <v>921</v>
      </c>
      <c r="O298" t="s">
        <v>891</v>
      </c>
      <c r="P298" t="s">
        <v>892</v>
      </c>
      <c r="Q298" s="7">
        <v>180000</v>
      </c>
    </row>
    <row r="299" spans="1:17">
      <c r="A299" t="s">
        <v>1194</v>
      </c>
      <c r="B299" s="6">
        <v>45773</v>
      </c>
      <c r="C299" t="s">
        <v>716</v>
      </c>
      <c r="D299" t="s">
        <v>775</v>
      </c>
      <c r="E299">
        <v>2</v>
      </c>
      <c r="F299" s="7">
        <v>75000</v>
      </c>
      <c r="G299" s="7">
        <v>150000</v>
      </c>
      <c r="H299" t="s">
        <v>879</v>
      </c>
      <c r="I299" s="7">
        <v>30000</v>
      </c>
      <c r="J299" s="7">
        <v>15000</v>
      </c>
      <c r="K299" s="7">
        <v>135000</v>
      </c>
      <c r="L299" t="s">
        <v>873</v>
      </c>
      <c r="M299" t="s">
        <v>903</v>
      </c>
      <c r="N299" t="s">
        <v>875</v>
      </c>
      <c r="O299" t="s">
        <v>891</v>
      </c>
      <c r="P299" t="s">
        <v>877</v>
      </c>
      <c r="Q299" s="7">
        <v>120000</v>
      </c>
    </row>
    <row r="300" spans="1:17">
      <c r="A300" t="s">
        <v>1195</v>
      </c>
      <c r="B300" s="6">
        <v>45766</v>
      </c>
      <c r="C300" t="s">
        <v>250</v>
      </c>
      <c r="D300" t="s">
        <v>781</v>
      </c>
      <c r="E300">
        <v>1</v>
      </c>
      <c r="F300" s="7">
        <v>50000</v>
      </c>
      <c r="G300" s="7">
        <v>50000</v>
      </c>
      <c r="H300" t="s">
        <v>872</v>
      </c>
      <c r="I300" s="7">
        <v>0</v>
      </c>
      <c r="J300" s="7">
        <v>10000</v>
      </c>
      <c r="K300" s="7">
        <v>60000</v>
      </c>
      <c r="L300" t="s">
        <v>873</v>
      </c>
      <c r="M300" t="s">
        <v>901</v>
      </c>
      <c r="N300" t="s">
        <v>905</v>
      </c>
      <c r="O300" t="s">
        <v>891</v>
      </c>
      <c r="P300" t="s">
        <v>892</v>
      </c>
      <c r="Q300" s="7">
        <v>50000</v>
      </c>
    </row>
    <row r="301" spans="1:17">
      <c r="A301" t="s">
        <v>1196</v>
      </c>
      <c r="B301" s="6">
        <v>45679</v>
      </c>
      <c r="C301" t="s">
        <v>492</v>
      </c>
      <c r="D301" t="s">
        <v>817</v>
      </c>
      <c r="E301">
        <v>2</v>
      </c>
      <c r="F301" s="7">
        <v>75000</v>
      </c>
      <c r="G301" s="7">
        <v>150000</v>
      </c>
      <c r="H301" t="s">
        <v>886</v>
      </c>
      <c r="I301" s="7">
        <v>15000</v>
      </c>
      <c r="J301" s="7">
        <v>20000</v>
      </c>
      <c r="K301" s="7">
        <v>155000</v>
      </c>
      <c r="L301" t="s">
        <v>873</v>
      </c>
      <c r="M301" t="s">
        <v>874</v>
      </c>
      <c r="N301" t="s">
        <v>875</v>
      </c>
      <c r="O301" t="s">
        <v>908</v>
      </c>
      <c r="P301" t="s">
        <v>877</v>
      </c>
      <c r="Q301" s="7">
        <v>135000</v>
      </c>
    </row>
    <row r="302" spans="1:17">
      <c r="A302" t="s">
        <v>1197</v>
      </c>
      <c r="B302" s="6">
        <v>45733</v>
      </c>
      <c r="C302" t="s">
        <v>582</v>
      </c>
      <c r="D302" t="s">
        <v>837</v>
      </c>
      <c r="E302">
        <v>1</v>
      </c>
      <c r="F302" s="7">
        <v>300000</v>
      </c>
      <c r="G302" s="7">
        <v>300000</v>
      </c>
      <c r="H302" t="s">
        <v>879</v>
      </c>
      <c r="I302" s="7">
        <v>60000</v>
      </c>
      <c r="J302" s="7">
        <v>30000</v>
      </c>
      <c r="K302" s="7">
        <v>270000</v>
      </c>
      <c r="L302" t="s">
        <v>884</v>
      </c>
      <c r="M302" t="s">
        <v>881</v>
      </c>
      <c r="N302" t="s">
        <v>875</v>
      </c>
      <c r="O302" t="s">
        <v>876</v>
      </c>
      <c r="P302" t="s">
        <v>877</v>
      </c>
      <c r="Q302" s="7">
        <v>240000</v>
      </c>
    </row>
    <row r="303" spans="1:17">
      <c r="A303" t="s">
        <v>1198</v>
      </c>
      <c r="B303" s="6">
        <v>45806</v>
      </c>
      <c r="C303" t="s">
        <v>282</v>
      </c>
      <c r="D303" t="s">
        <v>781</v>
      </c>
      <c r="E303">
        <v>1</v>
      </c>
      <c r="F303" s="7">
        <v>50000</v>
      </c>
      <c r="G303" s="7">
        <v>50000</v>
      </c>
      <c r="H303" t="s">
        <v>886</v>
      </c>
      <c r="I303" s="7">
        <v>5000</v>
      </c>
      <c r="J303" s="7">
        <v>10000</v>
      </c>
      <c r="K303" s="7">
        <v>55000</v>
      </c>
      <c r="L303" t="s">
        <v>884</v>
      </c>
      <c r="M303" t="s">
        <v>901</v>
      </c>
      <c r="N303" t="s">
        <v>911</v>
      </c>
      <c r="O303" t="s">
        <v>896</v>
      </c>
      <c r="P303" t="s">
        <v>892</v>
      </c>
      <c r="Q303" s="7">
        <v>45000</v>
      </c>
    </row>
    <row r="304" spans="1:17">
      <c r="A304" t="s">
        <v>1199</v>
      </c>
      <c r="B304" s="6">
        <v>45769</v>
      </c>
      <c r="C304" t="s">
        <v>312</v>
      </c>
      <c r="D304" t="s">
        <v>831</v>
      </c>
      <c r="E304">
        <v>4</v>
      </c>
      <c r="F304" s="7">
        <v>300000</v>
      </c>
      <c r="G304" s="7">
        <v>1200000</v>
      </c>
      <c r="H304" t="s">
        <v>872</v>
      </c>
      <c r="I304" s="7">
        <v>0</v>
      </c>
      <c r="J304" s="7">
        <v>20000</v>
      </c>
      <c r="K304" s="7">
        <v>1220000</v>
      </c>
      <c r="L304" t="s">
        <v>873</v>
      </c>
      <c r="M304" t="s">
        <v>881</v>
      </c>
      <c r="N304" t="s">
        <v>875</v>
      </c>
      <c r="O304" t="s">
        <v>891</v>
      </c>
      <c r="P304" t="s">
        <v>877</v>
      </c>
      <c r="Q304" s="7">
        <v>1200000</v>
      </c>
    </row>
    <row r="305" spans="1:17">
      <c r="A305" t="s">
        <v>1200</v>
      </c>
      <c r="B305" s="6">
        <v>45822</v>
      </c>
      <c r="C305" t="s">
        <v>408</v>
      </c>
      <c r="D305" t="s">
        <v>829</v>
      </c>
      <c r="E305">
        <v>1</v>
      </c>
      <c r="F305" s="7">
        <v>500000</v>
      </c>
      <c r="G305" s="7">
        <v>500000</v>
      </c>
      <c r="H305" t="s">
        <v>895</v>
      </c>
      <c r="I305" s="7">
        <v>75000</v>
      </c>
      <c r="J305" s="7">
        <v>15000</v>
      </c>
      <c r="K305" s="7">
        <v>440000</v>
      </c>
      <c r="L305" t="s">
        <v>884</v>
      </c>
      <c r="M305" t="s">
        <v>903</v>
      </c>
      <c r="N305" t="s">
        <v>905</v>
      </c>
      <c r="O305" t="s">
        <v>915</v>
      </c>
      <c r="P305" t="s">
        <v>892</v>
      </c>
      <c r="Q305" s="7">
        <v>425000</v>
      </c>
    </row>
    <row r="306" spans="1:17">
      <c r="A306" t="s">
        <v>1201</v>
      </c>
      <c r="B306" s="6">
        <v>45661</v>
      </c>
      <c r="C306" t="s">
        <v>664</v>
      </c>
      <c r="D306" t="s">
        <v>803</v>
      </c>
      <c r="E306">
        <v>1</v>
      </c>
      <c r="F306" s="7">
        <v>50000</v>
      </c>
      <c r="G306" s="7">
        <v>50000</v>
      </c>
      <c r="H306" t="s">
        <v>872</v>
      </c>
      <c r="I306" s="7">
        <v>0</v>
      </c>
      <c r="J306" s="7">
        <v>30000</v>
      </c>
      <c r="K306" s="7">
        <v>80000</v>
      </c>
      <c r="L306" t="s">
        <v>889</v>
      </c>
      <c r="M306" t="s">
        <v>874</v>
      </c>
      <c r="N306" t="s">
        <v>875</v>
      </c>
      <c r="O306" t="s">
        <v>908</v>
      </c>
      <c r="P306" t="s">
        <v>877</v>
      </c>
      <c r="Q306" s="7">
        <v>50000</v>
      </c>
    </row>
    <row r="307" spans="1:17">
      <c r="A307" t="s">
        <v>1202</v>
      </c>
      <c r="B307" s="6">
        <v>45752</v>
      </c>
      <c r="C307" t="s">
        <v>526</v>
      </c>
      <c r="D307" t="s">
        <v>841</v>
      </c>
      <c r="E307">
        <v>3</v>
      </c>
      <c r="F307" s="7">
        <v>75000</v>
      </c>
      <c r="G307" s="7">
        <v>225000</v>
      </c>
      <c r="H307" t="s">
        <v>886</v>
      </c>
      <c r="I307" s="7">
        <v>22500</v>
      </c>
      <c r="J307" s="7">
        <v>30000</v>
      </c>
      <c r="K307" s="7">
        <v>232500</v>
      </c>
      <c r="L307" t="s">
        <v>884</v>
      </c>
      <c r="M307" t="s">
        <v>874</v>
      </c>
      <c r="N307" t="s">
        <v>875</v>
      </c>
      <c r="O307" t="s">
        <v>891</v>
      </c>
      <c r="P307" t="s">
        <v>877</v>
      </c>
      <c r="Q307" s="7">
        <v>202500</v>
      </c>
    </row>
    <row r="308" spans="1:17">
      <c r="A308" t="s">
        <v>1203</v>
      </c>
      <c r="B308" s="6">
        <v>45714</v>
      </c>
      <c r="C308" t="s">
        <v>294</v>
      </c>
      <c r="D308" t="s">
        <v>815</v>
      </c>
      <c r="E308">
        <v>4</v>
      </c>
      <c r="F308" s="7">
        <v>75000</v>
      </c>
      <c r="G308" s="7">
        <v>300000</v>
      </c>
      <c r="H308" t="s">
        <v>872</v>
      </c>
      <c r="I308" s="7">
        <v>0</v>
      </c>
      <c r="J308" s="7">
        <v>20000</v>
      </c>
      <c r="K308" s="7">
        <v>320000</v>
      </c>
      <c r="L308" t="s">
        <v>889</v>
      </c>
      <c r="M308" t="s">
        <v>874</v>
      </c>
      <c r="N308" t="s">
        <v>875</v>
      </c>
      <c r="O308" t="s">
        <v>887</v>
      </c>
      <c r="P308" t="s">
        <v>877</v>
      </c>
      <c r="Q308" s="7">
        <v>300000</v>
      </c>
    </row>
    <row r="309" spans="1:17">
      <c r="A309" t="s">
        <v>1204</v>
      </c>
      <c r="B309" s="6">
        <v>45743</v>
      </c>
      <c r="C309" t="s">
        <v>624</v>
      </c>
      <c r="D309" t="s">
        <v>737</v>
      </c>
      <c r="E309">
        <v>2</v>
      </c>
      <c r="F309" s="7">
        <v>300000</v>
      </c>
      <c r="G309" s="7">
        <v>600000</v>
      </c>
      <c r="H309" t="s">
        <v>895</v>
      </c>
      <c r="I309" s="7">
        <v>90000</v>
      </c>
      <c r="J309" s="7">
        <v>30000</v>
      </c>
      <c r="K309" s="7">
        <v>540000</v>
      </c>
      <c r="L309" t="s">
        <v>873</v>
      </c>
      <c r="M309" t="s">
        <v>874</v>
      </c>
      <c r="N309" t="s">
        <v>875</v>
      </c>
      <c r="O309" t="s">
        <v>876</v>
      </c>
      <c r="P309" t="s">
        <v>877</v>
      </c>
      <c r="Q309" s="7">
        <v>510000</v>
      </c>
    </row>
    <row r="310" spans="1:17">
      <c r="A310" t="s">
        <v>1205</v>
      </c>
      <c r="B310" s="6">
        <v>45798</v>
      </c>
      <c r="C310" t="s">
        <v>704</v>
      </c>
      <c r="D310" t="s">
        <v>851</v>
      </c>
      <c r="E310">
        <v>1</v>
      </c>
      <c r="F310" s="7">
        <v>35000</v>
      </c>
      <c r="G310" s="7">
        <v>35000</v>
      </c>
      <c r="H310" t="s">
        <v>883</v>
      </c>
      <c r="I310" s="7">
        <v>3500</v>
      </c>
      <c r="J310" s="7">
        <v>10000</v>
      </c>
      <c r="K310" s="7">
        <v>41500</v>
      </c>
      <c r="L310" t="s">
        <v>880</v>
      </c>
      <c r="M310" t="s">
        <v>874</v>
      </c>
      <c r="N310" t="s">
        <v>911</v>
      </c>
      <c r="O310" t="s">
        <v>896</v>
      </c>
      <c r="P310" t="s">
        <v>892</v>
      </c>
      <c r="Q310" s="7">
        <v>31500</v>
      </c>
    </row>
    <row r="311" spans="1:17">
      <c r="A311" t="s">
        <v>1206</v>
      </c>
      <c r="B311" s="6">
        <v>45783</v>
      </c>
      <c r="C311" t="s">
        <v>111</v>
      </c>
      <c r="D311" t="s">
        <v>843</v>
      </c>
      <c r="E311">
        <v>2</v>
      </c>
      <c r="F311" s="7">
        <v>100000</v>
      </c>
      <c r="G311" s="7">
        <v>200000</v>
      </c>
      <c r="H311" t="s">
        <v>886</v>
      </c>
      <c r="I311" s="7">
        <v>20000</v>
      </c>
      <c r="J311" s="7">
        <v>10000</v>
      </c>
      <c r="K311" s="7">
        <v>190000</v>
      </c>
      <c r="L311" t="s">
        <v>873</v>
      </c>
      <c r="M311" t="s">
        <v>901</v>
      </c>
      <c r="N311" t="s">
        <v>921</v>
      </c>
      <c r="O311" t="s">
        <v>896</v>
      </c>
      <c r="P311" t="s">
        <v>892</v>
      </c>
      <c r="Q311" s="7">
        <v>180000</v>
      </c>
    </row>
    <row r="312" spans="1:17">
      <c r="A312" t="s">
        <v>1207</v>
      </c>
      <c r="B312" s="6">
        <v>45673</v>
      </c>
      <c r="C312" t="s">
        <v>135</v>
      </c>
      <c r="D312" t="s">
        <v>845</v>
      </c>
      <c r="E312">
        <v>4</v>
      </c>
      <c r="F312" s="7">
        <v>300000</v>
      </c>
      <c r="G312" s="7">
        <v>1200000</v>
      </c>
      <c r="H312" t="s">
        <v>895</v>
      </c>
      <c r="I312" s="7">
        <v>180000</v>
      </c>
      <c r="J312" s="7">
        <v>10000</v>
      </c>
      <c r="K312" s="7">
        <v>1030000</v>
      </c>
      <c r="L312" t="s">
        <v>889</v>
      </c>
      <c r="M312" t="s">
        <v>903</v>
      </c>
      <c r="N312" t="s">
        <v>890</v>
      </c>
      <c r="O312" t="s">
        <v>908</v>
      </c>
      <c r="P312" t="s">
        <v>892</v>
      </c>
      <c r="Q312" s="7">
        <v>1020000</v>
      </c>
    </row>
    <row r="313" spans="1:17">
      <c r="A313" t="s">
        <v>1208</v>
      </c>
      <c r="B313" s="6">
        <v>45796</v>
      </c>
      <c r="C313" t="s">
        <v>32</v>
      </c>
      <c r="D313" t="s">
        <v>779</v>
      </c>
      <c r="E313">
        <v>1</v>
      </c>
      <c r="F313" s="7">
        <v>150000</v>
      </c>
      <c r="G313" s="7">
        <v>150000</v>
      </c>
      <c r="H313" t="s">
        <v>895</v>
      </c>
      <c r="I313" s="7">
        <v>22500</v>
      </c>
      <c r="J313" s="7">
        <v>30000</v>
      </c>
      <c r="K313" s="7">
        <v>157500</v>
      </c>
      <c r="L313" t="s">
        <v>880</v>
      </c>
      <c r="M313" t="s">
        <v>881</v>
      </c>
      <c r="N313" t="s">
        <v>875</v>
      </c>
      <c r="O313" t="s">
        <v>896</v>
      </c>
      <c r="P313" t="s">
        <v>877</v>
      </c>
      <c r="Q313" s="7">
        <v>127500</v>
      </c>
    </row>
    <row r="314" spans="1:17">
      <c r="A314" t="s">
        <v>1209</v>
      </c>
      <c r="B314" s="6">
        <v>45758</v>
      </c>
      <c r="C314" t="s">
        <v>222</v>
      </c>
      <c r="D314" t="s">
        <v>833</v>
      </c>
      <c r="E314">
        <v>1</v>
      </c>
      <c r="F314" s="7">
        <v>200000</v>
      </c>
      <c r="G314" s="7">
        <v>200000</v>
      </c>
      <c r="H314" t="s">
        <v>879</v>
      </c>
      <c r="I314" s="7">
        <v>40000</v>
      </c>
      <c r="J314" s="7">
        <v>15000</v>
      </c>
      <c r="K314" s="7">
        <v>175000</v>
      </c>
      <c r="L314" t="s">
        <v>889</v>
      </c>
      <c r="M314" t="s">
        <v>901</v>
      </c>
      <c r="N314" t="s">
        <v>890</v>
      </c>
      <c r="O314" t="s">
        <v>891</v>
      </c>
      <c r="P314" t="s">
        <v>892</v>
      </c>
      <c r="Q314" s="7">
        <v>160000</v>
      </c>
    </row>
    <row r="315" spans="1:17">
      <c r="A315" t="s">
        <v>1210</v>
      </c>
      <c r="B315" s="6">
        <v>45761</v>
      </c>
      <c r="C315" t="s">
        <v>560</v>
      </c>
      <c r="D315" t="s">
        <v>799</v>
      </c>
      <c r="E315">
        <v>4</v>
      </c>
      <c r="F315" s="7">
        <v>35000</v>
      </c>
      <c r="G315" s="7">
        <v>140000</v>
      </c>
      <c r="H315" t="s">
        <v>872</v>
      </c>
      <c r="I315" s="7">
        <v>0</v>
      </c>
      <c r="J315" s="7">
        <v>30000</v>
      </c>
      <c r="K315" s="7">
        <v>170000</v>
      </c>
      <c r="L315" t="s">
        <v>880</v>
      </c>
      <c r="M315" t="s">
        <v>881</v>
      </c>
      <c r="N315" t="s">
        <v>875</v>
      </c>
      <c r="O315" t="s">
        <v>891</v>
      </c>
      <c r="P315" t="s">
        <v>877</v>
      </c>
      <c r="Q315" s="7">
        <v>140000</v>
      </c>
    </row>
    <row r="316" spans="1:17">
      <c r="A316" t="s">
        <v>1211</v>
      </c>
      <c r="B316" s="6">
        <v>45783</v>
      </c>
      <c r="C316" t="s">
        <v>644</v>
      </c>
      <c r="D316" t="s">
        <v>769</v>
      </c>
      <c r="E316">
        <v>1</v>
      </c>
      <c r="F316" s="7">
        <v>100000</v>
      </c>
      <c r="G316" s="7">
        <v>100000</v>
      </c>
      <c r="H316" t="s">
        <v>872</v>
      </c>
      <c r="I316" s="7">
        <v>0</v>
      </c>
      <c r="J316" s="7">
        <v>25000</v>
      </c>
      <c r="K316" s="7">
        <v>125000</v>
      </c>
      <c r="L316" t="s">
        <v>889</v>
      </c>
      <c r="M316" t="s">
        <v>901</v>
      </c>
      <c r="N316" t="s">
        <v>905</v>
      </c>
      <c r="O316" t="s">
        <v>896</v>
      </c>
      <c r="P316" t="s">
        <v>892</v>
      </c>
      <c r="Q316" s="7">
        <v>100000</v>
      </c>
    </row>
    <row r="317" spans="1:17">
      <c r="A317" t="s">
        <v>1212</v>
      </c>
      <c r="B317" s="6">
        <v>45709</v>
      </c>
      <c r="C317" t="s">
        <v>508</v>
      </c>
      <c r="D317" t="s">
        <v>733</v>
      </c>
      <c r="E317">
        <v>1</v>
      </c>
      <c r="F317" s="7">
        <v>150000</v>
      </c>
      <c r="G317" s="7">
        <v>150000</v>
      </c>
      <c r="H317" t="s">
        <v>872</v>
      </c>
      <c r="I317" s="7">
        <v>0</v>
      </c>
      <c r="J317" s="7">
        <v>10000</v>
      </c>
      <c r="K317" s="7">
        <v>160000</v>
      </c>
      <c r="L317" t="s">
        <v>873</v>
      </c>
      <c r="M317" t="s">
        <v>881</v>
      </c>
      <c r="N317" t="s">
        <v>890</v>
      </c>
      <c r="O317" t="s">
        <v>887</v>
      </c>
      <c r="P317" t="s">
        <v>892</v>
      </c>
      <c r="Q317" s="7">
        <v>150000</v>
      </c>
    </row>
    <row r="318" spans="1:17">
      <c r="A318" t="s">
        <v>1213</v>
      </c>
      <c r="B318" s="6">
        <v>45738</v>
      </c>
      <c r="C318" t="s">
        <v>560</v>
      </c>
      <c r="D318" t="s">
        <v>807</v>
      </c>
      <c r="E318">
        <v>2</v>
      </c>
      <c r="F318" s="7">
        <v>150000</v>
      </c>
      <c r="G318" s="7">
        <v>300000</v>
      </c>
      <c r="H318" t="s">
        <v>872</v>
      </c>
      <c r="I318" s="7">
        <v>0</v>
      </c>
      <c r="J318" s="7">
        <v>15000</v>
      </c>
      <c r="K318" s="7">
        <v>315000</v>
      </c>
      <c r="L318" t="s">
        <v>889</v>
      </c>
      <c r="M318" t="s">
        <v>874</v>
      </c>
      <c r="N318" t="s">
        <v>875</v>
      </c>
      <c r="O318" t="s">
        <v>876</v>
      </c>
      <c r="P318" t="s">
        <v>877</v>
      </c>
      <c r="Q318" s="7">
        <v>300000</v>
      </c>
    </row>
    <row r="319" spans="1:17">
      <c r="A319" t="s">
        <v>1214</v>
      </c>
      <c r="B319" s="6">
        <v>45690</v>
      </c>
      <c r="C319" t="s">
        <v>558</v>
      </c>
      <c r="D319" t="s">
        <v>803</v>
      </c>
      <c r="E319">
        <v>2</v>
      </c>
      <c r="F319" s="7">
        <v>50000</v>
      </c>
      <c r="G319" s="7">
        <v>100000</v>
      </c>
      <c r="H319" t="s">
        <v>883</v>
      </c>
      <c r="I319" s="7">
        <v>10000</v>
      </c>
      <c r="J319" s="7">
        <v>10000</v>
      </c>
      <c r="K319" s="7">
        <v>100000</v>
      </c>
      <c r="L319" t="s">
        <v>884</v>
      </c>
      <c r="M319" t="s">
        <v>901</v>
      </c>
      <c r="N319" t="s">
        <v>875</v>
      </c>
      <c r="O319" t="s">
        <v>887</v>
      </c>
      <c r="P319" t="s">
        <v>877</v>
      </c>
      <c r="Q319" s="7">
        <v>90000</v>
      </c>
    </row>
    <row r="320" spans="1:17">
      <c r="A320" t="s">
        <v>1215</v>
      </c>
      <c r="B320" s="6">
        <v>45834</v>
      </c>
      <c r="C320" t="s">
        <v>354</v>
      </c>
      <c r="D320" t="s">
        <v>773</v>
      </c>
      <c r="E320">
        <v>2</v>
      </c>
      <c r="F320" s="7">
        <v>500000</v>
      </c>
      <c r="G320" s="7">
        <v>1000000</v>
      </c>
      <c r="H320" t="s">
        <v>872</v>
      </c>
      <c r="I320" s="7">
        <v>0</v>
      </c>
      <c r="J320" s="7">
        <v>20000</v>
      </c>
      <c r="K320" s="7">
        <v>1020000</v>
      </c>
      <c r="L320" t="s">
        <v>873</v>
      </c>
      <c r="M320" t="s">
        <v>903</v>
      </c>
      <c r="N320" t="s">
        <v>875</v>
      </c>
      <c r="O320" t="s">
        <v>915</v>
      </c>
      <c r="P320" t="s">
        <v>877</v>
      </c>
      <c r="Q320" s="7">
        <v>1000000</v>
      </c>
    </row>
    <row r="321" spans="1:17">
      <c r="A321" t="s">
        <v>1216</v>
      </c>
      <c r="B321" s="6">
        <v>45804</v>
      </c>
      <c r="C321" t="s">
        <v>426</v>
      </c>
      <c r="D321" t="s">
        <v>767</v>
      </c>
      <c r="E321">
        <v>1</v>
      </c>
      <c r="F321" s="7">
        <v>150000</v>
      </c>
      <c r="G321" s="7">
        <v>150000</v>
      </c>
      <c r="H321" t="s">
        <v>872</v>
      </c>
      <c r="I321" s="7">
        <v>0</v>
      </c>
      <c r="J321" s="7">
        <v>15000</v>
      </c>
      <c r="K321" s="7">
        <v>165000</v>
      </c>
      <c r="L321" t="s">
        <v>880</v>
      </c>
      <c r="M321" t="s">
        <v>881</v>
      </c>
      <c r="N321" t="s">
        <v>905</v>
      </c>
      <c r="O321" t="s">
        <v>896</v>
      </c>
      <c r="P321" t="s">
        <v>892</v>
      </c>
      <c r="Q321" s="7">
        <v>150000</v>
      </c>
    </row>
    <row r="322" spans="1:17">
      <c r="A322" t="s">
        <v>1217</v>
      </c>
      <c r="B322" s="6">
        <v>45777</v>
      </c>
      <c r="C322" t="s">
        <v>61</v>
      </c>
      <c r="D322" t="s">
        <v>837</v>
      </c>
      <c r="E322">
        <v>1</v>
      </c>
      <c r="F322" s="7">
        <v>300000</v>
      </c>
      <c r="G322" s="7">
        <v>300000</v>
      </c>
      <c r="H322" t="s">
        <v>879</v>
      </c>
      <c r="I322" s="7">
        <v>60000</v>
      </c>
      <c r="J322" s="7">
        <v>15000</v>
      </c>
      <c r="K322" s="7">
        <v>255000</v>
      </c>
      <c r="L322" t="s">
        <v>884</v>
      </c>
      <c r="M322" t="s">
        <v>874</v>
      </c>
      <c r="N322" t="s">
        <v>890</v>
      </c>
      <c r="O322" t="s">
        <v>891</v>
      </c>
      <c r="P322" t="s">
        <v>892</v>
      </c>
      <c r="Q322" s="7">
        <v>240000</v>
      </c>
    </row>
    <row r="323" spans="1:17">
      <c r="A323" t="s">
        <v>1218</v>
      </c>
      <c r="B323" s="6">
        <v>45673</v>
      </c>
      <c r="C323" t="s">
        <v>184</v>
      </c>
      <c r="D323" t="s">
        <v>837</v>
      </c>
      <c r="E323">
        <v>1</v>
      </c>
      <c r="F323" s="7">
        <v>300000</v>
      </c>
      <c r="G323" s="7">
        <v>300000</v>
      </c>
      <c r="H323" t="s">
        <v>886</v>
      </c>
      <c r="I323" s="7">
        <v>30000</v>
      </c>
      <c r="J323" s="7">
        <v>30000</v>
      </c>
      <c r="K323" s="7">
        <v>300000</v>
      </c>
      <c r="L323" t="s">
        <v>889</v>
      </c>
      <c r="M323" t="s">
        <v>901</v>
      </c>
      <c r="N323" t="s">
        <v>875</v>
      </c>
      <c r="O323" t="s">
        <v>908</v>
      </c>
      <c r="P323" t="s">
        <v>877</v>
      </c>
      <c r="Q323" s="7">
        <v>270000</v>
      </c>
    </row>
    <row r="324" spans="1:17">
      <c r="A324" t="s">
        <v>1219</v>
      </c>
      <c r="B324" s="6">
        <v>45732</v>
      </c>
      <c r="C324" t="s">
        <v>584</v>
      </c>
      <c r="D324" t="s">
        <v>759</v>
      </c>
      <c r="E324">
        <v>1</v>
      </c>
      <c r="F324" s="7">
        <v>300000</v>
      </c>
      <c r="G324" s="7">
        <v>300000</v>
      </c>
      <c r="H324" t="s">
        <v>872</v>
      </c>
      <c r="I324" s="7">
        <v>0</v>
      </c>
      <c r="J324" s="7">
        <v>20000</v>
      </c>
      <c r="K324" s="7">
        <v>320000</v>
      </c>
      <c r="L324" t="s">
        <v>884</v>
      </c>
      <c r="M324" t="s">
        <v>874</v>
      </c>
      <c r="N324" t="s">
        <v>911</v>
      </c>
      <c r="O324" t="s">
        <v>876</v>
      </c>
      <c r="P324" t="s">
        <v>892</v>
      </c>
      <c r="Q324" s="7">
        <v>300000</v>
      </c>
    </row>
    <row r="325" spans="1:17">
      <c r="A325" t="s">
        <v>1220</v>
      </c>
      <c r="B325" s="6">
        <v>45690</v>
      </c>
      <c r="C325" t="s">
        <v>654</v>
      </c>
      <c r="D325" t="s">
        <v>835</v>
      </c>
      <c r="E325">
        <v>1</v>
      </c>
      <c r="F325" s="7">
        <v>200000</v>
      </c>
      <c r="G325" s="7">
        <v>200000</v>
      </c>
      <c r="H325" t="s">
        <v>872</v>
      </c>
      <c r="I325" s="7">
        <v>0</v>
      </c>
      <c r="J325" s="7">
        <v>25000</v>
      </c>
      <c r="K325" s="7">
        <v>225000</v>
      </c>
      <c r="L325" t="s">
        <v>884</v>
      </c>
      <c r="M325" t="s">
        <v>903</v>
      </c>
      <c r="N325" t="s">
        <v>890</v>
      </c>
      <c r="O325" t="s">
        <v>887</v>
      </c>
      <c r="P325" t="s">
        <v>892</v>
      </c>
      <c r="Q325" s="7">
        <v>200000</v>
      </c>
    </row>
    <row r="326" spans="1:17">
      <c r="A326" t="s">
        <v>1221</v>
      </c>
      <c r="B326" s="6">
        <v>45690</v>
      </c>
      <c r="C326" t="s">
        <v>300</v>
      </c>
      <c r="D326" t="s">
        <v>775</v>
      </c>
      <c r="E326">
        <v>3</v>
      </c>
      <c r="F326" s="7">
        <v>75000</v>
      </c>
      <c r="G326" s="7">
        <v>225000</v>
      </c>
      <c r="H326" t="s">
        <v>872</v>
      </c>
      <c r="I326" s="7">
        <v>0</v>
      </c>
      <c r="J326" s="7">
        <v>30000</v>
      </c>
      <c r="K326" s="7">
        <v>255000</v>
      </c>
      <c r="L326" t="s">
        <v>889</v>
      </c>
      <c r="M326" t="s">
        <v>881</v>
      </c>
      <c r="N326" t="s">
        <v>890</v>
      </c>
      <c r="O326" t="s">
        <v>887</v>
      </c>
      <c r="P326" t="s">
        <v>892</v>
      </c>
      <c r="Q326" s="7">
        <v>225000</v>
      </c>
    </row>
    <row r="327" spans="1:17">
      <c r="A327" t="s">
        <v>1222</v>
      </c>
      <c r="B327" s="6">
        <v>45805</v>
      </c>
      <c r="C327" t="s">
        <v>75</v>
      </c>
      <c r="D327" t="s">
        <v>783</v>
      </c>
      <c r="E327">
        <v>1</v>
      </c>
      <c r="F327" s="7">
        <v>500000</v>
      </c>
      <c r="G327" s="7">
        <v>500000</v>
      </c>
      <c r="H327" t="s">
        <v>872</v>
      </c>
      <c r="I327" s="7">
        <v>0</v>
      </c>
      <c r="J327" s="7">
        <v>30000</v>
      </c>
      <c r="K327" s="7">
        <v>530000</v>
      </c>
      <c r="L327" t="s">
        <v>880</v>
      </c>
      <c r="M327" t="s">
        <v>874</v>
      </c>
      <c r="N327" t="s">
        <v>911</v>
      </c>
      <c r="O327" t="s">
        <v>896</v>
      </c>
      <c r="P327" t="s">
        <v>892</v>
      </c>
      <c r="Q327" s="7">
        <v>500000</v>
      </c>
    </row>
    <row r="328" spans="1:17">
      <c r="A328" t="s">
        <v>1223</v>
      </c>
      <c r="B328" s="6">
        <v>45674</v>
      </c>
      <c r="C328" t="s">
        <v>662</v>
      </c>
      <c r="D328" t="s">
        <v>745</v>
      </c>
      <c r="E328">
        <v>1</v>
      </c>
      <c r="F328" s="7">
        <v>500000</v>
      </c>
      <c r="G328" s="7">
        <v>500000</v>
      </c>
      <c r="H328" t="s">
        <v>872</v>
      </c>
      <c r="I328" s="7">
        <v>0</v>
      </c>
      <c r="J328" s="7">
        <v>25000</v>
      </c>
      <c r="K328" s="7">
        <v>525000</v>
      </c>
      <c r="L328" t="s">
        <v>884</v>
      </c>
      <c r="M328" t="s">
        <v>901</v>
      </c>
      <c r="N328" t="s">
        <v>875</v>
      </c>
      <c r="O328" t="s">
        <v>908</v>
      </c>
      <c r="P328" t="s">
        <v>877</v>
      </c>
      <c r="Q328" s="7">
        <v>500000</v>
      </c>
    </row>
    <row r="329" spans="1:17">
      <c r="A329" t="s">
        <v>1224</v>
      </c>
      <c r="B329" s="6">
        <v>45826</v>
      </c>
      <c r="C329" t="s">
        <v>456</v>
      </c>
      <c r="D329" t="s">
        <v>833</v>
      </c>
      <c r="E329">
        <v>2</v>
      </c>
      <c r="F329" s="7">
        <v>200000</v>
      </c>
      <c r="G329" s="7">
        <v>400000</v>
      </c>
      <c r="H329" t="s">
        <v>886</v>
      </c>
      <c r="I329" s="7">
        <v>40000</v>
      </c>
      <c r="J329" s="7">
        <v>15000</v>
      </c>
      <c r="K329" s="7">
        <v>375000</v>
      </c>
      <c r="L329" t="s">
        <v>873</v>
      </c>
      <c r="M329" t="s">
        <v>903</v>
      </c>
      <c r="N329" t="s">
        <v>875</v>
      </c>
      <c r="O329" t="s">
        <v>915</v>
      </c>
      <c r="P329" t="s">
        <v>877</v>
      </c>
      <c r="Q329" s="7">
        <v>360000</v>
      </c>
    </row>
    <row r="330" spans="1:17">
      <c r="A330" t="s">
        <v>1225</v>
      </c>
      <c r="B330" s="6">
        <v>45781</v>
      </c>
      <c r="C330" t="s">
        <v>578</v>
      </c>
      <c r="D330" t="s">
        <v>755</v>
      </c>
      <c r="E330">
        <v>3</v>
      </c>
      <c r="F330" s="7">
        <v>50000</v>
      </c>
      <c r="G330" s="7">
        <v>150000</v>
      </c>
      <c r="H330" t="s">
        <v>872</v>
      </c>
      <c r="I330" s="7">
        <v>0</v>
      </c>
      <c r="J330" s="7">
        <v>25000</v>
      </c>
      <c r="K330" s="7">
        <v>175000</v>
      </c>
      <c r="L330" t="s">
        <v>873</v>
      </c>
      <c r="M330" t="s">
        <v>881</v>
      </c>
      <c r="N330" t="s">
        <v>921</v>
      </c>
      <c r="O330" t="s">
        <v>896</v>
      </c>
      <c r="P330" t="s">
        <v>892</v>
      </c>
      <c r="Q330" s="7">
        <v>150000</v>
      </c>
    </row>
    <row r="331" spans="1:17">
      <c r="A331" t="s">
        <v>1226</v>
      </c>
      <c r="B331" s="6">
        <v>45698</v>
      </c>
      <c r="C331" t="s">
        <v>314</v>
      </c>
      <c r="D331" t="s">
        <v>823</v>
      </c>
      <c r="E331">
        <v>1</v>
      </c>
      <c r="F331" s="7">
        <v>500000</v>
      </c>
      <c r="G331" s="7">
        <v>500000</v>
      </c>
      <c r="H331" t="s">
        <v>886</v>
      </c>
      <c r="I331" s="7">
        <v>50000</v>
      </c>
      <c r="J331" s="7">
        <v>20000</v>
      </c>
      <c r="K331" s="7">
        <v>470000</v>
      </c>
      <c r="L331" t="s">
        <v>873</v>
      </c>
      <c r="M331" t="s">
        <v>903</v>
      </c>
      <c r="N331" t="s">
        <v>875</v>
      </c>
      <c r="O331" t="s">
        <v>887</v>
      </c>
      <c r="P331" t="s">
        <v>877</v>
      </c>
      <c r="Q331" s="7">
        <v>450000</v>
      </c>
    </row>
    <row r="332" spans="1:17">
      <c r="A332" t="s">
        <v>1227</v>
      </c>
      <c r="B332" s="6">
        <v>45791</v>
      </c>
      <c r="C332" t="s">
        <v>432</v>
      </c>
      <c r="D332" t="s">
        <v>789</v>
      </c>
      <c r="E332">
        <v>1</v>
      </c>
      <c r="F332" s="7">
        <v>200000</v>
      </c>
      <c r="G332" s="7">
        <v>200000</v>
      </c>
      <c r="H332" t="s">
        <v>872</v>
      </c>
      <c r="I332" s="7">
        <v>0</v>
      </c>
      <c r="J332" s="7">
        <v>25000</v>
      </c>
      <c r="K332" s="7">
        <v>225000</v>
      </c>
      <c r="L332" t="s">
        <v>873</v>
      </c>
      <c r="M332" t="s">
        <v>903</v>
      </c>
      <c r="N332" t="s">
        <v>875</v>
      </c>
      <c r="O332" t="s">
        <v>896</v>
      </c>
      <c r="P332" t="s">
        <v>877</v>
      </c>
      <c r="Q332" s="7">
        <v>200000</v>
      </c>
    </row>
    <row r="333" spans="1:17">
      <c r="A333" t="s">
        <v>1228</v>
      </c>
      <c r="B333" s="6">
        <v>45716</v>
      </c>
      <c r="C333" t="s">
        <v>534</v>
      </c>
      <c r="D333" t="s">
        <v>793</v>
      </c>
      <c r="E333">
        <v>2</v>
      </c>
      <c r="F333" s="7">
        <v>500000</v>
      </c>
      <c r="G333" s="7">
        <v>1000000</v>
      </c>
      <c r="H333" t="s">
        <v>886</v>
      </c>
      <c r="I333" s="7">
        <v>100000</v>
      </c>
      <c r="J333" s="7">
        <v>20000</v>
      </c>
      <c r="K333" s="7">
        <v>920000</v>
      </c>
      <c r="L333" t="s">
        <v>889</v>
      </c>
      <c r="M333" t="s">
        <v>903</v>
      </c>
      <c r="N333" t="s">
        <v>911</v>
      </c>
      <c r="O333" t="s">
        <v>887</v>
      </c>
      <c r="P333" t="s">
        <v>892</v>
      </c>
      <c r="Q333" s="7">
        <v>900000</v>
      </c>
    </row>
    <row r="334" spans="1:17">
      <c r="A334" t="s">
        <v>1229</v>
      </c>
      <c r="B334" s="6">
        <v>45807</v>
      </c>
      <c r="C334" t="s">
        <v>113</v>
      </c>
      <c r="D334" t="s">
        <v>777</v>
      </c>
      <c r="E334">
        <v>1</v>
      </c>
      <c r="F334" s="7">
        <v>200000</v>
      </c>
      <c r="G334" s="7">
        <v>200000</v>
      </c>
      <c r="H334" t="s">
        <v>895</v>
      </c>
      <c r="I334" s="7">
        <v>30000</v>
      </c>
      <c r="J334" s="7">
        <v>25000</v>
      </c>
      <c r="K334" s="7">
        <v>195000</v>
      </c>
      <c r="L334" t="s">
        <v>873</v>
      </c>
      <c r="M334" t="s">
        <v>903</v>
      </c>
      <c r="N334" t="s">
        <v>890</v>
      </c>
      <c r="O334" t="s">
        <v>896</v>
      </c>
      <c r="P334" t="s">
        <v>892</v>
      </c>
      <c r="Q334" s="7">
        <v>170000</v>
      </c>
    </row>
    <row r="335" spans="1:17">
      <c r="A335" t="s">
        <v>1230</v>
      </c>
      <c r="B335" s="6">
        <v>45770</v>
      </c>
      <c r="C335" t="s">
        <v>620</v>
      </c>
      <c r="D335" t="s">
        <v>737</v>
      </c>
      <c r="E335">
        <v>4</v>
      </c>
      <c r="F335" s="7">
        <v>300000</v>
      </c>
      <c r="G335" s="7">
        <v>1200000</v>
      </c>
      <c r="H335" t="s">
        <v>872</v>
      </c>
      <c r="I335" s="7">
        <v>0</v>
      </c>
      <c r="J335" s="7">
        <v>10000</v>
      </c>
      <c r="K335" s="7">
        <v>1210000</v>
      </c>
      <c r="L335" t="s">
        <v>884</v>
      </c>
      <c r="M335" t="s">
        <v>901</v>
      </c>
      <c r="N335" t="s">
        <v>875</v>
      </c>
      <c r="O335" t="s">
        <v>891</v>
      </c>
      <c r="P335" t="s">
        <v>877</v>
      </c>
      <c r="Q335" s="7">
        <v>1200000</v>
      </c>
    </row>
    <row r="336" spans="1:17">
      <c r="A336" t="s">
        <v>1231</v>
      </c>
      <c r="B336" s="6">
        <v>45703</v>
      </c>
      <c r="C336" t="s">
        <v>230</v>
      </c>
      <c r="D336" t="s">
        <v>799</v>
      </c>
      <c r="E336">
        <v>3</v>
      </c>
      <c r="F336" s="7">
        <v>35000</v>
      </c>
      <c r="G336" s="7">
        <v>105000</v>
      </c>
      <c r="H336" t="s">
        <v>895</v>
      </c>
      <c r="I336" s="7">
        <v>15750</v>
      </c>
      <c r="J336" s="7">
        <v>15000</v>
      </c>
      <c r="K336" s="7">
        <v>104250</v>
      </c>
      <c r="L336" t="s">
        <v>889</v>
      </c>
      <c r="M336" t="s">
        <v>903</v>
      </c>
      <c r="N336" t="s">
        <v>921</v>
      </c>
      <c r="O336" t="s">
        <v>887</v>
      </c>
      <c r="P336" t="s">
        <v>892</v>
      </c>
      <c r="Q336" s="7">
        <v>89250</v>
      </c>
    </row>
    <row r="337" spans="1:17">
      <c r="A337" t="s">
        <v>1232</v>
      </c>
      <c r="B337" s="6">
        <v>45820</v>
      </c>
      <c r="C337" t="s">
        <v>506</v>
      </c>
      <c r="D337" t="s">
        <v>853</v>
      </c>
      <c r="E337">
        <v>2</v>
      </c>
      <c r="F337" s="7">
        <v>75000</v>
      </c>
      <c r="G337" s="7">
        <v>150000</v>
      </c>
      <c r="H337" t="s">
        <v>883</v>
      </c>
      <c r="I337" s="7">
        <v>15000</v>
      </c>
      <c r="J337" s="7">
        <v>20000</v>
      </c>
      <c r="K337" s="7">
        <v>155000</v>
      </c>
      <c r="L337" t="s">
        <v>884</v>
      </c>
      <c r="M337" t="s">
        <v>881</v>
      </c>
      <c r="N337" t="s">
        <v>911</v>
      </c>
      <c r="O337" t="s">
        <v>915</v>
      </c>
      <c r="P337" t="s">
        <v>892</v>
      </c>
      <c r="Q337" s="7">
        <v>135000</v>
      </c>
    </row>
    <row r="338" spans="1:17">
      <c r="A338" t="s">
        <v>1233</v>
      </c>
      <c r="B338" s="6">
        <v>45730</v>
      </c>
      <c r="C338" t="s">
        <v>514</v>
      </c>
      <c r="D338" t="s">
        <v>791</v>
      </c>
      <c r="E338">
        <v>1</v>
      </c>
      <c r="F338" s="7">
        <v>50000</v>
      </c>
      <c r="G338" s="7">
        <v>50000</v>
      </c>
      <c r="H338" t="s">
        <v>895</v>
      </c>
      <c r="I338" s="7">
        <v>7500</v>
      </c>
      <c r="J338" s="7">
        <v>10000</v>
      </c>
      <c r="K338" s="7">
        <v>52500</v>
      </c>
      <c r="L338" t="s">
        <v>873</v>
      </c>
      <c r="M338" t="s">
        <v>903</v>
      </c>
      <c r="N338" t="s">
        <v>875</v>
      </c>
      <c r="O338" t="s">
        <v>876</v>
      </c>
      <c r="P338" t="s">
        <v>877</v>
      </c>
      <c r="Q338" s="7">
        <v>42500</v>
      </c>
    </row>
    <row r="339" spans="1:17">
      <c r="A339" t="s">
        <v>1234</v>
      </c>
      <c r="B339" s="6">
        <v>45808</v>
      </c>
      <c r="C339" t="s">
        <v>240</v>
      </c>
      <c r="D339" t="s">
        <v>799</v>
      </c>
      <c r="E339">
        <v>2</v>
      </c>
      <c r="F339" s="7">
        <v>35000</v>
      </c>
      <c r="G339" s="7">
        <v>70000</v>
      </c>
      <c r="H339" t="s">
        <v>872</v>
      </c>
      <c r="I339" s="7">
        <v>0</v>
      </c>
      <c r="J339" s="7">
        <v>20000</v>
      </c>
      <c r="K339" s="7">
        <v>90000</v>
      </c>
      <c r="L339" t="s">
        <v>889</v>
      </c>
      <c r="M339" t="s">
        <v>901</v>
      </c>
      <c r="N339" t="s">
        <v>875</v>
      </c>
      <c r="O339" t="s">
        <v>896</v>
      </c>
      <c r="P339" t="s">
        <v>877</v>
      </c>
      <c r="Q339" s="7">
        <v>70000</v>
      </c>
    </row>
    <row r="340" spans="1:17">
      <c r="A340" t="s">
        <v>1235</v>
      </c>
      <c r="B340" s="6">
        <v>45833</v>
      </c>
      <c r="C340" t="s">
        <v>598</v>
      </c>
      <c r="D340" t="s">
        <v>815</v>
      </c>
      <c r="E340">
        <v>1</v>
      </c>
      <c r="F340" s="7">
        <v>75000</v>
      </c>
      <c r="G340" s="7">
        <v>75000</v>
      </c>
      <c r="H340" t="s">
        <v>886</v>
      </c>
      <c r="I340" s="7">
        <v>7500</v>
      </c>
      <c r="J340" s="7">
        <v>15000</v>
      </c>
      <c r="K340" s="7">
        <v>82500</v>
      </c>
      <c r="L340" t="s">
        <v>873</v>
      </c>
      <c r="M340" t="s">
        <v>903</v>
      </c>
      <c r="N340" t="s">
        <v>875</v>
      </c>
      <c r="O340" t="s">
        <v>915</v>
      </c>
      <c r="P340" t="s">
        <v>877</v>
      </c>
      <c r="Q340" s="7">
        <v>67500</v>
      </c>
    </row>
    <row r="341" spans="1:17">
      <c r="A341" t="s">
        <v>1236</v>
      </c>
      <c r="B341" s="6">
        <v>45751</v>
      </c>
      <c r="C341" t="s">
        <v>626</v>
      </c>
      <c r="D341" t="s">
        <v>845</v>
      </c>
      <c r="E341">
        <v>1</v>
      </c>
      <c r="F341" s="7">
        <v>300000</v>
      </c>
      <c r="G341" s="7">
        <v>300000</v>
      </c>
      <c r="H341" t="s">
        <v>879</v>
      </c>
      <c r="I341" s="7">
        <v>60000</v>
      </c>
      <c r="J341" s="7">
        <v>30000</v>
      </c>
      <c r="K341" s="7">
        <v>270000</v>
      </c>
      <c r="L341" t="s">
        <v>884</v>
      </c>
      <c r="M341" t="s">
        <v>874</v>
      </c>
      <c r="N341" t="s">
        <v>911</v>
      </c>
      <c r="O341" t="s">
        <v>891</v>
      </c>
      <c r="P341" t="s">
        <v>892</v>
      </c>
      <c r="Q341" s="7">
        <v>240000</v>
      </c>
    </row>
    <row r="342" spans="1:17">
      <c r="A342" t="s">
        <v>1237</v>
      </c>
      <c r="B342" s="6">
        <v>45831</v>
      </c>
      <c r="C342" t="s">
        <v>660</v>
      </c>
      <c r="D342" t="s">
        <v>845</v>
      </c>
      <c r="E342">
        <v>1</v>
      </c>
      <c r="F342" s="7">
        <v>300000</v>
      </c>
      <c r="G342" s="7">
        <v>300000</v>
      </c>
      <c r="H342" t="s">
        <v>872</v>
      </c>
      <c r="I342" s="7">
        <v>0</v>
      </c>
      <c r="J342" s="7">
        <v>30000</v>
      </c>
      <c r="K342" s="7">
        <v>330000</v>
      </c>
      <c r="L342" t="s">
        <v>889</v>
      </c>
      <c r="M342" t="s">
        <v>903</v>
      </c>
      <c r="N342" t="s">
        <v>875</v>
      </c>
      <c r="O342" t="s">
        <v>915</v>
      </c>
      <c r="P342" t="s">
        <v>877</v>
      </c>
      <c r="Q342" s="7">
        <v>300000</v>
      </c>
    </row>
    <row r="343" spans="1:17">
      <c r="A343" t="s">
        <v>1238</v>
      </c>
      <c r="B343" s="6">
        <v>45791</v>
      </c>
      <c r="C343" t="s">
        <v>232</v>
      </c>
      <c r="D343" t="s">
        <v>785</v>
      </c>
      <c r="E343">
        <v>4</v>
      </c>
      <c r="F343" s="7">
        <v>100000</v>
      </c>
      <c r="G343" s="7">
        <v>400000</v>
      </c>
      <c r="H343" t="s">
        <v>883</v>
      </c>
      <c r="I343" s="7">
        <v>40000</v>
      </c>
      <c r="J343" s="7">
        <v>15000</v>
      </c>
      <c r="K343" s="7">
        <v>375000</v>
      </c>
      <c r="L343" t="s">
        <v>884</v>
      </c>
      <c r="M343" t="s">
        <v>903</v>
      </c>
      <c r="N343" t="s">
        <v>875</v>
      </c>
      <c r="O343" t="s">
        <v>896</v>
      </c>
      <c r="P343" t="s">
        <v>877</v>
      </c>
      <c r="Q343" s="7">
        <v>360000</v>
      </c>
    </row>
    <row r="344" spans="1:17">
      <c r="A344" t="s">
        <v>1239</v>
      </c>
      <c r="B344" s="6">
        <v>45713</v>
      </c>
      <c r="C344" t="s">
        <v>392</v>
      </c>
      <c r="D344" t="s">
        <v>777</v>
      </c>
      <c r="E344">
        <v>1</v>
      </c>
      <c r="F344" s="7">
        <v>200000</v>
      </c>
      <c r="G344" s="7">
        <v>200000</v>
      </c>
      <c r="H344" t="s">
        <v>883</v>
      </c>
      <c r="I344" s="7">
        <v>20000</v>
      </c>
      <c r="J344" s="7">
        <v>25000</v>
      </c>
      <c r="K344" s="7">
        <v>205000</v>
      </c>
      <c r="L344" t="s">
        <v>889</v>
      </c>
      <c r="M344" t="s">
        <v>874</v>
      </c>
      <c r="N344" t="s">
        <v>875</v>
      </c>
      <c r="O344" t="s">
        <v>887</v>
      </c>
      <c r="P344" t="s">
        <v>877</v>
      </c>
      <c r="Q344" s="7">
        <v>180000</v>
      </c>
    </row>
    <row r="345" spans="1:17">
      <c r="A345" t="s">
        <v>1240</v>
      </c>
      <c r="B345" s="6">
        <v>45771</v>
      </c>
      <c r="C345" t="s">
        <v>522</v>
      </c>
      <c r="D345" t="s">
        <v>821</v>
      </c>
      <c r="E345">
        <v>2</v>
      </c>
      <c r="F345" s="7">
        <v>50000</v>
      </c>
      <c r="G345" s="7">
        <v>100000</v>
      </c>
      <c r="H345" t="s">
        <v>872</v>
      </c>
      <c r="I345" s="7">
        <v>0</v>
      </c>
      <c r="J345" s="7">
        <v>20000</v>
      </c>
      <c r="K345" s="7">
        <v>120000</v>
      </c>
      <c r="L345" t="s">
        <v>884</v>
      </c>
      <c r="M345" t="s">
        <v>881</v>
      </c>
      <c r="N345" t="s">
        <v>890</v>
      </c>
      <c r="O345" t="s">
        <v>891</v>
      </c>
      <c r="P345" t="s">
        <v>892</v>
      </c>
      <c r="Q345" s="7">
        <v>100000</v>
      </c>
    </row>
    <row r="346" spans="1:17">
      <c r="A346" t="s">
        <v>1241</v>
      </c>
      <c r="B346" s="6">
        <v>45661</v>
      </c>
      <c r="C346" t="s">
        <v>446</v>
      </c>
      <c r="D346" t="s">
        <v>749</v>
      </c>
      <c r="E346">
        <v>2</v>
      </c>
      <c r="F346" s="7">
        <v>150000</v>
      </c>
      <c r="G346" s="7">
        <v>300000</v>
      </c>
      <c r="H346" t="s">
        <v>872</v>
      </c>
      <c r="I346" s="7">
        <v>0</v>
      </c>
      <c r="J346" s="7">
        <v>20000</v>
      </c>
      <c r="K346" s="7">
        <v>320000</v>
      </c>
      <c r="L346" t="s">
        <v>889</v>
      </c>
      <c r="M346" t="s">
        <v>874</v>
      </c>
      <c r="N346" t="s">
        <v>875</v>
      </c>
      <c r="O346" t="s">
        <v>908</v>
      </c>
      <c r="P346" t="s">
        <v>877</v>
      </c>
      <c r="Q346" s="7">
        <v>300000</v>
      </c>
    </row>
    <row r="347" spans="1:17">
      <c r="A347" t="s">
        <v>1242</v>
      </c>
      <c r="B347" s="6">
        <v>45823</v>
      </c>
      <c r="C347" t="s">
        <v>502</v>
      </c>
      <c r="D347" t="s">
        <v>849</v>
      </c>
      <c r="E347">
        <v>1</v>
      </c>
      <c r="F347" s="7">
        <v>500000</v>
      </c>
      <c r="G347" s="7">
        <v>500000</v>
      </c>
      <c r="H347" t="s">
        <v>872</v>
      </c>
      <c r="I347" s="7">
        <v>0</v>
      </c>
      <c r="J347" s="7">
        <v>15000</v>
      </c>
      <c r="K347" s="7">
        <v>515000</v>
      </c>
      <c r="L347" t="s">
        <v>889</v>
      </c>
      <c r="M347" t="s">
        <v>901</v>
      </c>
      <c r="N347" t="s">
        <v>911</v>
      </c>
      <c r="O347" t="s">
        <v>915</v>
      </c>
      <c r="P347" t="s">
        <v>892</v>
      </c>
      <c r="Q347" s="7">
        <v>500000</v>
      </c>
    </row>
    <row r="348" spans="1:17">
      <c r="A348" t="s">
        <v>1243</v>
      </c>
      <c r="B348" s="6">
        <v>45749</v>
      </c>
      <c r="C348" t="s">
        <v>59</v>
      </c>
      <c r="D348" t="s">
        <v>835</v>
      </c>
      <c r="E348">
        <v>4</v>
      </c>
      <c r="F348" s="7">
        <v>200000</v>
      </c>
      <c r="G348" s="7">
        <v>800000</v>
      </c>
      <c r="H348" t="s">
        <v>872</v>
      </c>
      <c r="I348" s="7">
        <v>0</v>
      </c>
      <c r="J348" s="7">
        <v>30000</v>
      </c>
      <c r="K348" s="7">
        <v>830000</v>
      </c>
      <c r="L348" t="s">
        <v>880</v>
      </c>
      <c r="M348" t="s">
        <v>881</v>
      </c>
      <c r="N348" t="s">
        <v>890</v>
      </c>
      <c r="O348" t="s">
        <v>891</v>
      </c>
      <c r="P348" t="s">
        <v>892</v>
      </c>
      <c r="Q348" s="7">
        <v>800000</v>
      </c>
    </row>
    <row r="349" spans="1:17">
      <c r="A349" t="s">
        <v>1244</v>
      </c>
      <c r="B349" s="6">
        <v>45786</v>
      </c>
      <c r="C349" t="s">
        <v>410</v>
      </c>
      <c r="D349" t="s">
        <v>759</v>
      </c>
      <c r="E349">
        <v>2</v>
      </c>
      <c r="F349" s="7">
        <v>300000</v>
      </c>
      <c r="G349" s="7">
        <v>600000</v>
      </c>
      <c r="H349" t="s">
        <v>872</v>
      </c>
      <c r="I349" s="7">
        <v>0</v>
      </c>
      <c r="J349" s="7">
        <v>15000</v>
      </c>
      <c r="K349" s="7">
        <v>615000</v>
      </c>
      <c r="L349" t="s">
        <v>884</v>
      </c>
      <c r="M349" t="s">
        <v>901</v>
      </c>
      <c r="N349" t="s">
        <v>875</v>
      </c>
      <c r="O349" t="s">
        <v>896</v>
      </c>
      <c r="P349" t="s">
        <v>877</v>
      </c>
      <c r="Q349" s="7">
        <v>600000</v>
      </c>
    </row>
    <row r="350" spans="1:17">
      <c r="A350" t="s">
        <v>1245</v>
      </c>
      <c r="B350" s="6">
        <v>45709</v>
      </c>
      <c r="C350" t="s">
        <v>706</v>
      </c>
      <c r="D350" t="s">
        <v>785</v>
      </c>
      <c r="E350">
        <v>2</v>
      </c>
      <c r="F350" s="7">
        <v>100000</v>
      </c>
      <c r="G350" s="7">
        <v>200000</v>
      </c>
      <c r="H350" t="s">
        <v>895</v>
      </c>
      <c r="I350" s="7">
        <v>30000</v>
      </c>
      <c r="J350" s="7">
        <v>15000</v>
      </c>
      <c r="K350" s="7">
        <v>185000</v>
      </c>
      <c r="L350" t="s">
        <v>880</v>
      </c>
      <c r="M350" t="s">
        <v>874</v>
      </c>
      <c r="N350" t="s">
        <v>875</v>
      </c>
      <c r="O350" t="s">
        <v>887</v>
      </c>
      <c r="P350" t="s">
        <v>877</v>
      </c>
      <c r="Q350" s="7">
        <v>170000</v>
      </c>
    </row>
    <row r="351" spans="1:17">
      <c r="A351" t="s">
        <v>1246</v>
      </c>
      <c r="B351" s="6">
        <v>45834</v>
      </c>
      <c r="C351" t="s">
        <v>646</v>
      </c>
      <c r="D351" t="s">
        <v>813</v>
      </c>
      <c r="E351">
        <v>1</v>
      </c>
      <c r="F351" s="7">
        <v>35000</v>
      </c>
      <c r="G351" s="7">
        <v>35000</v>
      </c>
      <c r="H351" t="s">
        <v>886</v>
      </c>
      <c r="I351" s="7">
        <v>3500</v>
      </c>
      <c r="J351" s="7">
        <v>20000</v>
      </c>
      <c r="K351" s="7">
        <v>51500</v>
      </c>
      <c r="L351" t="s">
        <v>880</v>
      </c>
      <c r="M351" t="s">
        <v>903</v>
      </c>
      <c r="N351" t="s">
        <v>875</v>
      </c>
      <c r="O351" t="s">
        <v>915</v>
      </c>
      <c r="P351" t="s">
        <v>877</v>
      </c>
      <c r="Q351" s="7">
        <v>31500</v>
      </c>
    </row>
    <row r="352" spans="1:17">
      <c r="A352" t="s">
        <v>1247</v>
      </c>
      <c r="B352" s="6">
        <v>45696</v>
      </c>
      <c r="C352" t="s">
        <v>318</v>
      </c>
      <c r="D352" t="s">
        <v>817</v>
      </c>
      <c r="E352">
        <v>3</v>
      </c>
      <c r="F352" s="7">
        <v>75000</v>
      </c>
      <c r="G352" s="7">
        <v>225000</v>
      </c>
      <c r="H352" t="s">
        <v>883</v>
      </c>
      <c r="I352" s="7">
        <v>22500</v>
      </c>
      <c r="J352" s="7">
        <v>20000</v>
      </c>
      <c r="K352" s="7">
        <v>222500</v>
      </c>
      <c r="L352" t="s">
        <v>880</v>
      </c>
      <c r="M352" t="s">
        <v>874</v>
      </c>
      <c r="N352" t="s">
        <v>890</v>
      </c>
      <c r="O352" t="s">
        <v>887</v>
      </c>
      <c r="P352" t="s">
        <v>892</v>
      </c>
      <c r="Q352" s="7">
        <v>202500</v>
      </c>
    </row>
    <row r="353" spans="1:17">
      <c r="A353" t="s">
        <v>1248</v>
      </c>
      <c r="B353" s="6">
        <v>45815</v>
      </c>
      <c r="C353" t="s">
        <v>644</v>
      </c>
      <c r="D353" t="s">
        <v>779</v>
      </c>
      <c r="E353">
        <v>1</v>
      </c>
      <c r="F353" s="7">
        <v>150000</v>
      </c>
      <c r="G353" s="7">
        <v>150000</v>
      </c>
      <c r="H353" t="s">
        <v>895</v>
      </c>
      <c r="I353" s="7">
        <v>22500</v>
      </c>
      <c r="J353" s="7">
        <v>25000</v>
      </c>
      <c r="K353" s="7">
        <v>152500</v>
      </c>
      <c r="L353" t="s">
        <v>873</v>
      </c>
      <c r="M353" t="s">
        <v>901</v>
      </c>
      <c r="N353" t="s">
        <v>875</v>
      </c>
      <c r="O353" t="s">
        <v>915</v>
      </c>
      <c r="P353" t="s">
        <v>877</v>
      </c>
      <c r="Q353" s="7">
        <v>127500</v>
      </c>
    </row>
    <row r="354" spans="1:17">
      <c r="A354" t="s">
        <v>1249</v>
      </c>
      <c r="B354" s="6">
        <v>45769</v>
      </c>
      <c r="C354" t="s">
        <v>107</v>
      </c>
      <c r="D354" t="s">
        <v>769</v>
      </c>
      <c r="E354">
        <v>4</v>
      </c>
      <c r="F354" s="7">
        <v>100000</v>
      </c>
      <c r="G354" s="7">
        <v>400000</v>
      </c>
      <c r="H354" t="s">
        <v>895</v>
      </c>
      <c r="I354" s="7">
        <v>60000</v>
      </c>
      <c r="J354" s="7">
        <v>10000</v>
      </c>
      <c r="K354" s="7">
        <v>350000</v>
      </c>
      <c r="L354" t="s">
        <v>873</v>
      </c>
      <c r="M354" t="s">
        <v>903</v>
      </c>
      <c r="N354" t="s">
        <v>875</v>
      </c>
      <c r="O354" t="s">
        <v>891</v>
      </c>
      <c r="P354" t="s">
        <v>877</v>
      </c>
      <c r="Q354" s="7">
        <v>340000</v>
      </c>
    </row>
    <row r="355" spans="1:17">
      <c r="A355" t="s">
        <v>1250</v>
      </c>
      <c r="B355" s="6">
        <v>45815</v>
      </c>
      <c r="C355" t="s">
        <v>436</v>
      </c>
      <c r="D355" t="s">
        <v>821</v>
      </c>
      <c r="E355">
        <v>1</v>
      </c>
      <c r="F355" s="7">
        <v>50000</v>
      </c>
      <c r="G355" s="7">
        <v>50000</v>
      </c>
      <c r="H355" t="s">
        <v>872</v>
      </c>
      <c r="I355" s="7">
        <v>0</v>
      </c>
      <c r="J355" s="7">
        <v>25000</v>
      </c>
      <c r="K355" s="7">
        <v>75000</v>
      </c>
      <c r="L355" t="s">
        <v>889</v>
      </c>
      <c r="M355" t="s">
        <v>881</v>
      </c>
      <c r="N355" t="s">
        <v>911</v>
      </c>
      <c r="O355" t="s">
        <v>915</v>
      </c>
      <c r="P355" t="s">
        <v>892</v>
      </c>
      <c r="Q355" s="7">
        <v>50000</v>
      </c>
    </row>
    <row r="356" spans="1:17">
      <c r="A356" t="s">
        <v>1251</v>
      </c>
      <c r="B356" s="6">
        <v>45819</v>
      </c>
      <c r="C356" t="s">
        <v>420</v>
      </c>
      <c r="D356" t="s">
        <v>819</v>
      </c>
      <c r="E356">
        <v>2</v>
      </c>
      <c r="F356" s="7">
        <v>300000</v>
      </c>
      <c r="G356" s="7">
        <v>600000</v>
      </c>
      <c r="H356" t="s">
        <v>872</v>
      </c>
      <c r="I356" s="7">
        <v>0</v>
      </c>
      <c r="J356" s="7">
        <v>20000</v>
      </c>
      <c r="K356" s="7">
        <v>620000</v>
      </c>
      <c r="L356" t="s">
        <v>889</v>
      </c>
      <c r="M356" t="s">
        <v>881</v>
      </c>
      <c r="N356" t="s">
        <v>875</v>
      </c>
      <c r="O356" t="s">
        <v>915</v>
      </c>
      <c r="P356" t="s">
        <v>877</v>
      </c>
      <c r="Q356" s="7">
        <v>600000</v>
      </c>
    </row>
    <row r="357" spans="1:17">
      <c r="A357" t="s">
        <v>1252</v>
      </c>
      <c r="B357" s="6">
        <v>45775</v>
      </c>
      <c r="C357" t="s">
        <v>322</v>
      </c>
      <c r="D357" t="s">
        <v>751</v>
      </c>
      <c r="E357">
        <v>1</v>
      </c>
      <c r="F357" s="7">
        <v>150000</v>
      </c>
      <c r="G357" s="7">
        <v>150000</v>
      </c>
      <c r="H357" t="s">
        <v>883</v>
      </c>
      <c r="I357" s="7">
        <v>15000</v>
      </c>
      <c r="J357" s="7">
        <v>20000</v>
      </c>
      <c r="K357" s="7">
        <v>155000</v>
      </c>
      <c r="L357" t="s">
        <v>884</v>
      </c>
      <c r="M357" t="s">
        <v>903</v>
      </c>
      <c r="N357" t="s">
        <v>875</v>
      </c>
      <c r="O357" t="s">
        <v>891</v>
      </c>
      <c r="P357" t="s">
        <v>877</v>
      </c>
      <c r="Q357" s="7">
        <v>135000</v>
      </c>
    </row>
    <row r="358" spans="1:17">
      <c r="A358" t="s">
        <v>1253</v>
      </c>
      <c r="B358" s="6">
        <v>45731</v>
      </c>
      <c r="C358" t="s">
        <v>368</v>
      </c>
      <c r="D358" t="s">
        <v>819</v>
      </c>
      <c r="E358">
        <v>1</v>
      </c>
      <c r="F358" s="7">
        <v>300000</v>
      </c>
      <c r="G358" s="7">
        <v>300000</v>
      </c>
      <c r="H358" t="s">
        <v>883</v>
      </c>
      <c r="I358" s="7">
        <v>30000</v>
      </c>
      <c r="J358" s="7">
        <v>15000</v>
      </c>
      <c r="K358" s="7">
        <v>285000</v>
      </c>
      <c r="L358" t="s">
        <v>884</v>
      </c>
      <c r="M358" t="s">
        <v>901</v>
      </c>
      <c r="N358" t="s">
        <v>875</v>
      </c>
      <c r="O358" t="s">
        <v>876</v>
      </c>
      <c r="P358" t="s">
        <v>877</v>
      </c>
      <c r="Q358" s="7">
        <v>270000</v>
      </c>
    </row>
    <row r="359" spans="1:17">
      <c r="A359" t="s">
        <v>1254</v>
      </c>
      <c r="B359" s="6">
        <v>45750</v>
      </c>
      <c r="C359" t="s">
        <v>496</v>
      </c>
      <c r="D359" t="s">
        <v>761</v>
      </c>
      <c r="E359">
        <v>1</v>
      </c>
      <c r="F359" s="7">
        <v>75000</v>
      </c>
      <c r="G359" s="7">
        <v>75000</v>
      </c>
      <c r="H359" t="s">
        <v>872</v>
      </c>
      <c r="I359" s="7">
        <v>0</v>
      </c>
      <c r="J359" s="7">
        <v>15000</v>
      </c>
      <c r="K359" s="7">
        <v>90000</v>
      </c>
      <c r="L359" t="s">
        <v>880</v>
      </c>
      <c r="M359" t="s">
        <v>881</v>
      </c>
      <c r="N359" t="s">
        <v>875</v>
      </c>
      <c r="O359" t="s">
        <v>891</v>
      </c>
      <c r="P359" t="s">
        <v>877</v>
      </c>
      <c r="Q359" s="7">
        <v>75000</v>
      </c>
    </row>
    <row r="360" spans="1:17">
      <c r="A360" t="s">
        <v>1255</v>
      </c>
      <c r="B360" s="6">
        <v>45674</v>
      </c>
      <c r="C360" t="s">
        <v>160</v>
      </c>
      <c r="D360" t="s">
        <v>761</v>
      </c>
      <c r="E360">
        <v>2</v>
      </c>
      <c r="F360" s="7">
        <v>75000</v>
      </c>
      <c r="G360" s="7">
        <v>150000</v>
      </c>
      <c r="H360" t="s">
        <v>886</v>
      </c>
      <c r="I360" s="7">
        <v>15000</v>
      </c>
      <c r="J360" s="7">
        <v>30000</v>
      </c>
      <c r="K360" s="7">
        <v>165000</v>
      </c>
      <c r="L360" t="s">
        <v>873</v>
      </c>
      <c r="M360" t="s">
        <v>903</v>
      </c>
      <c r="N360" t="s">
        <v>890</v>
      </c>
      <c r="O360" t="s">
        <v>908</v>
      </c>
      <c r="P360" t="s">
        <v>892</v>
      </c>
      <c r="Q360" s="7">
        <v>135000</v>
      </c>
    </row>
    <row r="361" spans="1:17">
      <c r="A361" t="s">
        <v>1256</v>
      </c>
      <c r="B361" s="6">
        <v>45719</v>
      </c>
      <c r="C361" t="s">
        <v>49</v>
      </c>
      <c r="D361" t="s">
        <v>821</v>
      </c>
      <c r="E361">
        <v>1</v>
      </c>
      <c r="F361" s="7">
        <v>50000</v>
      </c>
      <c r="G361" s="7">
        <v>50000</v>
      </c>
      <c r="H361" t="s">
        <v>886</v>
      </c>
      <c r="I361" s="7">
        <v>5000</v>
      </c>
      <c r="J361" s="7">
        <v>15000</v>
      </c>
      <c r="K361" s="7">
        <v>60000</v>
      </c>
      <c r="L361" t="s">
        <v>884</v>
      </c>
      <c r="M361" t="s">
        <v>901</v>
      </c>
      <c r="N361" t="s">
        <v>875</v>
      </c>
      <c r="O361" t="s">
        <v>876</v>
      </c>
      <c r="P361" t="s">
        <v>877</v>
      </c>
      <c r="Q361" s="7">
        <v>45000</v>
      </c>
    </row>
    <row r="362" spans="1:17">
      <c r="A362" t="s">
        <v>1257</v>
      </c>
      <c r="B362" s="6">
        <v>45781</v>
      </c>
      <c r="C362" t="s">
        <v>306</v>
      </c>
      <c r="D362" t="s">
        <v>785</v>
      </c>
      <c r="E362">
        <v>3</v>
      </c>
      <c r="F362" s="7">
        <v>100000</v>
      </c>
      <c r="G362" s="7">
        <v>300000</v>
      </c>
      <c r="H362" t="s">
        <v>886</v>
      </c>
      <c r="I362" s="7">
        <v>30000</v>
      </c>
      <c r="J362" s="7">
        <v>10000</v>
      </c>
      <c r="K362" s="7">
        <v>280000</v>
      </c>
      <c r="L362" t="s">
        <v>884</v>
      </c>
      <c r="M362" t="s">
        <v>901</v>
      </c>
      <c r="N362" t="s">
        <v>890</v>
      </c>
      <c r="O362" t="s">
        <v>896</v>
      </c>
      <c r="P362" t="s">
        <v>892</v>
      </c>
      <c r="Q362" s="7">
        <v>270000</v>
      </c>
    </row>
    <row r="363" spans="1:17">
      <c r="A363" t="s">
        <v>1258</v>
      </c>
      <c r="B363" s="6">
        <v>45765</v>
      </c>
      <c r="C363" t="s">
        <v>254</v>
      </c>
      <c r="D363" t="s">
        <v>817</v>
      </c>
      <c r="E363">
        <v>4</v>
      </c>
      <c r="F363" s="7">
        <v>75000</v>
      </c>
      <c r="G363" s="7">
        <v>300000</v>
      </c>
      <c r="H363" t="s">
        <v>872</v>
      </c>
      <c r="I363" s="7">
        <v>0</v>
      </c>
      <c r="J363" s="7">
        <v>20000</v>
      </c>
      <c r="K363" s="7">
        <v>320000</v>
      </c>
      <c r="L363" t="s">
        <v>889</v>
      </c>
      <c r="M363" t="s">
        <v>903</v>
      </c>
      <c r="N363" t="s">
        <v>875</v>
      </c>
      <c r="O363" t="s">
        <v>891</v>
      </c>
      <c r="P363" t="s">
        <v>877</v>
      </c>
      <c r="Q363" s="7">
        <v>300000</v>
      </c>
    </row>
    <row r="364" spans="1:17">
      <c r="A364" t="s">
        <v>1259</v>
      </c>
      <c r="B364" s="6">
        <v>45796</v>
      </c>
      <c r="C364" t="s">
        <v>380</v>
      </c>
      <c r="D364" t="s">
        <v>827</v>
      </c>
      <c r="E364">
        <v>3</v>
      </c>
      <c r="F364" s="7">
        <v>100000</v>
      </c>
      <c r="G364" s="7">
        <v>300000</v>
      </c>
      <c r="H364" t="s">
        <v>872</v>
      </c>
      <c r="I364" s="7">
        <v>0</v>
      </c>
      <c r="J364" s="7">
        <v>25000</v>
      </c>
      <c r="K364" s="7">
        <v>325000</v>
      </c>
      <c r="L364" t="s">
        <v>889</v>
      </c>
      <c r="M364" t="s">
        <v>874</v>
      </c>
      <c r="N364" t="s">
        <v>875</v>
      </c>
      <c r="O364" t="s">
        <v>896</v>
      </c>
      <c r="P364" t="s">
        <v>877</v>
      </c>
      <c r="Q364" s="7">
        <v>300000</v>
      </c>
    </row>
    <row r="365" spans="1:17">
      <c r="A365" t="s">
        <v>1260</v>
      </c>
      <c r="B365" s="6">
        <v>45761</v>
      </c>
      <c r="C365" t="s">
        <v>602</v>
      </c>
      <c r="D365" t="s">
        <v>765</v>
      </c>
      <c r="E365">
        <v>2</v>
      </c>
      <c r="F365" s="7">
        <v>500000</v>
      </c>
      <c r="G365" s="7">
        <v>1000000</v>
      </c>
      <c r="H365" t="s">
        <v>872</v>
      </c>
      <c r="I365" s="7">
        <v>0</v>
      </c>
      <c r="J365" s="7">
        <v>30000</v>
      </c>
      <c r="K365" s="7">
        <v>1030000</v>
      </c>
      <c r="L365" t="s">
        <v>880</v>
      </c>
      <c r="M365" t="s">
        <v>903</v>
      </c>
      <c r="N365" t="s">
        <v>875</v>
      </c>
      <c r="O365" t="s">
        <v>891</v>
      </c>
      <c r="P365" t="s">
        <v>877</v>
      </c>
      <c r="Q365" s="7">
        <v>1000000</v>
      </c>
    </row>
    <row r="366" spans="1:17">
      <c r="A366" t="s">
        <v>1261</v>
      </c>
      <c r="B366" s="6">
        <v>45736</v>
      </c>
      <c r="C366" t="s">
        <v>57</v>
      </c>
      <c r="D366" t="s">
        <v>793</v>
      </c>
      <c r="E366">
        <v>1</v>
      </c>
      <c r="F366" s="7">
        <v>500000</v>
      </c>
      <c r="G366" s="7">
        <v>500000</v>
      </c>
      <c r="H366" t="s">
        <v>872</v>
      </c>
      <c r="I366" s="7">
        <v>0</v>
      </c>
      <c r="J366" s="7">
        <v>20000</v>
      </c>
      <c r="K366" s="7">
        <v>520000</v>
      </c>
      <c r="L366" t="s">
        <v>884</v>
      </c>
      <c r="M366" t="s">
        <v>881</v>
      </c>
      <c r="N366" t="s">
        <v>875</v>
      </c>
      <c r="O366" t="s">
        <v>876</v>
      </c>
      <c r="P366" t="s">
        <v>877</v>
      </c>
      <c r="Q366" s="7">
        <v>500000</v>
      </c>
    </row>
    <row r="367" spans="1:17">
      <c r="A367" t="s">
        <v>1262</v>
      </c>
      <c r="B367" s="6">
        <v>45719</v>
      </c>
      <c r="C367" t="s">
        <v>282</v>
      </c>
      <c r="D367" t="s">
        <v>853</v>
      </c>
      <c r="E367">
        <v>2</v>
      </c>
      <c r="F367" s="7">
        <v>75000</v>
      </c>
      <c r="G367" s="7">
        <v>150000</v>
      </c>
      <c r="H367" t="s">
        <v>879</v>
      </c>
      <c r="I367" s="7">
        <v>30000</v>
      </c>
      <c r="J367" s="7">
        <v>20000</v>
      </c>
      <c r="K367" s="7">
        <v>140000</v>
      </c>
      <c r="L367" t="s">
        <v>873</v>
      </c>
      <c r="M367" t="s">
        <v>881</v>
      </c>
      <c r="N367" t="s">
        <v>890</v>
      </c>
      <c r="O367" t="s">
        <v>876</v>
      </c>
      <c r="P367" t="s">
        <v>892</v>
      </c>
      <c r="Q367" s="7">
        <v>120000</v>
      </c>
    </row>
    <row r="368" spans="1:17">
      <c r="A368" t="s">
        <v>1263</v>
      </c>
      <c r="B368" s="6">
        <v>45787</v>
      </c>
      <c r="C368" t="s">
        <v>142</v>
      </c>
      <c r="D368" t="s">
        <v>833</v>
      </c>
      <c r="E368">
        <v>1</v>
      </c>
      <c r="F368" s="7">
        <v>200000</v>
      </c>
      <c r="G368" s="7">
        <v>200000</v>
      </c>
      <c r="H368" t="s">
        <v>872</v>
      </c>
      <c r="I368" s="7">
        <v>0</v>
      </c>
      <c r="J368" s="7">
        <v>10000</v>
      </c>
      <c r="K368" s="7">
        <v>210000</v>
      </c>
      <c r="L368" t="s">
        <v>880</v>
      </c>
      <c r="M368" t="s">
        <v>901</v>
      </c>
      <c r="N368" t="s">
        <v>875</v>
      </c>
      <c r="O368" t="s">
        <v>896</v>
      </c>
      <c r="P368" t="s">
        <v>877</v>
      </c>
      <c r="Q368" s="7">
        <v>200000</v>
      </c>
    </row>
    <row r="369" spans="1:17">
      <c r="A369" t="s">
        <v>1264</v>
      </c>
      <c r="B369" s="6">
        <v>45821</v>
      </c>
      <c r="C369" t="s">
        <v>290</v>
      </c>
      <c r="D369" t="s">
        <v>753</v>
      </c>
      <c r="E369">
        <v>1</v>
      </c>
      <c r="F369" s="7">
        <v>300000</v>
      </c>
      <c r="G369" s="7">
        <v>300000</v>
      </c>
      <c r="H369" t="s">
        <v>883</v>
      </c>
      <c r="I369" s="7">
        <v>30000</v>
      </c>
      <c r="J369" s="7">
        <v>15000</v>
      </c>
      <c r="K369" s="7">
        <v>285000</v>
      </c>
      <c r="L369" t="s">
        <v>884</v>
      </c>
      <c r="M369" t="s">
        <v>903</v>
      </c>
      <c r="N369" t="s">
        <v>875</v>
      </c>
      <c r="O369" t="s">
        <v>915</v>
      </c>
      <c r="P369" t="s">
        <v>877</v>
      </c>
      <c r="Q369" s="7">
        <v>270000</v>
      </c>
    </row>
    <row r="370" spans="1:17">
      <c r="A370" t="s">
        <v>1265</v>
      </c>
      <c r="B370" s="6">
        <v>45756</v>
      </c>
      <c r="C370" t="s">
        <v>440</v>
      </c>
      <c r="D370" t="s">
        <v>823</v>
      </c>
      <c r="E370">
        <v>2</v>
      </c>
      <c r="F370" s="7">
        <v>500000</v>
      </c>
      <c r="G370" s="7">
        <v>1000000</v>
      </c>
      <c r="H370" t="s">
        <v>883</v>
      </c>
      <c r="I370" s="7">
        <v>100000</v>
      </c>
      <c r="J370" s="7">
        <v>30000</v>
      </c>
      <c r="K370" s="7">
        <v>930000</v>
      </c>
      <c r="L370" t="s">
        <v>873</v>
      </c>
      <c r="M370" t="s">
        <v>881</v>
      </c>
      <c r="N370" t="s">
        <v>875</v>
      </c>
      <c r="O370" t="s">
        <v>891</v>
      </c>
      <c r="P370" t="s">
        <v>877</v>
      </c>
      <c r="Q370" s="7">
        <v>900000</v>
      </c>
    </row>
    <row r="371" spans="1:17">
      <c r="A371" t="s">
        <v>1266</v>
      </c>
      <c r="B371" s="6">
        <v>45802</v>
      </c>
      <c r="C371" t="s">
        <v>448</v>
      </c>
      <c r="D371" t="s">
        <v>797</v>
      </c>
      <c r="E371">
        <v>1</v>
      </c>
      <c r="F371" s="7">
        <v>150000</v>
      </c>
      <c r="G371" s="7">
        <v>150000</v>
      </c>
      <c r="H371" t="s">
        <v>886</v>
      </c>
      <c r="I371" s="7">
        <v>15000</v>
      </c>
      <c r="J371" s="7">
        <v>15000</v>
      </c>
      <c r="K371" s="7">
        <v>150000</v>
      </c>
      <c r="L371" t="s">
        <v>873</v>
      </c>
      <c r="M371" t="s">
        <v>903</v>
      </c>
      <c r="N371" t="s">
        <v>875</v>
      </c>
      <c r="O371" t="s">
        <v>896</v>
      </c>
      <c r="P371" t="s">
        <v>877</v>
      </c>
      <c r="Q371" s="7">
        <v>135000</v>
      </c>
    </row>
    <row r="372" spans="1:17">
      <c r="A372" t="s">
        <v>1267</v>
      </c>
      <c r="B372" s="6">
        <v>45733</v>
      </c>
      <c r="C372" t="s">
        <v>358</v>
      </c>
      <c r="D372" t="s">
        <v>761</v>
      </c>
      <c r="E372">
        <v>1</v>
      </c>
      <c r="F372" s="7">
        <v>75000</v>
      </c>
      <c r="G372" s="7">
        <v>75000</v>
      </c>
      <c r="H372" t="s">
        <v>872</v>
      </c>
      <c r="I372" s="7">
        <v>0</v>
      </c>
      <c r="J372" s="7">
        <v>30000</v>
      </c>
      <c r="K372" s="7">
        <v>105000</v>
      </c>
      <c r="L372" t="s">
        <v>889</v>
      </c>
      <c r="M372" t="s">
        <v>881</v>
      </c>
      <c r="N372" t="s">
        <v>875</v>
      </c>
      <c r="O372" t="s">
        <v>876</v>
      </c>
      <c r="P372" t="s">
        <v>877</v>
      </c>
      <c r="Q372" s="7">
        <v>75000</v>
      </c>
    </row>
    <row r="373" spans="1:17">
      <c r="A373" t="s">
        <v>1268</v>
      </c>
      <c r="B373" s="6">
        <v>45787</v>
      </c>
      <c r="C373" t="s">
        <v>206</v>
      </c>
      <c r="D373" t="s">
        <v>795</v>
      </c>
      <c r="E373">
        <v>2</v>
      </c>
      <c r="F373" s="7">
        <v>100000</v>
      </c>
      <c r="G373" s="7">
        <v>200000</v>
      </c>
      <c r="H373" t="s">
        <v>872</v>
      </c>
      <c r="I373" s="7">
        <v>0</v>
      </c>
      <c r="J373" s="7">
        <v>15000</v>
      </c>
      <c r="K373" s="7">
        <v>215000</v>
      </c>
      <c r="L373" t="s">
        <v>873</v>
      </c>
      <c r="M373" t="s">
        <v>874</v>
      </c>
      <c r="N373" t="s">
        <v>890</v>
      </c>
      <c r="O373" t="s">
        <v>896</v>
      </c>
      <c r="P373" t="s">
        <v>892</v>
      </c>
      <c r="Q373" s="7">
        <v>200000</v>
      </c>
    </row>
    <row r="374" spans="1:17">
      <c r="A374" t="s">
        <v>1269</v>
      </c>
      <c r="B374" s="6">
        <v>45835</v>
      </c>
      <c r="C374" t="s">
        <v>710</v>
      </c>
      <c r="D374" t="s">
        <v>781</v>
      </c>
      <c r="E374">
        <v>1</v>
      </c>
      <c r="F374" s="7">
        <v>50000</v>
      </c>
      <c r="G374" s="7">
        <v>50000</v>
      </c>
      <c r="H374" t="s">
        <v>895</v>
      </c>
      <c r="I374" s="7">
        <v>7500</v>
      </c>
      <c r="J374" s="7">
        <v>20000</v>
      </c>
      <c r="K374" s="7">
        <v>62500</v>
      </c>
      <c r="L374" t="s">
        <v>884</v>
      </c>
      <c r="M374" t="s">
        <v>903</v>
      </c>
      <c r="N374" t="s">
        <v>921</v>
      </c>
      <c r="O374" t="s">
        <v>915</v>
      </c>
      <c r="P374" t="s">
        <v>892</v>
      </c>
      <c r="Q374" s="7">
        <v>42500</v>
      </c>
    </row>
    <row r="375" spans="1:17">
      <c r="A375" t="s">
        <v>1270</v>
      </c>
      <c r="B375" s="6">
        <v>45823</v>
      </c>
      <c r="C375" t="s">
        <v>462</v>
      </c>
      <c r="D375" t="s">
        <v>725</v>
      </c>
      <c r="E375">
        <v>3</v>
      </c>
      <c r="F375" s="7">
        <v>300000</v>
      </c>
      <c r="G375" s="7">
        <v>900000</v>
      </c>
      <c r="H375" t="s">
        <v>872</v>
      </c>
      <c r="I375" s="7">
        <v>0</v>
      </c>
      <c r="J375" s="7">
        <v>20000</v>
      </c>
      <c r="K375" s="7">
        <v>920000</v>
      </c>
      <c r="L375" t="s">
        <v>889</v>
      </c>
      <c r="M375" t="s">
        <v>903</v>
      </c>
      <c r="N375" t="s">
        <v>875</v>
      </c>
      <c r="O375" t="s">
        <v>915</v>
      </c>
      <c r="P375" t="s">
        <v>877</v>
      </c>
      <c r="Q375" s="7">
        <v>900000</v>
      </c>
    </row>
    <row r="376" spans="1:17">
      <c r="A376" t="s">
        <v>1271</v>
      </c>
      <c r="B376" s="6">
        <v>45757</v>
      </c>
      <c r="C376" t="s">
        <v>574</v>
      </c>
      <c r="D376" t="s">
        <v>755</v>
      </c>
      <c r="E376">
        <v>4</v>
      </c>
      <c r="F376" s="7">
        <v>50000</v>
      </c>
      <c r="G376" s="7">
        <v>200000</v>
      </c>
      <c r="H376" t="s">
        <v>895</v>
      </c>
      <c r="I376" s="7">
        <v>30000</v>
      </c>
      <c r="J376" s="7">
        <v>25000</v>
      </c>
      <c r="K376" s="7">
        <v>195000</v>
      </c>
      <c r="L376" t="s">
        <v>880</v>
      </c>
      <c r="M376" t="s">
        <v>874</v>
      </c>
      <c r="N376" t="s">
        <v>890</v>
      </c>
      <c r="O376" t="s">
        <v>891</v>
      </c>
      <c r="P376" t="s">
        <v>892</v>
      </c>
      <c r="Q376" s="7">
        <v>170000</v>
      </c>
    </row>
    <row r="377" spans="1:17">
      <c r="A377" t="s">
        <v>1272</v>
      </c>
      <c r="B377" s="6">
        <v>45758</v>
      </c>
      <c r="C377" t="s">
        <v>698</v>
      </c>
      <c r="D377" t="s">
        <v>759</v>
      </c>
      <c r="E377">
        <v>1</v>
      </c>
      <c r="F377" s="7">
        <v>300000</v>
      </c>
      <c r="G377" s="7">
        <v>300000</v>
      </c>
      <c r="H377" t="s">
        <v>872</v>
      </c>
      <c r="I377" s="7">
        <v>0</v>
      </c>
      <c r="J377" s="7">
        <v>30000</v>
      </c>
      <c r="K377" s="7">
        <v>330000</v>
      </c>
      <c r="L377" t="s">
        <v>889</v>
      </c>
      <c r="M377" t="s">
        <v>881</v>
      </c>
      <c r="N377" t="s">
        <v>875</v>
      </c>
      <c r="O377" t="s">
        <v>891</v>
      </c>
      <c r="P377" t="s">
        <v>877</v>
      </c>
      <c r="Q377" s="7">
        <v>300000</v>
      </c>
    </row>
    <row r="378" spans="1:17">
      <c r="A378" t="s">
        <v>1273</v>
      </c>
      <c r="B378" s="6">
        <v>45806</v>
      </c>
      <c r="C378" t="s">
        <v>210</v>
      </c>
      <c r="D378" t="s">
        <v>805</v>
      </c>
      <c r="E378">
        <v>4</v>
      </c>
      <c r="F378" s="7">
        <v>200000</v>
      </c>
      <c r="G378" s="7">
        <v>800000</v>
      </c>
      <c r="H378" t="s">
        <v>895</v>
      </c>
      <c r="I378" s="7">
        <v>120000</v>
      </c>
      <c r="J378" s="7">
        <v>10000</v>
      </c>
      <c r="K378" s="7">
        <v>690000</v>
      </c>
      <c r="L378" t="s">
        <v>889</v>
      </c>
      <c r="M378" t="s">
        <v>903</v>
      </c>
      <c r="N378" t="s">
        <v>875</v>
      </c>
      <c r="O378" t="s">
        <v>896</v>
      </c>
      <c r="P378" t="s">
        <v>877</v>
      </c>
      <c r="Q378" s="7">
        <v>680000</v>
      </c>
    </row>
    <row r="379" spans="1:17">
      <c r="A379" t="s">
        <v>1274</v>
      </c>
      <c r="B379" s="6">
        <v>45713</v>
      </c>
      <c r="C379" t="s">
        <v>392</v>
      </c>
      <c r="D379" t="s">
        <v>847</v>
      </c>
      <c r="E379">
        <v>4</v>
      </c>
      <c r="F379" s="7">
        <v>100000</v>
      </c>
      <c r="G379" s="7">
        <v>400000</v>
      </c>
      <c r="H379" t="s">
        <v>872</v>
      </c>
      <c r="I379" s="7">
        <v>0</v>
      </c>
      <c r="J379" s="7">
        <v>20000</v>
      </c>
      <c r="K379" s="7">
        <v>420000</v>
      </c>
      <c r="L379" t="s">
        <v>880</v>
      </c>
      <c r="M379" t="s">
        <v>903</v>
      </c>
      <c r="N379" t="s">
        <v>911</v>
      </c>
      <c r="O379" t="s">
        <v>887</v>
      </c>
      <c r="P379" t="s">
        <v>892</v>
      </c>
      <c r="Q379" s="7">
        <v>400000</v>
      </c>
    </row>
    <row r="380" spans="1:17">
      <c r="A380" t="s">
        <v>1275</v>
      </c>
      <c r="B380" s="6">
        <v>45782</v>
      </c>
      <c r="C380" t="s">
        <v>530</v>
      </c>
      <c r="D380" t="s">
        <v>811</v>
      </c>
      <c r="E380">
        <v>1</v>
      </c>
      <c r="F380" s="7">
        <v>35000</v>
      </c>
      <c r="G380" s="7">
        <v>35000</v>
      </c>
      <c r="H380" t="s">
        <v>883</v>
      </c>
      <c r="I380" s="7">
        <v>3500</v>
      </c>
      <c r="J380" s="7">
        <v>30000</v>
      </c>
      <c r="K380" s="7">
        <v>61500</v>
      </c>
      <c r="L380" t="s">
        <v>884</v>
      </c>
      <c r="M380" t="s">
        <v>881</v>
      </c>
      <c r="N380" t="s">
        <v>921</v>
      </c>
      <c r="O380" t="s">
        <v>896</v>
      </c>
      <c r="P380" t="s">
        <v>892</v>
      </c>
      <c r="Q380" s="7">
        <v>31500</v>
      </c>
    </row>
    <row r="381" spans="1:17">
      <c r="A381" t="s">
        <v>1276</v>
      </c>
      <c r="B381" s="6">
        <v>45766</v>
      </c>
      <c r="C381" t="s">
        <v>712</v>
      </c>
      <c r="D381" t="s">
        <v>805</v>
      </c>
      <c r="E381">
        <v>4</v>
      </c>
      <c r="F381" s="7">
        <v>200000</v>
      </c>
      <c r="G381" s="7">
        <v>800000</v>
      </c>
      <c r="H381" t="s">
        <v>879</v>
      </c>
      <c r="I381" s="7">
        <v>160000</v>
      </c>
      <c r="J381" s="7">
        <v>20000</v>
      </c>
      <c r="K381" s="7">
        <v>660000</v>
      </c>
      <c r="L381" t="s">
        <v>884</v>
      </c>
      <c r="M381" t="s">
        <v>901</v>
      </c>
      <c r="N381" t="s">
        <v>875</v>
      </c>
      <c r="O381" t="s">
        <v>891</v>
      </c>
      <c r="P381" t="s">
        <v>877</v>
      </c>
      <c r="Q381" s="7">
        <v>640000</v>
      </c>
    </row>
    <row r="382" spans="1:17">
      <c r="A382" t="s">
        <v>1277</v>
      </c>
      <c r="B382" s="6">
        <v>45806</v>
      </c>
      <c r="C382" t="s">
        <v>626</v>
      </c>
      <c r="D382" t="s">
        <v>841</v>
      </c>
      <c r="E382">
        <v>1</v>
      </c>
      <c r="F382" s="7">
        <v>75000</v>
      </c>
      <c r="G382" s="7">
        <v>75000</v>
      </c>
      <c r="H382" t="s">
        <v>886</v>
      </c>
      <c r="I382" s="7">
        <v>7500</v>
      </c>
      <c r="J382" s="7">
        <v>25000</v>
      </c>
      <c r="K382" s="7">
        <v>92500</v>
      </c>
      <c r="L382" t="s">
        <v>889</v>
      </c>
      <c r="M382" t="s">
        <v>874</v>
      </c>
      <c r="N382" t="s">
        <v>875</v>
      </c>
      <c r="O382" t="s">
        <v>896</v>
      </c>
      <c r="P382" t="s">
        <v>877</v>
      </c>
      <c r="Q382" s="7">
        <v>67500</v>
      </c>
    </row>
    <row r="383" spans="1:17">
      <c r="A383" t="s">
        <v>1278</v>
      </c>
      <c r="B383" s="6">
        <v>45817</v>
      </c>
      <c r="C383" t="s">
        <v>384</v>
      </c>
      <c r="D383" t="s">
        <v>765</v>
      </c>
      <c r="E383">
        <v>1</v>
      </c>
      <c r="F383" s="7">
        <v>500000</v>
      </c>
      <c r="G383" s="7">
        <v>500000</v>
      </c>
      <c r="H383" t="s">
        <v>883</v>
      </c>
      <c r="I383" s="7">
        <v>50000</v>
      </c>
      <c r="J383" s="7">
        <v>15000</v>
      </c>
      <c r="K383" s="7">
        <v>465000</v>
      </c>
      <c r="L383" t="s">
        <v>880</v>
      </c>
      <c r="M383" t="s">
        <v>901</v>
      </c>
      <c r="N383" t="s">
        <v>875</v>
      </c>
      <c r="O383" t="s">
        <v>915</v>
      </c>
      <c r="P383" t="s">
        <v>877</v>
      </c>
      <c r="Q383" s="7">
        <v>450000</v>
      </c>
    </row>
    <row r="384" spans="1:17">
      <c r="A384" t="s">
        <v>1279</v>
      </c>
      <c r="B384" s="6">
        <v>45740</v>
      </c>
      <c r="C384" t="s">
        <v>67</v>
      </c>
      <c r="D384" t="s">
        <v>737</v>
      </c>
      <c r="E384">
        <v>2</v>
      </c>
      <c r="F384" s="7">
        <v>300000</v>
      </c>
      <c r="G384" s="7">
        <v>600000</v>
      </c>
      <c r="H384" t="s">
        <v>895</v>
      </c>
      <c r="I384" s="7">
        <v>90000</v>
      </c>
      <c r="J384" s="7">
        <v>20000</v>
      </c>
      <c r="K384" s="7">
        <v>530000</v>
      </c>
      <c r="L384" t="s">
        <v>873</v>
      </c>
      <c r="M384" t="s">
        <v>903</v>
      </c>
      <c r="N384" t="s">
        <v>875</v>
      </c>
      <c r="O384" t="s">
        <v>876</v>
      </c>
      <c r="P384" t="s">
        <v>877</v>
      </c>
      <c r="Q384" s="7">
        <v>510000</v>
      </c>
    </row>
    <row r="385" spans="1:17">
      <c r="A385" t="s">
        <v>1280</v>
      </c>
      <c r="B385" s="6">
        <v>45810</v>
      </c>
      <c r="C385" t="s">
        <v>570</v>
      </c>
      <c r="D385" t="s">
        <v>831</v>
      </c>
      <c r="E385">
        <v>1</v>
      </c>
      <c r="F385" s="7">
        <v>300000</v>
      </c>
      <c r="G385" s="7">
        <v>300000</v>
      </c>
      <c r="H385" t="s">
        <v>872</v>
      </c>
      <c r="I385" s="7">
        <v>0</v>
      </c>
      <c r="J385" s="7">
        <v>30000</v>
      </c>
      <c r="K385" s="7">
        <v>330000</v>
      </c>
      <c r="L385" t="s">
        <v>884</v>
      </c>
      <c r="M385" t="s">
        <v>903</v>
      </c>
      <c r="N385" t="s">
        <v>905</v>
      </c>
      <c r="O385" t="s">
        <v>915</v>
      </c>
      <c r="P385" t="s">
        <v>892</v>
      </c>
      <c r="Q385" s="7">
        <v>300000</v>
      </c>
    </row>
    <row r="386" spans="1:17">
      <c r="A386" t="s">
        <v>1281</v>
      </c>
      <c r="B386" s="6">
        <v>45716</v>
      </c>
      <c r="C386" t="s">
        <v>119</v>
      </c>
      <c r="D386" t="s">
        <v>777</v>
      </c>
      <c r="E386">
        <v>2</v>
      </c>
      <c r="F386" s="7">
        <v>200000</v>
      </c>
      <c r="G386" s="7">
        <v>400000</v>
      </c>
      <c r="H386" t="s">
        <v>895</v>
      </c>
      <c r="I386" s="7">
        <v>60000</v>
      </c>
      <c r="J386" s="7">
        <v>10000</v>
      </c>
      <c r="K386" s="7">
        <v>350000</v>
      </c>
      <c r="L386" t="s">
        <v>880</v>
      </c>
      <c r="M386" t="s">
        <v>903</v>
      </c>
      <c r="N386" t="s">
        <v>875</v>
      </c>
      <c r="O386" t="s">
        <v>887</v>
      </c>
      <c r="P386" t="s">
        <v>877</v>
      </c>
      <c r="Q386" s="7">
        <v>340000</v>
      </c>
    </row>
    <row r="387" spans="1:17">
      <c r="A387" t="s">
        <v>1282</v>
      </c>
      <c r="B387" s="6">
        <v>45671</v>
      </c>
      <c r="C387" t="s">
        <v>424</v>
      </c>
      <c r="D387" t="s">
        <v>799</v>
      </c>
      <c r="E387">
        <v>1</v>
      </c>
      <c r="F387" s="7">
        <v>35000</v>
      </c>
      <c r="G387" s="7">
        <v>35000</v>
      </c>
      <c r="H387" t="s">
        <v>872</v>
      </c>
      <c r="I387" s="7">
        <v>0</v>
      </c>
      <c r="J387" s="7">
        <v>20000</v>
      </c>
      <c r="K387" s="7">
        <v>55000</v>
      </c>
      <c r="L387" t="s">
        <v>884</v>
      </c>
      <c r="M387" t="s">
        <v>903</v>
      </c>
      <c r="N387" t="s">
        <v>905</v>
      </c>
      <c r="O387" t="s">
        <v>908</v>
      </c>
      <c r="P387" t="s">
        <v>892</v>
      </c>
      <c r="Q387" s="7">
        <v>35000</v>
      </c>
    </row>
    <row r="388" spans="1:17">
      <c r="A388" t="s">
        <v>1283</v>
      </c>
      <c r="B388" s="6">
        <v>45678</v>
      </c>
      <c r="C388" t="s">
        <v>284</v>
      </c>
      <c r="D388" t="s">
        <v>781</v>
      </c>
      <c r="E388">
        <v>1</v>
      </c>
      <c r="F388" s="7">
        <v>50000</v>
      </c>
      <c r="G388" s="7">
        <v>50000</v>
      </c>
      <c r="H388" t="s">
        <v>872</v>
      </c>
      <c r="I388" s="7">
        <v>0</v>
      </c>
      <c r="J388" s="7">
        <v>20000</v>
      </c>
      <c r="K388" s="7">
        <v>70000</v>
      </c>
      <c r="L388" t="s">
        <v>880</v>
      </c>
      <c r="M388" t="s">
        <v>903</v>
      </c>
      <c r="N388" t="s">
        <v>875</v>
      </c>
      <c r="O388" t="s">
        <v>908</v>
      </c>
      <c r="P388" t="s">
        <v>877</v>
      </c>
      <c r="Q388" s="7">
        <v>50000</v>
      </c>
    </row>
    <row r="389" spans="1:17">
      <c r="A389" t="s">
        <v>1284</v>
      </c>
      <c r="B389" s="6">
        <v>45722</v>
      </c>
      <c r="C389" t="s">
        <v>146</v>
      </c>
      <c r="D389" t="s">
        <v>749</v>
      </c>
      <c r="E389">
        <v>2</v>
      </c>
      <c r="F389" s="7">
        <v>150000</v>
      </c>
      <c r="G389" s="7">
        <v>300000</v>
      </c>
      <c r="H389" t="s">
        <v>886</v>
      </c>
      <c r="I389" s="7">
        <v>30000</v>
      </c>
      <c r="J389" s="7">
        <v>10000</v>
      </c>
      <c r="K389" s="7">
        <v>280000</v>
      </c>
      <c r="L389" t="s">
        <v>889</v>
      </c>
      <c r="M389" t="s">
        <v>903</v>
      </c>
      <c r="N389" t="s">
        <v>875</v>
      </c>
      <c r="O389" t="s">
        <v>876</v>
      </c>
      <c r="P389" t="s">
        <v>877</v>
      </c>
      <c r="Q389" s="7">
        <v>270000</v>
      </c>
    </row>
    <row r="390" spans="1:17">
      <c r="A390" t="s">
        <v>1285</v>
      </c>
      <c r="B390" s="6">
        <v>45750</v>
      </c>
      <c r="C390" t="s">
        <v>302</v>
      </c>
      <c r="D390" t="s">
        <v>835</v>
      </c>
      <c r="E390">
        <v>2</v>
      </c>
      <c r="F390" s="7">
        <v>200000</v>
      </c>
      <c r="G390" s="7">
        <v>400000</v>
      </c>
      <c r="H390" t="s">
        <v>895</v>
      </c>
      <c r="I390" s="7">
        <v>60000</v>
      </c>
      <c r="J390" s="7">
        <v>25000</v>
      </c>
      <c r="K390" s="7">
        <v>365000</v>
      </c>
      <c r="L390" t="s">
        <v>889</v>
      </c>
      <c r="M390" t="s">
        <v>881</v>
      </c>
      <c r="N390" t="s">
        <v>890</v>
      </c>
      <c r="O390" t="s">
        <v>891</v>
      </c>
      <c r="P390" t="s">
        <v>892</v>
      </c>
      <c r="Q390" s="7">
        <v>340000</v>
      </c>
    </row>
    <row r="391" spans="1:17">
      <c r="A391" t="s">
        <v>1286</v>
      </c>
      <c r="B391" s="6">
        <v>45697</v>
      </c>
      <c r="C391" t="s">
        <v>254</v>
      </c>
      <c r="D391" t="s">
        <v>775</v>
      </c>
      <c r="E391">
        <v>3</v>
      </c>
      <c r="F391" s="7">
        <v>75000</v>
      </c>
      <c r="G391" s="7">
        <v>225000</v>
      </c>
      <c r="H391" t="s">
        <v>872</v>
      </c>
      <c r="I391" s="7">
        <v>0</v>
      </c>
      <c r="J391" s="7">
        <v>30000</v>
      </c>
      <c r="K391" s="7">
        <v>255000</v>
      </c>
      <c r="L391" t="s">
        <v>873</v>
      </c>
      <c r="M391" t="s">
        <v>903</v>
      </c>
      <c r="N391" t="s">
        <v>911</v>
      </c>
      <c r="O391" t="s">
        <v>887</v>
      </c>
      <c r="P391" t="s">
        <v>892</v>
      </c>
      <c r="Q391" s="7">
        <v>225000</v>
      </c>
    </row>
    <row r="392" spans="1:17">
      <c r="A392" t="s">
        <v>1287</v>
      </c>
      <c r="B392" s="6">
        <v>45723</v>
      </c>
      <c r="C392" t="s">
        <v>604</v>
      </c>
      <c r="D392" t="s">
        <v>833</v>
      </c>
      <c r="E392">
        <v>3</v>
      </c>
      <c r="F392" s="7">
        <v>200000</v>
      </c>
      <c r="G392" s="7">
        <v>600000</v>
      </c>
      <c r="H392" t="s">
        <v>886</v>
      </c>
      <c r="I392" s="7">
        <v>60000</v>
      </c>
      <c r="J392" s="7">
        <v>20000</v>
      </c>
      <c r="K392" s="7">
        <v>560000</v>
      </c>
      <c r="L392" t="s">
        <v>889</v>
      </c>
      <c r="M392" t="s">
        <v>881</v>
      </c>
      <c r="N392" t="s">
        <v>875</v>
      </c>
      <c r="O392" t="s">
        <v>876</v>
      </c>
      <c r="P392" t="s">
        <v>877</v>
      </c>
      <c r="Q392" s="7">
        <v>540000</v>
      </c>
    </row>
    <row r="393" spans="1:17">
      <c r="A393" t="s">
        <v>1288</v>
      </c>
      <c r="B393" s="6">
        <v>45807</v>
      </c>
      <c r="C393" t="s">
        <v>314</v>
      </c>
      <c r="D393" t="s">
        <v>751</v>
      </c>
      <c r="E393">
        <v>2</v>
      </c>
      <c r="F393" s="7">
        <v>150000</v>
      </c>
      <c r="G393" s="7">
        <v>300000</v>
      </c>
      <c r="H393" t="s">
        <v>886</v>
      </c>
      <c r="I393" s="7">
        <v>30000</v>
      </c>
      <c r="J393" s="7">
        <v>20000</v>
      </c>
      <c r="K393" s="7">
        <v>290000</v>
      </c>
      <c r="L393" t="s">
        <v>889</v>
      </c>
      <c r="M393" t="s">
        <v>874</v>
      </c>
      <c r="N393" t="s">
        <v>875</v>
      </c>
      <c r="O393" t="s">
        <v>896</v>
      </c>
      <c r="P393" t="s">
        <v>877</v>
      </c>
      <c r="Q393" s="7">
        <v>270000</v>
      </c>
    </row>
    <row r="394" spans="1:17">
      <c r="A394" t="s">
        <v>1289</v>
      </c>
      <c r="B394" s="6">
        <v>45664</v>
      </c>
      <c r="C394" t="s">
        <v>107</v>
      </c>
      <c r="D394" t="s">
        <v>853</v>
      </c>
      <c r="E394">
        <v>4</v>
      </c>
      <c r="F394" s="7">
        <v>75000</v>
      </c>
      <c r="G394" s="7">
        <v>300000</v>
      </c>
      <c r="H394" t="s">
        <v>872</v>
      </c>
      <c r="I394" s="7">
        <v>0</v>
      </c>
      <c r="J394" s="7">
        <v>10000</v>
      </c>
      <c r="K394" s="7">
        <v>310000</v>
      </c>
      <c r="L394" t="s">
        <v>884</v>
      </c>
      <c r="M394" t="s">
        <v>881</v>
      </c>
      <c r="N394" t="s">
        <v>890</v>
      </c>
      <c r="O394" t="s">
        <v>908</v>
      </c>
      <c r="P394" t="s">
        <v>892</v>
      </c>
      <c r="Q394" s="7">
        <v>300000</v>
      </c>
    </row>
    <row r="395" spans="1:17">
      <c r="A395" t="s">
        <v>1290</v>
      </c>
      <c r="B395" s="6">
        <v>45820</v>
      </c>
      <c r="C395" t="s">
        <v>376</v>
      </c>
      <c r="D395" t="s">
        <v>775</v>
      </c>
      <c r="E395">
        <v>2</v>
      </c>
      <c r="F395" s="7">
        <v>75000</v>
      </c>
      <c r="G395" s="7">
        <v>150000</v>
      </c>
      <c r="H395" t="s">
        <v>886</v>
      </c>
      <c r="I395" s="7">
        <v>15000</v>
      </c>
      <c r="J395" s="7">
        <v>30000</v>
      </c>
      <c r="K395" s="7">
        <v>165000</v>
      </c>
      <c r="L395" t="s">
        <v>873</v>
      </c>
      <c r="M395" t="s">
        <v>881</v>
      </c>
      <c r="N395" t="s">
        <v>911</v>
      </c>
      <c r="O395" t="s">
        <v>915</v>
      </c>
      <c r="P395" t="s">
        <v>892</v>
      </c>
      <c r="Q395" s="7">
        <v>135000</v>
      </c>
    </row>
    <row r="396" spans="1:17">
      <c r="A396" t="s">
        <v>1291</v>
      </c>
      <c r="B396" s="6">
        <v>45767</v>
      </c>
      <c r="C396" t="s">
        <v>570</v>
      </c>
      <c r="D396" t="s">
        <v>855</v>
      </c>
      <c r="E396">
        <v>4</v>
      </c>
      <c r="F396" s="7">
        <v>150000</v>
      </c>
      <c r="G396" s="7">
        <v>600000</v>
      </c>
      <c r="H396" t="s">
        <v>883</v>
      </c>
      <c r="I396" s="7">
        <v>60000</v>
      </c>
      <c r="J396" s="7">
        <v>30000</v>
      </c>
      <c r="K396" s="7">
        <v>570000</v>
      </c>
      <c r="L396" t="s">
        <v>884</v>
      </c>
      <c r="M396" t="s">
        <v>901</v>
      </c>
      <c r="N396" t="s">
        <v>875</v>
      </c>
      <c r="O396" t="s">
        <v>891</v>
      </c>
      <c r="P396" t="s">
        <v>877</v>
      </c>
      <c r="Q396" s="7">
        <v>540000</v>
      </c>
    </row>
    <row r="397" spans="1:17">
      <c r="A397" t="s">
        <v>1292</v>
      </c>
      <c r="B397" s="6">
        <v>45804</v>
      </c>
      <c r="C397" t="s">
        <v>34</v>
      </c>
      <c r="D397" t="s">
        <v>803</v>
      </c>
      <c r="E397">
        <v>1</v>
      </c>
      <c r="F397" s="7">
        <v>50000</v>
      </c>
      <c r="G397" s="7">
        <v>50000</v>
      </c>
      <c r="H397" t="s">
        <v>886</v>
      </c>
      <c r="I397" s="7">
        <v>5000</v>
      </c>
      <c r="J397" s="7">
        <v>15000</v>
      </c>
      <c r="K397" s="7">
        <v>60000</v>
      </c>
      <c r="L397" t="s">
        <v>889</v>
      </c>
      <c r="M397" t="s">
        <v>881</v>
      </c>
      <c r="N397" t="s">
        <v>875</v>
      </c>
      <c r="O397" t="s">
        <v>896</v>
      </c>
      <c r="P397" t="s">
        <v>877</v>
      </c>
      <c r="Q397" s="7">
        <v>45000</v>
      </c>
    </row>
    <row r="398" spans="1:17">
      <c r="A398" t="s">
        <v>1293</v>
      </c>
      <c r="B398" s="6">
        <v>45817</v>
      </c>
      <c r="C398" t="s">
        <v>121</v>
      </c>
      <c r="D398" t="s">
        <v>765</v>
      </c>
      <c r="E398">
        <v>2</v>
      </c>
      <c r="F398" s="7">
        <v>500000</v>
      </c>
      <c r="G398" s="7">
        <v>1000000</v>
      </c>
      <c r="H398" t="s">
        <v>879</v>
      </c>
      <c r="I398" s="7">
        <v>200000</v>
      </c>
      <c r="J398" s="7">
        <v>25000</v>
      </c>
      <c r="K398" s="7">
        <v>825000</v>
      </c>
      <c r="L398" t="s">
        <v>880</v>
      </c>
      <c r="M398" t="s">
        <v>901</v>
      </c>
      <c r="N398" t="s">
        <v>875</v>
      </c>
      <c r="O398" t="s">
        <v>915</v>
      </c>
      <c r="P398" t="s">
        <v>877</v>
      </c>
      <c r="Q398" s="7">
        <v>800000</v>
      </c>
    </row>
    <row r="399" spans="1:17">
      <c r="A399" t="s">
        <v>1294</v>
      </c>
      <c r="B399" s="6">
        <v>45713</v>
      </c>
      <c r="C399" t="s">
        <v>238</v>
      </c>
      <c r="D399" t="s">
        <v>751</v>
      </c>
      <c r="E399">
        <v>2</v>
      </c>
      <c r="F399" s="7">
        <v>150000</v>
      </c>
      <c r="G399" s="7">
        <v>300000</v>
      </c>
      <c r="H399" t="s">
        <v>872</v>
      </c>
      <c r="I399" s="7">
        <v>0</v>
      </c>
      <c r="J399" s="7">
        <v>25000</v>
      </c>
      <c r="K399" s="7">
        <v>325000</v>
      </c>
      <c r="L399" t="s">
        <v>889</v>
      </c>
      <c r="M399" t="s">
        <v>881</v>
      </c>
      <c r="N399" t="s">
        <v>875</v>
      </c>
      <c r="O399" t="s">
        <v>887</v>
      </c>
      <c r="P399" t="s">
        <v>877</v>
      </c>
      <c r="Q399" s="7">
        <v>300000</v>
      </c>
    </row>
    <row r="400" spans="1:17">
      <c r="A400" t="s">
        <v>1295</v>
      </c>
      <c r="B400" s="6">
        <v>45782</v>
      </c>
      <c r="C400" t="s">
        <v>40</v>
      </c>
      <c r="D400" t="s">
        <v>799</v>
      </c>
      <c r="E400">
        <v>2</v>
      </c>
      <c r="F400" s="7">
        <v>35000</v>
      </c>
      <c r="G400" s="7">
        <v>70000</v>
      </c>
      <c r="H400" t="s">
        <v>895</v>
      </c>
      <c r="I400" s="7">
        <v>10500</v>
      </c>
      <c r="J400" s="7">
        <v>15000</v>
      </c>
      <c r="K400" s="7">
        <v>74500</v>
      </c>
      <c r="L400" t="s">
        <v>880</v>
      </c>
      <c r="M400" t="s">
        <v>881</v>
      </c>
      <c r="N400" t="s">
        <v>875</v>
      </c>
      <c r="O400" t="s">
        <v>896</v>
      </c>
      <c r="P400" t="s">
        <v>877</v>
      </c>
      <c r="Q400" s="7">
        <v>59500</v>
      </c>
    </row>
    <row r="401" spans="1:17">
      <c r="A401" t="s">
        <v>1296</v>
      </c>
      <c r="B401" s="6">
        <v>45688</v>
      </c>
      <c r="C401" t="s">
        <v>34</v>
      </c>
      <c r="D401" t="s">
        <v>791</v>
      </c>
      <c r="E401">
        <v>3</v>
      </c>
      <c r="F401" s="7">
        <v>50000</v>
      </c>
      <c r="G401" s="7">
        <v>150000</v>
      </c>
      <c r="H401" t="s">
        <v>895</v>
      </c>
      <c r="I401" s="7">
        <v>22500</v>
      </c>
      <c r="J401" s="7">
        <v>20000</v>
      </c>
      <c r="K401" s="7">
        <v>147500</v>
      </c>
      <c r="L401" t="s">
        <v>889</v>
      </c>
      <c r="M401" t="s">
        <v>903</v>
      </c>
      <c r="N401" t="s">
        <v>905</v>
      </c>
      <c r="O401" t="s">
        <v>908</v>
      </c>
      <c r="P401" t="s">
        <v>892</v>
      </c>
      <c r="Q401" s="7">
        <v>127500</v>
      </c>
    </row>
    <row r="402" spans="1:17">
      <c r="A402" t="s">
        <v>1297</v>
      </c>
      <c r="B402" s="6">
        <v>45829</v>
      </c>
      <c r="C402" t="s">
        <v>242</v>
      </c>
      <c r="D402" t="s">
        <v>855</v>
      </c>
      <c r="E402">
        <v>3</v>
      </c>
      <c r="F402" s="7">
        <v>150000</v>
      </c>
      <c r="G402" s="7">
        <v>450000</v>
      </c>
      <c r="H402" t="s">
        <v>872</v>
      </c>
      <c r="I402" s="7">
        <v>0</v>
      </c>
      <c r="J402" s="7">
        <v>10000</v>
      </c>
      <c r="K402" s="7">
        <v>460000</v>
      </c>
      <c r="L402" t="s">
        <v>884</v>
      </c>
      <c r="M402" t="s">
        <v>881</v>
      </c>
      <c r="N402" t="s">
        <v>905</v>
      </c>
      <c r="O402" t="s">
        <v>915</v>
      </c>
      <c r="P402" t="s">
        <v>892</v>
      </c>
      <c r="Q402" s="7">
        <v>450000</v>
      </c>
    </row>
    <row r="403" spans="1:17">
      <c r="A403" t="s">
        <v>1298</v>
      </c>
      <c r="B403" s="6">
        <v>45763</v>
      </c>
      <c r="C403" t="s">
        <v>380</v>
      </c>
      <c r="D403" t="s">
        <v>847</v>
      </c>
      <c r="E403">
        <v>1</v>
      </c>
      <c r="F403" s="7">
        <v>100000</v>
      </c>
      <c r="G403" s="7">
        <v>100000</v>
      </c>
      <c r="H403" t="s">
        <v>886</v>
      </c>
      <c r="I403" s="7">
        <v>10000</v>
      </c>
      <c r="J403" s="7">
        <v>25000</v>
      </c>
      <c r="K403" s="7">
        <v>115000</v>
      </c>
      <c r="L403" t="s">
        <v>873</v>
      </c>
      <c r="M403" t="s">
        <v>874</v>
      </c>
      <c r="N403" t="s">
        <v>875</v>
      </c>
      <c r="O403" t="s">
        <v>891</v>
      </c>
      <c r="P403" t="s">
        <v>877</v>
      </c>
      <c r="Q403" s="7">
        <v>90000</v>
      </c>
    </row>
    <row r="404" spans="1:17">
      <c r="A404" t="s">
        <v>1299</v>
      </c>
      <c r="B404" s="6">
        <v>45825</v>
      </c>
      <c r="C404" t="s">
        <v>230</v>
      </c>
      <c r="D404" t="s">
        <v>765</v>
      </c>
      <c r="E404">
        <v>4</v>
      </c>
      <c r="F404" s="7">
        <v>500000</v>
      </c>
      <c r="G404" s="7">
        <v>2000000</v>
      </c>
      <c r="H404" t="s">
        <v>895</v>
      </c>
      <c r="I404" s="7">
        <v>300000</v>
      </c>
      <c r="J404" s="7">
        <v>25000</v>
      </c>
      <c r="K404" s="7">
        <v>1725000</v>
      </c>
      <c r="L404" t="s">
        <v>880</v>
      </c>
      <c r="M404" t="s">
        <v>901</v>
      </c>
      <c r="N404" t="s">
        <v>875</v>
      </c>
      <c r="O404" t="s">
        <v>915</v>
      </c>
      <c r="P404" t="s">
        <v>877</v>
      </c>
      <c r="Q404" s="7">
        <v>1700000</v>
      </c>
    </row>
    <row r="405" spans="1:17">
      <c r="A405" t="s">
        <v>1300</v>
      </c>
      <c r="B405" s="6">
        <v>45739</v>
      </c>
      <c r="C405" t="s">
        <v>684</v>
      </c>
      <c r="D405" t="s">
        <v>767</v>
      </c>
      <c r="E405">
        <v>1</v>
      </c>
      <c r="F405" s="7">
        <v>150000</v>
      </c>
      <c r="G405" s="7">
        <v>150000</v>
      </c>
      <c r="H405" t="s">
        <v>895</v>
      </c>
      <c r="I405" s="7">
        <v>22500</v>
      </c>
      <c r="J405" s="7">
        <v>10000</v>
      </c>
      <c r="K405" s="7">
        <v>137500</v>
      </c>
      <c r="L405" t="s">
        <v>884</v>
      </c>
      <c r="M405" t="s">
        <v>881</v>
      </c>
      <c r="N405" t="s">
        <v>875</v>
      </c>
      <c r="O405" t="s">
        <v>876</v>
      </c>
      <c r="P405" t="s">
        <v>877</v>
      </c>
      <c r="Q405" s="7">
        <v>127500</v>
      </c>
    </row>
    <row r="406" spans="1:17">
      <c r="A406" t="s">
        <v>1301</v>
      </c>
      <c r="B406" s="6">
        <v>45705</v>
      </c>
      <c r="C406" t="s">
        <v>52</v>
      </c>
      <c r="D406" t="s">
        <v>767</v>
      </c>
      <c r="E406">
        <v>4</v>
      </c>
      <c r="F406" s="7">
        <v>150000</v>
      </c>
      <c r="G406" s="7">
        <v>600000</v>
      </c>
      <c r="H406" t="s">
        <v>872</v>
      </c>
      <c r="I406" s="7">
        <v>0</v>
      </c>
      <c r="J406" s="7">
        <v>30000</v>
      </c>
      <c r="K406" s="7">
        <v>630000</v>
      </c>
      <c r="L406" t="s">
        <v>884</v>
      </c>
      <c r="M406" t="s">
        <v>874</v>
      </c>
      <c r="N406" t="s">
        <v>890</v>
      </c>
      <c r="O406" t="s">
        <v>887</v>
      </c>
      <c r="P406" t="s">
        <v>892</v>
      </c>
      <c r="Q406" s="7">
        <v>600000</v>
      </c>
    </row>
    <row r="407" spans="1:17">
      <c r="A407" t="s">
        <v>1302</v>
      </c>
      <c r="B407" s="6">
        <v>45766</v>
      </c>
      <c r="C407" t="s">
        <v>692</v>
      </c>
      <c r="D407" t="s">
        <v>833</v>
      </c>
      <c r="E407">
        <v>2</v>
      </c>
      <c r="F407" s="7">
        <v>200000</v>
      </c>
      <c r="G407" s="7">
        <v>400000</v>
      </c>
      <c r="H407" t="s">
        <v>886</v>
      </c>
      <c r="I407" s="7">
        <v>40000</v>
      </c>
      <c r="J407" s="7">
        <v>25000</v>
      </c>
      <c r="K407" s="7">
        <v>385000</v>
      </c>
      <c r="L407" t="s">
        <v>873</v>
      </c>
      <c r="M407" t="s">
        <v>874</v>
      </c>
      <c r="N407" t="s">
        <v>875</v>
      </c>
      <c r="O407" t="s">
        <v>891</v>
      </c>
      <c r="P407" t="s">
        <v>877</v>
      </c>
      <c r="Q407" s="7">
        <v>360000</v>
      </c>
    </row>
    <row r="408" spans="1:17">
      <c r="A408" t="s">
        <v>1303</v>
      </c>
      <c r="B408" s="6">
        <v>45696</v>
      </c>
      <c r="C408" t="s">
        <v>162</v>
      </c>
      <c r="D408" t="s">
        <v>785</v>
      </c>
      <c r="E408">
        <v>2</v>
      </c>
      <c r="F408" s="7">
        <v>100000</v>
      </c>
      <c r="G408" s="7">
        <v>200000</v>
      </c>
      <c r="H408" t="s">
        <v>883</v>
      </c>
      <c r="I408" s="7">
        <v>20000</v>
      </c>
      <c r="J408" s="7">
        <v>30000</v>
      </c>
      <c r="K408" s="7">
        <v>210000</v>
      </c>
      <c r="L408" t="s">
        <v>889</v>
      </c>
      <c r="M408" t="s">
        <v>903</v>
      </c>
      <c r="N408" t="s">
        <v>875</v>
      </c>
      <c r="O408" t="s">
        <v>887</v>
      </c>
      <c r="P408" t="s">
        <v>877</v>
      </c>
      <c r="Q408" s="7">
        <v>180000</v>
      </c>
    </row>
    <row r="409" spans="1:17">
      <c r="A409" t="s">
        <v>1304</v>
      </c>
      <c r="B409" s="6">
        <v>45813</v>
      </c>
      <c r="C409" t="s">
        <v>280</v>
      </c>
      <c r="D409" t="s">
        <v>825</v>
      </c>
      <c r="E409">
        <v>3</v>
      </c>
      <c r="F409" s="7">
        <v>100000</v>
      </c>
      <c r="G409" s="7">
        <v>300000</v>
      </c>
      <c r="H409" t="s">
        <v>886</v>
      </c>
      <c r="I409" s="7">
        <v>30000</v>
      </c>
      <c r="J409" s="7">
        <v>10000</v>
      </c>
      <c r="K409" s="7">
        <v>280000</v>
      </c>
      <c r="L409" t="s">
        <v>884</v>
      </c>
      <c r="M409" t="s">
        <v>901</v>
      </c>
      <c r="N409" t="s">
        <v>905</v>
      </c>
      <c r="O409" t="s">
        <v>915</v>
      </c>
      <c r="P409" t="s">
        <v>892</v>
      </c>
      <c r="Q409" s="7">
        <v>270000</v>
      </c>
    </row>
    <row r="410" spans="1:17">
      <c r="A410" t="s">
        <v>1305</v>
      </c>
      <c r="B410" s="6">
        <v>45663</v>
      </c>
      <c r="C410" t="s">
        <v>430</v>
      </c>
      <c r="D410" t="s">
        <v>799</v>
      </c>
      <c r="E410">
        <v>1</v>
      </c>
      <c r="F410" s="7">
        <v>35000</v>
      </c>
      <c r="G410" s="7">
        <v>35000</v>
      </c>
      <c r="H410" t="s">
        <v>886</v>
      </c>
      <c r="I410" s="7">
        <v>3500</v>
      </c>
      <c r="J410" s="7">
        <v>30000</v>
      </c>
      <c r="K410" s="7">
        <v>61500</v>
      </c>
      <c r="L410" t="s">
        <v>880</v>
      </c>
      <c r="M410" t="s">
        <v>874</v>
      </c>
      <c r="N410" t="s">
        <v>911</v>
      </c>
      <c r="O410" t="s">
        <v>908</v>
      </c>
      <c r="P410" t="s">
        <v>892</v>
      </c>
      <c r="Q410" s="7">
        <v>31500</v>
      </c>
    </row>
    <row r="411" spans="1:17">
      <c r="A411" t="s">
        <v>1306</v>
      </c>
      <c r="B411" s="6">
        <v>45726</v>
      </c>
      <c r="C411" t="s">
        <v>398</v>
      </c>
      <c r="D411" t="s">
        <v>839</v>
      </c>
      <c r="E411">
        <v>1</v>
      </c>
      <c r="F411" s="7">
        <v>200000</v>
      </c>
      <c r="G411" s="7">
        <v>200000</v>
      </c>
      <c r="H411" t="s">
        <v>883</v>
      </c>
      <c r="I411" s="7">
        <v>20000</v>
      </c>
      <c r="J411" s="7">
        <v>25000</v>
      </c>
      <c r="K411" s="7">
        <v>205000</v>
      </c>
      <c r="L411" t="s">
        <v>884</v>
      </c>
      <c r="M411" t="s">
        <v>901</v>
      </c>
      <c r="N411" t="s">
        <v>875</v>
      </c>
      <c r="O411" t="s">
        <v>876</v>
      </c>
      <c r="P411" t="s">
        <v>877</v>
      </c>
      <c r="Q411" s="7">
        <v>180000</v>
      </c>
    </row>
    <row r="412" spans="1:17">
      <c r="A412" t="s">
        <v>1307</v>
      </c>
      <c r="B412" s="6">
        <v>45670</v>
      </c>
      <c r="C412" t="s">
        <v>107</v>
      </c>
      <c r="D412" t="s">
        <v>819</v>
      </c>
      <c r="E412">
        <v>1</v>
      </c>
      <c r="F412" s="7">
        <v>300000</v>
      </c>
      <c r="G412" s="7">
        <v>300000</v>
      </c>
      <c r="H412" t="s">
        <v>872</v>
      </c>
      <c r="I412" s="7">
        <v>0</v>
      </c>
      <c r="J412" s="7">
        <v>10000</v>
      </c>
      <c r="K412" s="7">
        <v>310000</v>
      </c>
      <c r="L412" t="s">
        <v>884</v>
      </c>
      <c r="M412" t="s">
        <v>901</v>
      </c>
      <c r="N412" t="s">
        <v>875</v>
      </c>
      <c r="O412" t="s">
        <v>908</v>
      </c>
      <c r="P412" t="s">
        <v>877</v>
      </c>
      <c r="Q412" s="7">
        <v>300000</v>
      </c>
    </row>
    <row r="413" spans="1:17">
      <c r="A413" t="s">
        <v>1308</v>
      </c>
      <c r="B413" s="6">
        <v>45786</v>
      </c>
      <c r="C413" t="s">
        <v>564</v>
      </c>
      <c r="D413" t="s">
        <v>783</v>
      </c>
      <c r="E413">
        <v>1</v>
      </c>
      <c r="F413" s="7">
        <v>500000</v>
      </c>
      <c r="G413" s="7">
        <v>500000</v>
      </c>
      <c r="H413" t="s">
        <v>872</v>
      </c>
      <c r="I413" s="7">
        <v>0</v>
      </c>
      <c r="J413" s="7">
        <v>20000</v>
      </c>
      <c r="K413" s="7">
        <v>520000</v>
      </c>
      <c r="L413" t="s">
        <v>880</v>
      </c>
      <c r="M413" t="s">
        <v>881</v>
      </c>
      <c r="N413" t="s">
        <v>875</v>
      </c>
      <c r="O413" t="s">
        <v>896</v>
      </c>
      <c r="P413" t="s">
        <v>877</v>
      </c>
      <c r="Q413" s="7">
        <v>500000</v>
      </c>
    </row>
    <row r="414" spans="1:17">
      <c r="A414" t="s">
        <v>1309</v>
      </c>
      <c r="B414" s="6">
        <v>45768</v>
      </c>
      <c r="C414" t="s">
        <v>392</v>
      </c>
      <c r="D414" t="s">
        <v>761</v>
      </c>
      <c r="E414">
        <v>4</v>
      </c>
      <c r="F414" s="7">
        <v>75000</v>
      </c>
      <c r="G414" s="7">
        <v>300000</v>
      </c>
      <c r="H414" t="s">
        <v>872</v>
      </c>
      <c r="I414" s="7">
        <v>0</v>
      </c>
      <c r="J414" s="7">
        <v>15000</v>
      </c>
      <c r="K414" s="7">
        <v>315000</v>
      </c>
      <c r="L414" t="s">
        <v>873</v>
      </c>
      <c r="M414" t="s">
        <v>901</v>
      </c>
      <c r="N414" t="s">
        <v>875</v>
      </c>
      <c r="O414" t="s">
        <v>891</v>
      </c>
      <c r="P414" t="s">
        <v>877</v>
      </c>
      <c r="Q414" s="7">
        <v>300000</v>
      </c>
    </row>
    <row r="415" spans="1:17">
      <c r="A415" t="s">
        <v>1310</v>
      </c>
      <c r="B415" s="6">
        <v>45802</v>
      </c>
      <c r="C415" t="s">
        <v>590</v>
      </c>
      <c r="D415" t="s">
        <v>813</v>
      </c>
      <c r="E415">
        <v>2</v>
      </c>
      <c r="F415" s="7">
        <v>35000</v>
      </c>
      <c r="G415" s="7">
        <v>70000</v>
      </c>
      <c r="H415" t="s">
        <v>886</v>
      </c>
      <c r="I415" s="7">
        <v>7000</v>
      </c>
      <c r="J415" s="7">
        <v>20000</v>
      </c>
      <c r="K415" s="7">
        <v>83000</v>
      </c>
      <c r="L415" t="s">
        <v>884</v>
      </c>
      <c r="M415" t="s">
        <v>903</v>
      </c>
      <c r="N415" t="s">
        <v>890</v>
      </c>
      <c r="O415" t="s">
        <v>896</v>
      </c>
      <c r="P415" t="s">
        <v>892</v>
      </c>
      <c r="Q415" s="7">
        <v>63000</v>
      </c>
    </row>
    <row r="416" spans="1:17">
      <c r="A416" t="s">
        <v>1311</v>
      </c>
      <c r="B416" s="6">
        <v>45751</v>
      </c>
      <c r="C416" t="s">
        <v>316</v>
      </c>
      <c r="D416" t="s">
        <v>831</v>
      </c>
      <c r="E416">
        <v>4</v>
      </c>
      <c r="F416" s="7">
        <v>300000</v>
      </c>
      <c r="G416" s="7">
        <v>1200000</v>
      </c>
      <c r="H416" t="s">
        <v>879</v>
      </c>
      <c r="I416" s="7">
        <v>240000</v>
      </c>
      <c r="J416" s="7">
        <v>15000</v>
      </c>
      <c r="K416" s="7">
        <v>975000</v>
      </c>
      <c r="L416" t="s">
        <v>889</v>
      </c>
      <c r="M416" t="s">
        <v>881</v>
      </c>
      <c r="N416" t="s">
        <v>875</v>
      </c>
      <c r="O416" t="s">
        <v>891</v>
      </c>
      <c r="P416" t="s">
        <v>877</v>
      </c>
      <c r="Q416" s="7">
        <v>960000</v>
      </c>
    </row>
    <row r="417" spans="1:17">
      <c r="A417" t="s">
        <v>1312</v>
      </c>
      <c r="B417" s="6">
        <v>45765</v>
      </c>
      <c r="C417" t="s">
        <v>123</v>
      </c>
      <c r="D417" t="s">
        <v>781</v>
      </c>
      <c r="E417">
        <v>2</v>
      </c>
      <c r="F417" s="7">
        <v>50000</v>
      </c>
      <c r="G417" s="7">
        <v>100000</v>
      </c>
      <c r="H417" t="s">
        <v>883</v>
      </c>
      <c r="I417" s="7">
        <v>10000</v>
      </c>
      <c r="J417" s="7">
        <v>10000</v>
      </c>
      <c r="K417" s="7">
        <v>100000</v>
      </c>
      <c r="L417" t="s">
        <v>880</v>
      </c>
      <c r="M417" t="s">
        <v>901</v>
      </c>
      <c r="N417" t="s">
        <v>875</v>
      </c>
      <c r="O417" t="s">
        <v>891</v>
      </c>
      <c r="P417" t="s">
        <v>877</v>
      </c>
      <c r="Q417" s="7">
        <v>90000</v>
      </c>
    </row>
    <row r="418" spans="1:17">
      <c r="A418" t="s">
        <v>1313</v>
      </c>
      <c r="B418" s="6">
        <v>45701</v>
      </c>
      <c r="C418" t="s">
        <v>472</v>
      </c>
      <c r="D418" t="s">
        <v>757</v>
      </c>
      <c r="E418">
        <v>1</v>
      </c>
      <c r="F418" s="7">
        <v>75000</v>
      </c>
      <c r="G418" s="7">
        <v>75000</v>
      </c>
      <c r="H418" t="s">
        <v>895</v>
      </c>
      <c r="I418" s="7">
        <v>11250</v>
      </c>
      <c r="J418" s="7">
        <v>10000</v>
      </c>
      <c r="K418" s="7">
        <v>73750</v>
      </c>
      <c r="L418" t="s">
        <v>884</v>
      </c>
      <c r="M418" t="s">
        <v>874</v>
      </c>
      <c r="N418" t="s">
        <v>875</v>
      </c>
      <c r="O418" t="s">
        <v>887</v>
      </c>
      <c r="P418" t="s">
        <v>877</v>
      </c>
      <c r="Q418" s="7">
        <v>63750</v>
      </c>
    </row>
    <row r="419" spans="1:17">
      <c r="A419" t="s">
        <v>1314</v>
      </c>
      <c r="B419" s="6">
        <v>45793</v>
      </c>
      <c r="C419" t="s">
        <v>162</v>
      </c>
      <c r="D419" t="s">
        <v>789</v>
      </c>
      <c r="E419">
        <v>3</v>
      </c>
      <c r="F419" s="7">
        <v>200000</v>
      </c>
      <c r="G419" s="7">
        <v>600000</v>
      </c>
      <c r="H419" t="s">
        <v>872</v>
      </c>
      <c r="I419" s="7">
        <v>0</v>
      </c>
      <c r="J419" s="7">
        <v>20000</v>
      </c>
      <c r="K419" s="7">
        <v>620000</v>
      </c>
      <c r="L419" t="s">
        <v>873</v>
      </c>
      <c r="M419" t="s">
        <v>903</v>
      </c>
      <c r="N419" t="s">
        <v>890</v>
      </c>
      <c r="O419" t="s">
        <v>896</v>
      </c>
      <c r="P419" t="s">
        <v>892</v>
      </c>
      <c r="Q419" s="7">
        <v>600000</v>
      </c>
    </row>
    <row r="420" spans="1:17">
      <c r="A420" t="s">
        <v>1315</v>
      </c>
      <c r="B420" s="6">
        <v>45760</v>
      </c>
      <c r="C420" t="s">
        <v>360</v>
      </c>
      <c r="D420" t="s">
        <v>797</v>
      </c>
      <c r="E420">
        <v>1</v>
      </c>
      <c r="F420" s="7">
        <v>150000</v>
      </c>
      <c r="G420" s="7">
        <v>150000</v>
      </c>
      <c r="H420" t="s">
        <v>886</v>
      </c>
      <c r="I420" s="7">
        <v>15000</v>
      </c>
      <c r="J420" s="7">
        <v>15000</v>
      </c>
      <c r="K420" s="7">
        <v>150000</v>
      </c>
      <c r="L420" t="s">
        <v>884</v>
      </c>
      <c r="M420" t="s">
        <v>901</v>
      </c>
      <c r="N420" t="s">
        <v>875</v>
      </c>
      <c r="O420" t="s">
        <v>891</v>
      </c>
      <c r="P420" t="s">
        <v>877</v>
      </c>
      <c r="Q420" s="7">
        <v>135000</v>
      </c>
    </row>
    <row r="421" spans="1:17">
      <c r="A421" t="s">
        <v>1316</v>
      </c>
      <c r="B421" s="6">
        <v>45759</v>
      </c>
      <c r="C421" t="s">
        <v>402</v>
      </c>
      <c r="D421" t="s">
        <v>837</v>
      </c>
      <c r="E421">
        <v>3</v>
      </c>
      <c r="F421" s="7">
        <v>300000</v>
      </c>
      <c r="G421" s="7">
        <v>900000</v>
      </c>
      <c r="H421" t="s">
        <v>872</v>
      </c>
      <c r="I421" s="7">
        <v>0</v>
      </c>
      <c r="J421" s="7">
        <v>10000</v>
      </c>
      <c r="K421" s="7">
        <v>910000</v>
      </c>
      <c r="L421" t="s">
        <v>884</v>
      </c>
      <c r="N421" t="s">
        <v>875</v>
      </c>
      <c r="O421" t="s">
        <v>891</v>
      </c>
      <c r="P421" t="s">
        <v>877</v>
      </c>
      <c r="Q421" s="7">
        <v>900000</v>
      </c>
    </row>
    <row r="422" spans="1:17">
      <c r="A422" t="s">
        <v>1317</v>
      </c>
      <c r="B422" s="6">
        <v>45806</v>
      </c>
      <c r="C422" t="s">
        <v>248</v>
      </c>
      <c r="D422" t="s">
        <v>729</v>
      </c>
      <c r="E422">
        <v>4</v>
      </c>
      <c r="F422" s="7">
        <v>100000</v>
      </c>
      <c r="G422" s="7">
        <v>400000</v>
      </c>
      <c r="H422" t="s">
        <v>886</v>
      </c>
      <c r="I422" s="7">
        <v>40000</v>
      </c>
      <c r="J422" s="7">
        <v>20000</v>
      </c>
      <c r="K422" s="7">
        <v>380000</v>
      </c>
      <c r="L422" t="s">
        <v>873</v>
      </c>
      <c r="M422" t="s">
        <v>881</v>
      </c>
      <c r="N422" t="s">
        <v>875</v>
      </c>
      <c r="O422" t="s">
        <v>896</v>
      </c>
      <c r="P422" t="s">
        <v>877</v>
      </c>
      <c r="Q422" s="7">
        <v>360000</v>
      </c>
    </row>
    <row r="423" spans="1:17">
      <c r="A423" t="s">
        <v>1318</v>
      </c>
      <c r="B423" s="6">
        <v>45685</v>
      </c>
      <c r="C423" t="s">
        <v>93</v>
      </c>
      <c r="D423" t="s">
        <v>845</v>
      </c>
      <c r="E423">
        <v>2</v>
      </c>
      <c r="F423" s="7">
        <v>300000</v>
      </c>
      <c r="G423" s="7">
        <v>600000</v>
      </c>
      <c r="H423" t="s">
        <v>879</v>
      </c>
      <c r="I423" s="7">
        <v>120000</v>
      </c>
      <c r="J423" s="7">
        <v>25000</v>
      </c>
      <c r="K423" s="7">
        <v>505000</v>
      </c>
      <c r="L423" t="s">
        <v>873</v>
      </c>
      <c r="M423" t="s">
        <v>903</v>
      </c>
      <c r="N423" t="s">
        <v>911</v>
      </c>
      <c r="O423" t="s">
        <v>908</v>
      </c>
      <c r="P423" t="s">
        <v>892</v>
      </c>
      <c r="Q423" s="7">
        <v>480000</v>
      </c>
    </row>
    <row r="424" spans="1:17">
      <c r="A424" t="s">
        <v>1319</v>
      </c>
      <c r="B424" s="6">
        <v>45715</v>
      </c>
      <c r="C424" t="s">
        <v>556</v>
      </c>
      <c r="D424" t="s">
        <v>839</v>
      </c>
      <c r="E424">
        <v>1</v>
      </c>
      <c r="F424" s="7">
        <v>200000</v>
      </c>
      <c r="G424" s="7">
        <v>200000</v>
      </c>
      <c r="H424" t="s">
        <v>872</v>
      </c>
      <c r="I424" s="7">
        <v>0</v>
      </c>
      <c r="J424" s="7">
        <v>20000</v>
      </c>
      <c r="K424" s="7">
        <v>220000</v>
      </c>
      <c r="L424" t="s">
        <v>873</v>
      </c>
      <c r="M424" t="s">
        <v>881</v>
      </c>
      <c r="N424" t="s">
        <v>890</v>
      </c>
      <c r="O424" t="s">
        <v>887</v>
      </c>
      <c r="P424" t="s">
        <v>892</v>
      </c>
      <c r="Q424" s="7">
        <v>200000</v>
      </c>
    </row>
    <row r="425" spans="1:17">
      <c r="A425" t="s">
        <v>1320</v>
      </c>
      <c r="B425" s="6">
        <v>45756</v>
      </c>
      <c r="C425" t="s">
        <v>494</v>
      </c>
      <c r="D425" t="s">
        <v>815</v>
      </c>
      <c r="E425">
        <v>1</v>
      </c>
      <c r="F425" s="7">
        <v>75000</v>
      </c>
      <c r="G425" s="7">
        <v>75000</v>
      </c>
      <c r="H425" t="s">
        <v>883</v>
      </c>
      <c r="I425" s="7">
        <v>7500</v>
      </c>
      <c r="J425" s="7">
        <v>25000</v>
      </c>
      <c r="K425" s="7">
        <v>92500</v>
      </c>
      <c r="L425" t="s">
        <v>889</v>
      </c>
      <c r="M425" t="s">
        <v>874</v>
      </c>
      <c r="N425" t="s">
        <v>905</v>
      </c>
      <c r="O425" t="s">
        <v>891</v>
      </c>
      <c r="P425" t="s">
        <v>892</v>
      </c>
      <c r="Q425" s="7">
        <v>67500</v>
      </c>
    </row>
    <row r="426" spans="1:17">
      <c r="A426" t="s">
        <v>1321</v>
      </c>
      <c r="B426" s="6">
        <v>45771</v>
      </c>
      <c r="C426" t="s">
        <v>292</v>
      </c>
      <c r="D426" t="s">
        <v>829</v>
      </c>
      <c r="E426">
        <v>2</v>
      </c>
      <c r="F426" s="7">
        <v>500000</v>
      </c>
      <c r="G426" s="7">
        <v>1000000</v>
      </c>
      <c r="H426" t="s">
        <v>872</v>
      </c>
      <c r="I426" s="7">
        <v>0</v>
      </c>
      <c r="J426" s="7">
        <v>15000</v>
      </c>
      <c r="K426" s="7">
        <v>1015000</v>
      </c>
      <c r="L426" t="s">
        <v>884</v>
      </c>
      <c r="M426" t="s">
        <v>901</v>
      </c>
      <c r="N426" t="s">
        <v>875</v>
      </c>
      <c r="O426" t="s">
        <v>891</v>
      </c>
      <c r="P426" t="s">
        <v>877</v>
      </c>
      <c r="Q426" s="7">
        <v>1000000</v>
      </c>
    </row>
    <row r="427" spans="1:17">
      <c r="A427" t="s">
        <v>1322</v>
      </c>
      <c r="B427" s="6">
        <v>45724</v>
      </c>
      <c r="C427" t="s">
        <v>518</v>
      </c>
      <c r="D427" t="s">
        <v>783</v>
      </c>
      <c r="E427">
        <v>3</v>
      </c>
      <c r="F427" s="7">
        <v>500000</v>
      </c>
      <c r="G427" s="7">
        <v>1500000</v>
      </c>
      <c r="H427" t="s">
        <v>895</v>
      </c>
      <c r="I427" s="7">
        <v>225000</v>
      </c>
      <c r="J427" s="7">
        <v>15000</v>
      </c>
      <c r="K427" s="7">
        <v>1290000</v>
      </c>
      <c r="L427" t="s">
        <v>880</v>
      </c>
      <c r="M427" t="s">
        <v>874</v>
      </c>
      <c r="N427" t="s">
        <v>875</v>
      </c>
      <c r="O427" t="s">
        <v>876</v>
      </c>
      <c r="P427" t="s">
        <v>877</v>
      </c>
      <c r="Q427" s="7">
        <v>1275000</v>
      </c>
    </row>
    <row r="428" spans="1:17">
      <c r="A428" t="s">
        <v>1323</v>
      </c>
      <c r="B428" s="6">
        <v>45724</v>
      </c>
      <c r="C428" t="s">
        <v>322</v>
      </c>
      <c r="D428" t="s">
        <v>741</v>
      </c>
      <c r="E428">
        <v>1</v>
      </c>
      <c r="F428" s="7">
        <v>75000</v>
      </c>
      <c r="G428" s="7">
        <v>75000</v>
      </c>
      <c r="H428" t="s">
        <v>886</v>
      </c>
      <c r="I428" s="7">
        <v>7500</v>
      </c>
      <c r="J428" s="7">
        <v>10000</v>
      </c>
      <c r="K428" s="7">
        <v>77500</v>
      </c>
      <c r="L428" t="s">
        <v>889</v>
      </c>
      <c r="M428" t="s">
        <v>881</v>
      </c>
      <c r="N428" t="s">
        <v>890</v>
      </c>
      <c r="O428" t="s">
        <v>876</v>
      </c>
      <c r="P428" t="s">
        <v>892</v>
      </c>
      <c r="Q428" s="7">
        <v>67500</v>
      </c>
    </row>
    <row r="429" spans="1:17">
      <c r="A429" t="s">
        <v>1324</v>
      </c>
      <c r="B429" s="6">
        <v>45838</v>
      </c>
      <c r="C429" t="s">
        <v>105</v>
      </c>
      <c r="D429" t="s">
        <v>787</v>
      </c>
      <c r="E429">
        <v>4</v>
      </c>
      <c r="F429" s="7">
        <v>200000</v>
      </c>
      <c r="G429" s="7">
        <v>800000</v>
      </c>
      <c r="H429" t="s">
        <v>895</v>
      </c>
      <c r="I429" s="7">
        <v>120000</v>
      </c>
      <c r="J429" s="7">
        <v>25000</v>
      </c>
      <c r="K429" s="7">
        <v>705000</v>
      </c>
      <c r="L429" t="s">
        <v>880</v>
      </c>
      <c r="M429" t="s">
        <v>874</v>
      </c>
      <c r="N429" t="s">
        <v>875</v>
      </c>
      <c r="O429" t="s">
        <v>915</v>
      </c>
      <c r="P429" t="s">
        <v>877</v>
      </c>
      <c r="Q429" s="7">
        <v>680000</v>
      </c>
    </row>
    <row r="430" spans="1:17">
      <c r="A430" t="s">
        <v>1325</v>
      </c>
      <c r="B430" s="6">
        <v>45744</v>
      </c>
      <c r="C430" t="s">
        <v>370</v>
      </c>
      <c r="D430" t="s">
        <v>845</v>
      </c>
      <c r="E430">
        <v>1</v>
      </c>
      <c r="F430" s="7">
        <v>300000</v>
      </c>
      <c r="G430" s="7">
        <v>300000</v>
      </c>
      <c r="H430" t="s">
        <v>872</v>
      </c>
      <c r="I430" s="7">
        <v>0</v>
      </c>
      <c r="J430" s="7">
        <v>10000</v>
      </c>
      <c r="K430" s="7">
        <v>310000</v>
      </c>
      <c r="L430" t="s">
        <v>873</v>
      </c>
      <c r="M430" t="s">
        <v>881</v>
      </c>
      <c r="N430" t="s">
        <v>875</v>
      </c>
      <c r="O430" t="s">
        <v>876</v>
      </c>
      <c r="P430" t="s">
        <v>877</v>
      </c>
      <c r="Q430" s="7">
        <v>300000</v>
      </c>
    </row>
    <row r="431" spans="1:17">
      <c r="A431" t="s">
        <v>1326</v>
      </c>
      <c r="B431" s="6">
        <v>45741</v>
      </c>
      <c r="C431" t="s">
        <v>250</v>
      </c>
      <c r="D431" t="s">
        <v>779</v>
      </c>
      <c r="E431">
        <v>2</v>
      </c>
      <c r="F431" s="7">
        <v>150000</v>
      </c>
      <c r="G431" s="7">
        <v>300000</v>
      </c>
      <c r="H431" t="s">
        <v>895</v>
      </c>
      <c r="I431" s="7">
        <v>45000</v>
      </c>
      <c r="J431" s="7">
        <v>15000</v>
      </c>
      <c r="K431" s="7">
        <v>270000</v>
      </c>
      <c r="L431" t="s">
        <v>884</v>
      </c>
      <c r="M431" t="s">
        <v>903</v>
      </c>
      <c r="N431" t="s">
        <v>890</v>
      </c>
      <c r="O431" t="s">
        <v>876</v>
      </c>
      <c r="P431" t="s">
        <v>892</v>
      </c>
      <c r="Q431" s="7">
        <v>255000</v>
      </c>
    </row>
    <row r="432" spans="1:17">
      <c r="A432" t="s">
        <v>1327</v>
      </c>
      <c r="B432" s="6">
        <v>45767</v>
      </c>
      <c r="C432" t="s">
        <v>622</v>
      </c>
      <c r="D432" t="s">
        <v>785</v>
      </c>
      <c r="E432">
        <v>2</v>
      </c>
      <c r="F432" s="7">
        <v>100000</v>
      </c>
      <c r="G432" s="7">
        <v>200000</v>
      </c>
      <c r="H432" t="s">
        <v>879</v>
      </c>
      <c r="I432" s="7">
        <v>40000</v>
      </c>
      <c r="J432" s="7">
        <v>25000</v>
      </c>
      <c r="K432" s="7">
        <v>185000</v>
      </c>
      <c r="L432" t="s">
        <v>884</v>
      </c>
      <c r="M432" t="s">
        <v>903</v>
      </c>
      <c r="N432" t="s">
        <v>875</v>
      </c>
      <c r="O432" t="s">
        <v>891</v>
      </c>
      <c r="P432" t="s">
        <v>877</v>
      </c>
      <c r="Q432" s="7">
        <v>160000</v>
      </c>
    </row>
    <row r="433" spans="1:17">
      <c r="A433" t="s">
        <v>1328</v>
      </c>
      <c r="B433" s="6">
        <v>45704</v>
      </c>
      <c r="C433" t="s">
        <v>200</v>
      </c>
      <c r="D433" t="s">
        <v>771</v>
      </c>
      <c r="E433">
        <v>2</v>
      </c>
      <c r="F433" s="7">
        <v>500000</v>
      </c>
      <c r="G433" s="7">
        <v>1000000</v>
      </c>
      <c r="H433" t="s">
        <v>895</v>
      </c>
      <c r="I433" s="7">
        <v>150000</v>
      </c>
      <c r="J433" s="7">
        <v>15000</v>
      </c>
      <c r="K433" s="7">
        <v>865000</v>
      </c>
      <c r="L433" t="s">
        <v>884</v>
      </c>
      <c r="M433" t="s">
        <v>881</v>
      </c>
      <c r="N433" t="s">
        <v>905</v>
      </c>
      <c r="O433" t="s">
        <v>887</v>
      </c>
      <c r="P433" t="s">
        <v>892</v>
      </c>
      <c r="Q433" s="7">
        <v>850000</v>
      </c>
    </row>
    <row r="434" spans="1:17">
      <c r="A434" t="s">
        <v>1329</v>
      </c>
      <c r="B434" s="6">
        <v>45795</v>
      </c>
      <c r="C434" t="s">
        <v>708</v>
      </c>
      <c r="D434" t="s">
        <v>839</v>
      </c>
      <c r="E434">
        <v>1</v>
      </c>
      <c r="F434" s="7">
        <v>200000</v>
      </c>
      <c r="G434" s="7">
        <v>200000</v>
      </c>
      <c r="H434" t="s">
        <v>872</v>
      </c>
      <c r="I434" s="7">
        <v>0</v>
      </c>
      <c r="J434" s="7">
        <v>30000</v>
      </c>
      <c r="K434" s="7">
        <v>230000</v>
      </c>
      <c r="L434" t="s">
        <v>884</v>
      </c>
      <c r="M434" t="s">
        <v>874</v>
      </c>
      <c r="N434" t="s">
        <v>875</v>
      </c>
      <c r="O434" t="s">
        <v>896</v>
      </c>
      <c r="P434" t="s">
        <v>877</v>
      </c>
      <c r="Q434" s="7">
        <v>200000</v>
      </c>
    </row>
    <row r="435" spans="1:17">
      <c r="A435" t="s">
        <v>1330</v>
      </c>
      <c r="B435" s="6">
        <v>45838</v>
      </c>
      <c r="C435" t="s">
        <v>640</v>
      </c>
      <c r="D435" t="s">
        <v>809</v>
      </c>
      <c r="E435">
        <v>1</v>
      </c>
      <c r="F435" s="7">
        <v>100000</v>
      </c>
      <c r="G435" s="7">
        <v>100000</v>
      </c>
      <c r="H435" t="s">
        <v>883</v>
      </c>
      <c r="I435" s="7">
        <v>10000</v>
      </c>
      <c r="J435" s="7">
        <v>15000</v>
      </c>
      <c r="K435" s="7">
        <v>105000</v>
      </c>
      <c r="L435" t="s">
        <v>889</v>
      </c>
      <c r="M435" t="s">
        <v>901</v>
      </c>
      <c r="N435" t="s">
        <v>921</v>
      </c>
      <c r="O435" t="s">
        <v>915</v>
      </c>
      <c r="P435" t="s">
        <v>892</v>
      </c>
      <c r="Q435" s="7">
        <v>90000</v>
      </c>
    </row>
    <row r="436" spans="1:17">
      <c r="A436" t="s">
        <v>1331</v>
      </c>
      <c r="B436" s="6">
        <v>45761</v>
      </c>
      <c r="C436" t="s">
        <v>394</v>
      </c>
      <c r="D436" t="s">
        <v>837</v>
      </c>
      <c r="E436">
        <v>3</v>
      </c>
      <c r="F436" s="7">
        <v>300000</v>
      </c>
      <c r="G436" s="7">
        <v>900000</v>
      </c>
      <c r="H436" t="s">
        <v>872</v>
      </c>
      <c r="I436" s="7">
        <v>0</v>
      </c>
      <c r="J436" s="7">
        <v>20000</v>
      </c>
      <c r="K436" s="7">
        <v>920000</v>
      </c>
      <c r="L436" t="s">
        <v>889</v>
      </c>
      <c r="M436" t="s">
        <v>881</v>
      </c>
      <c r="N436" t="s">
        <v>905</v>
      </c>
      <c r="O436" t="s">
        <v>891</v>
      </c>
      <c r="P436" t="s">
        <v>892</v>
      </c>
      <c r="Q436" s="7">
        <v>900000</v>
      </c>
    </row>
    <row r="437" spans="1:17">
      <c r="A437" t="s">
        <v>1332</v>
      </c>
      <c r="B437" s="6">
        <v>45782</v>
      </c>
      <c r="C437" t="s">
        <v>458</v>
      </c>
      <c r="D437" t="s">
        <v>851</v>
      </c>
      <c r="E437">
        <v>3</v>
      </c>
      <c r="F437" s="7">
        <v>35000</v>
      </c>
      <c r="G437" s="7">
        <v>105000</v>
      </c>
      <c r="H437" t="s">
        <v>872</v>
      </c>
      <c r="I437" s="7">
        <v>0</v>
      </c>
      <c r="J437" s="7">
        <v>15000</v>
      </c>
      <c r="K437" s="7">
        <v>120000</v>
      </c>
      <c r="L437" t="s">
        <v>880</v>
      </c>
      <c r="M437" t="s">
        <v>901</v>
      </c>
      <c r="N437" t="s">
        <v>875</v>
      </c>
      <c r="O437" t="s">
        <v>896</v>
      </c>
      <c r="P437" t="s">
        <v>877</v>
      </c>
      <c r="Q437" s="7">
        <v>105000</v>
      </c>
    </row>
    <row r="438" spans="1:17">
      <c r="A438" t="s">
        <v>1333</v>
      </c>
      <c r="B438" s="6">
        <v>45688</v>
      </c>
      <c r="C438" t="s">
        <v>121</v>
      </c>
      <c r="D438" t="s">
        <v>785</v>
      </c>
      <c r="E438">
        <v>2</v>
      </c>
      <c r="F438" s="7">
        <v>100000</v>
      </c>
      <c r="G438" s="7">
        <v>200000</v>
      </c>
      <c r="H438" t="s">
        <v>886</v>
      </c>
      <c r="I438" s="7">
        <v>20000</v>
      </c>
      <c r="J438" s="7">
        <v>10000</v>
      </c>
      <c r="K438" s="7">
        <v>190000</v>
      </c>
      <c r="L438" t="s">
        <v>889</v>
      </c>
      <c r="M438" t="s">
        <v>901</v>
      </c>
      <c r="N438" t="s">
        <v>875</v>
      </c>
      <c r="O438" t="s">
        <v>908</v>
      </c>
      <c r="P438" t="s">
        <v>877</v>
      </c>
      <c r="Q438" s="7">
        <v>180000</v>
      </c>
    </row>
    <row r="439" spans="1:17">
      <c r="A439" t="s">
        <v>1334</v>
      </c>
      <c r="B439" s="6">
        <v>45827</v>
      </c>
      <c r="C439" t="s">
        <v>688</v>
      </c>
      <c r="D439" t="s">
        <v>769</v>
      </c>
      <c r="E439">
        <v>3</v>
      </c>
      <c r="F439" s="7">
        <v>100000</v>
      </c>
      <c r="G439" s="7">
        <v>300000</v>
      </c>
      <c r="H439" t="s">
        <v>872</v>
      </c>
      <c r="I439" s="7">
        <v>0</v>
      </c>
      <c r="J439" s="7">
        <v>10000</v>
      </c>
      <c r="K439" s="7">
        <v>310000</v>
      </c>
      <c r="L439" t="s">
        <v>884</v>
      </c>
      <c r="M439" t="s">
        <v>874</v>
      </c>
      <c r="N439" t="s">
        <v>875</v>
      </c>
      <c r="O439" t="s">
        <v>915</v>
      </c>
      <c r="P439" t="s">
        <v>877</v>
      </c>
      <c r="Q439" s="7">
        <v>300000</v>
      </c>
    </row>
    <row r="440" spans="1:17">
      <c r="A440" t="s">
        <v>1335</v>
      </c>
      <c r="B440" s="6">
        <v>45674</v>
      </c>
      <c r="C440" t="s">
        <v>198</v>
      </c>
      <c r="D440" t="s">
        <v>761</v>
      </c>
      <c r="E440">
        <v>1</v>
      </c>
      <c r="F440" s="7">
        <v>75000</v>
      </c>
      <c r="G440" s="7">
        <v>75000</v>
      </c>
      <c r="H440" t="s">
        <v>883</v>
      </c>
      <c r="I440" s="7">
        <v>7500</v>
      </c>
      <c r="J440" s="7">
        <v>30000</v>
      </c>
      <c r="K440" s="7">
        <v>97500</v>
      </c>
      <c r="L440" t="s">
        <v>884</v>
      </c>
      <c r="M440" t="s">
        <v>901</v>
      </c>
      <c r="N440" t="s">
        <v>905</v>
      </c>
      <c r="O440" t="s">
        <v>908</v>
      </c>
      <c r="P440" t="s">
        <v>892</v>
      </c>
      <c r="Q440" s="7">
        <v>67500</v>
      </c>
    </row>
    <row r="441" spans="1:17">
      <c r="A441" t="s">
        <v>1336</v>
      </c>
      <c r="B441" s="6">
        <v>45800</v>
      </c>
      <c r="C441" t="s">
        <v>638</v>
      </c>
      <c r="D441" t="s">
        <v>789</v>
      </c>
      <c r="E441">
        <v>2</v>
      </c>
      <c r="F441" s="7">
        <v>200000</v>
      </c>
      <c r="G441" s="7">
        <v>400000</v>
      </c>
      <c r="H441" t="s">
        <v>872</v>
      </c>
      <c r="I441" s="7">
        <v>0</v>
      </c>
      <c r="J441" s="7">
        <v>30000</v>
      </c>
      <c r="K441" s="7">
        <v>430000</v>
      </c>
      <c r="L441" t="s">
        <v>884</v>
      </c>
      <c r="M441" t="s">
        <v>881</v>
      </c>
      <c r="N441" t="s">
        <v>875</v>
      </c>
      <c r="O441" t="s">
        <v>896</v>
      </c>
      <c r="P441" t="s">
        <v>877</v>
      </c>
      <c r="Q441" s="7">
        <v>400000</v>
      </c>
    </row>
    <row r="442" spans="1:17">
      <c r="A442" t="s">
        <v>1337</v>
      </c>
      <c r="B442" s="6">
        <v>45715</v>
      </c>
      <c r="C442" t="s">
        <v>628</v>
      </c>
      <c r="D442" t="s">
        <v>781</v>
      </c>
      <c r="E442">
        <v>1</v>
      </c>
      <c r="F442" s="7">
        <v>50000</v>
      </c>
      <c r="G442" s="7">
        <v>50000</v>
      </c>
      <c r="H442" t="s">
        <v>872</v>
      </c>
      <c r="I442" s="7">
        <v>0</v>
      </c>
      <c r="J442" s="7">
        <v>20000</v>
      </c>
      <c r="K442" s="7">
        <v>70000</v>
      </c>
      <c r="L442" t="s">
        <v>880</v>
      </c>
      <c r="M442" t="s">
        <v>903</v>
      </c>
      <c r="N442" t="s">
        <v>875</v>
      </c>
      <c r="O442" t="s">
        <v>887</v>
      </c>
      <c r="P442" t="s">
        <v>877</v>
      </c>
      <c r="Q442" s="7">
        <v>50000</v>
      </c>
    </row>
    <row r="443" spans="1:17">
      <c r="A443" t="s">
        <v>1338</v>
      </c>
      <c r="B443" s="6">
        <v>45803</v>
      </c>
      <c r="C443" t="s">
        <v>564</v>
      </c>
      <c r="D443" t="s">
        <v>849</v>
      </c>
      <c r="E443">
        <v>3</v>
      </c>
      <c r="F443" s="7">
        <v>500000</v>
      </c>
      <c r="G443" s="7">
        <v>1500000</v>
      </c>
      <c r="H443" t="s">
        <v>872</v>
      </c>
      <c r="I443" s="7">
        <v>0</v>
      </c>
      <c r="J443" s="7">
        <v>20000</v>
      </c>
      <c r="K443" s="7">
        <v>1520000</v>
      </c>
      <c r="L443" t="s">
        <v>889</v>
      </c>
      <c r="M443" t="s">
        <v>874</v>
      </c>
      <c r="N443" t="s">
        <v>905</v>
      </c>
      <c r="O443" t="s">
        <v>896</v>
      </c>
      <c r="P443" t="s">
        <v>892</v>
      </c>
      <c r="Q443" s="7">
        <v>1500000</v>
      </c>
    </row>
    <row r="444" spans="1:17">
      <c r="A444" t="s">
        <v>1339</v>
      </c>
      <c r="B444" s="6">
        <v>45720</v>
      </c>
      <c r="C444" t="s">
        <v>496</v>
      </c>
      <c r="D444" t="s">
        <v>823</v>
      </c>
      <c r="E444">
        <v>1</v>
      </c>
      <c r="F444" s="7">
        <v>500000</v>
      </c>
      <c r="G444" s="7">
        <v>500000</v>
      </c>
      <c r="H444" t="s">
        <v>895</v>
      </c>
      <c r="I444" s="7">
        <v>75000</v>
      </c>
      <c r="J444" s="7">
        <v>15000</v>
      </c>
      <c r="K444" s="7">
        <v>440000</v>
      </c>
      <c r="L444" t="s">
        <v>884</v>
      </c>
      <c r="M444" t="s">
        <v>874</v>
      </c>
      <c r="N444" t="s">
        <v>875</v>
      </c>
      <c r="O444" t="s">
        <v>876</v>
      </c>
      <c r="P444" t="s">
        <v>877</v>
      </c>
      <c r="Q444" s="7">
        <v>425000</v>
      </c>
    </row>
    <row r="445" spans="1:17">
      <c r="A445" t="s">
        <v>1340</v>
      </c>
      <c r="B445" s="6">
        <v>45833</v>
      </c>
      <c r="C445" t="s">
        <v>105</v>
      </c>
      <c r="D445" t="s">
        <v>815</v>
      </c>
      <c r="E445">
        <v>2</v>
      </c>
      <c r="F445" s="7">
        <v>75000</v>
      </c>
      <c r="G445" s="7">
        <v>150000</v>
      </c>
      <c r="H445" t="s">
        <v>872</v>
      </c>
      <c r="I445" s="7">
        <v>0</v>
      </c>
      <c r="J445" s="7">
        <v>25000</v>
      </c>
      <c r="K445" s="7">
        <v>175000</v>
      </c>
      <c r="L445" t="s">
        <v>880</v>
      </c>
      <c r="M445" t="s">
        <v>903</v>
      </c>
      <c r="N445" t="s">
        <v>875</v>
      </c>
      <c r="O445" t="s">
        <v>915</v>
      </c>
      <c r="P445" t="s">
        <v>877</v>
      </c>
      <c r="Q445" s="7">
        <v>150000</v>
      </c>
    </row>
    <row r="446" spans="1:17">
      <c r="A446" t="s">
        <v>1341</v>
      </c>
      <c r="B446" s="6">
        <v>45798</v>
      </c>
      <c r="C446" t="s">
        <v>646</v>
      </c>
      <c r="D446" t="s">
        <v>763</v>
      </c>
      <c r="E446">
        <v>2</v>
      </c>
      <c r="F446" s="7">
        <v>75000</v>
      </c>
      <c r="G446" s="7">
        <v>150000</v>
      </c>
      <c r="H446" t="s">
        <v>886</v>
      </c>
      <c r="I446" s="7">
        <v>15000</v>
      </c>
      <c r="J446" s="7">
        <v>25000</v>
      </c>
      <c r="K446" s="7">
        <v>160000</v>
      </c>
      <c r="L446" t="s">
        <v>884</v>
      </c>
      <c r="M446" t="s">
        <v>874</v>
      </c>
      <c r="N446" t="s">
        <v>875</v>
      </c>
      <c r="O446" t="s">
        <v>896</v>
      </c>
      <c r="P446" t="s">
        <v>877</v>
      </c>
      <c r="Q446" s="7">
        <v>135000</v>
      </c>
    </row>
    <row r="447" spans="1:17">
      <c r="A447" t="s">
        <v>1342</v>
      </c>
      <c r="B447" s="6">
        <v>45801</v>
      </c>
      <c r="C447" t="s">
        <v>398</v>
      </c>
      <c r="D447" t="s">
        <v>737</v>
      </c>
      <c r="E447">
        <v>2</v>
      </c>
      <c r="F447" s="7">
        <v>300000</v>
      </c>
      <c r="G447" s="7">
        <v>600000</v>
      </c>
      <c r="H447" t="s">
        <v>886</v>
      </c>
      <c r="I447" s="7">
        <v>60000</v>
      </c>
      <c r="J447" s="7">
        <v>20000</v>
      </c>
      <c r="K447" s="7">
        <v>560000</v>
      </c>
      <c r="L447" t="s">
        <v>884</v>
      </c>
      <c r="M447" t="s">
        <v>903</v>
      </c>
      <c r="N447" t="s">
        <v>875</v>
      </c>
      <c r="O447" t="s">
        <v>896</v>
      </c>
      <c r="P447" t="s">
        <v>877</v>
      </c>
      <c r="Q447" s="7">
        <v>540000</v>
      </c>
    </row>
    <row r="448" spans="1:17">
      <c r="A448" t="s">
        <v>1343</v>
      </c>
      <c r="B448" s="6">
        <v>45816</v>
      </c>
      <c r="C448" t="s">
        <v>420</v>
      </c>
      <c r="D448" t="s">
        <v>813</v>
      </c>
      <c r="E448">
        <v>2</v>
      </c>
      <c r="F448" s="7">
        <v>35000</v>
      </c>
      <c r="G448" s="7">
        <v>70000</v>
      </c>
      <c r="H448" t="s">
        <v>879</v>
      </c>
      <c r="I448" s="7">
        <v>14000</v>
      </c>
      <c r="J448" s="7">
        <v>15000</v>
      </c>
      <c r="K448" s="7">
        <v>71000</v>
      </c>
      <c r="L448" t="s">
        <v>889</v>
      </c>
      <c r="M448" t="s">
        <v>874</v>
      </c>
      <c r="N448" t="s">
        <v>905</v>
      </c>
      <c r="O448" t="s">
        <v>915</v>
      </c>
      <c r="P448" t="s">
        <v>892</v>
      </c>
      <c r="Q448" s="7">
        <v>56000</v>
      </c>
    </row>
    <row r="449" spans="1:17">
      <c r="A449" t="s">
        <v>1344</v>
      </c>
      <c r="B449" s="6">
        <v>45782</v>
      </c>
      <c r="C449" t="s">
        <v>644</v>
      </c>
      <c r="D449" t="s">
        <v>767</v>
      </c>
      <c r="E449">
        <v>1</v>
      </c>
      <c r="F449" s="7">
        <v>150000</v>
      </c>
      <c r="G449" s="7">
        <v>150000</v>
      </c>
      <c r="H449" t="s">
        <v>895</v>
      </c>
      <c r="I449" s="7">
        <v>22500</v>
      </c>
      <c r="J449" s="7">
        <v>30000</v>
      </c>
      <c r="K449" s="7">
        <v>157500</v>
      </c>
      <c r="L449" t="s">
        <v>884</v>
      </c>
      <c r="M449" t="s">
        <v>903</v>
      </c>
      <c r="N449" t="s">
        <v>875</v>
      </c>
      <c r="O449" t="s">
        <v>896</v>
      </c>
      <c r="P449" t="s">
        <v>877</v>
      </c>
      <c r="Q449" s="7">
        <v>127500</v>
      </c>
    </row>
    <row r="450" spans="1:17">
      <c r="A450" t="s">
        <v>1345</v>
      </c>
      <c r="B450" s="6">
        <v>45824</v>
      </c>
      <c r="C450" t="s">
        <v>138</v>
      </c>
      <c r="D450" t="s">
        <v>803</v>
      </c>
      <c r="E450">
        <v>1</v>
      </c>
      <c r="F450" s="7">
        <v>50000</v>
      </c>
      <c r="G450" s="7">
        <v>50000</v>
      </c>
      <c r="H450" t="s">
        <v>886</v>
      </c>
      <c r="I450" s="7">
        <v>5000</v>
      </c>
      <c r="J450" s="7">
        <v>15000</v>
      </c>
      <c r="K450" s="7">
        <v>60000</v>
      </c>
      <c r="L450" t="s">
        <v>873</v>
      </c>
      <c r="M450" t="s">
        <v>903</v>
      </c>
      <c r="N450" t="s">
        <v>911</v>
      </c>
      <c r="O450" t="s">
        <v>915</v>
      </c>
      <c r="P450" t="s">
        <v>892</v>
      </c>
      <c r="Q450" s="7">
        <v>45000</v>
      </c>
    </row>
    <row r="451" spans="1:17">
      <c r="A451" t="s">
        <v>1346</v>
      </c>
      <c r="B451" s="6">
        <v>45765</v>
      </c>
      <c r="C451" t="s">
        <v>16</v>
      </c>
      <c r="D451" t="s">
        <v>793</v>
      </c>
      <c r="E451">
        <v>4</v>
      </c>
      <c r="F451" s="7">
        <v>500000</v>
      </c>
      <c r="G451" s="7">
        <v>2000000</v>
      </c>
      <c r="H451" t="s">
        <v>886</v>
      </c>
      <c r="I451" s="7">
        <v>200000</v>
      </c>
      <c r="J451" s="7">
        <v>10000</v>
      </c>
      <c r="K451" s="7">
        <v>1810000</v>
      </c>
      <c r="L451" t="s">
        <v>884</v>
      </c>
      <c r="M451" t="s">
        <v>881</v>
      </c>
      <c r="N451" t="s">
        <v>875</v>
      </c>
      <c r="O451" t="s">
        <v>891</v>
      </c>
      <c r="P451" t="s">
        <v>877</v>
      </c>
      <c r="Q451" s="7">
        <v>1800000</v>
      </c>
    </row>
    <row r="452" spans="1:17">
      <c r="A452" t="s">
        <v>1347</v>
      </c>
      <c r="B452" s="6">
        <v>45663</v>
      </c>
      <c r="C452" t="s">
        <v>242</v>
      </c>
      <c r="D452" t="s">
        <v>847</v>
      </c>
      <c r="E452">
        <v>1</v>
      </c>
      <c r="F452" s="7">
        <v>100000</v>
      </c>
      <c r="G452" s="7">
        <v>100000</v>
      </c>
      <c r="H452" t="s">
        <v>879</v>
      </c>
      <c r="I452" s="7">
        <v>20000</v>
      </c>
      <c r="J452" s="7">
        <v>25000</v>
      </c>
      <c r="K452" s="7">
        <v>105000</v>
      </c>
      <c r="L452" t="s">
        <v>880</v>
      </c>
      <c r="M452" t="s">
        <v>881</v>
      </c>
      <c r="N452" t="s">
        <v>875</v>
      </c>
      <c r="O452" t="s">
        <v>908</v>
      </c>
      <c r="P452" t="s">
        <v>877</v>
      </c>
      <c r="Q452" s="7">
        <v>80000</v>
      </c>
    </row>
    <row r="453" spans="1:17">
      <c r="A453" t="s">
        <v>1348</v>
      </c>
      <c r="B453" s="6">
        <v>45738</v>
      </c>
      <c r="C453" t="s">
        <v>612</v>
      </c>
      <c r="D453" t="s">
        <v>773</v>
      </c>
      <c r="E453">
        <v>2</v>
      </c>
      <c r="F453" s="7">
        <v>500000</v>
      </c>
      <c r="G453" s="7">
        <v>1000000</v>
      </c>
      <c r="H453" t="s">
        <v>879</v>
      </c>
      <c r="I453" s="7">
        <v>200000</v>
      </c>
      <c r="J453" s="7">
        <v>25000</v>
      </c>
      <c r="K453" s="7">
        <v>825000</v>
      </c>
      <c r="L453" t="s">
        <v>880</v>
      </c>
      <c r="M453" t="s">
        <v>881</v>
      </c>
      <c r="N453" t="s">
        <v>905</v>
      </c>
      <c r="O453" t="s">
        <v>876</v>
      </c>
      <c r="P453" t="s">
        <v>892</v>
      </c>
      <c r="Q453" s="7">
        <v>800000</v>
      </c>
    </row>
    <row r="454" spans="1:17">
      <c r="A454" t="s">
        <v>1349</v>
      </c>
      <c r="B454" s="6">
        <v>45807</v>
      </c>
      <c r="C454" t="s">
        <v>512</v>
      </c>
      <c r="D454" t="s">
        <v>757</v>
      </c>
      <c r="E454">
        <v>2</v>
      </c>
      <c r="F454" s="7">
        <v>75000</v>
      </c>
      <c r="G454" s="7">
        <v>150000</v>
      </c>
      <c r="H454" t="s">
        <v>872</v>
      </c>
      <c r="I454" s="7">
        <v>0</v>
      </c>
      <c r="J454" s="7">
        <v>10000</v>
      </c>
      <c r="K454" s="7">
        <v>160000</v>
      </c>
      <c r="L454" t="s">
        <v>889</v>
      </c>
      <c r="M454" t="s">
        <v>874</v>
      </c>
      <c r="N454" t="s">
        <v>921</v>
      </c>
      <c r="O454" t="s">
        <v>896</v>
      </c>
      <c r="P454" t="s">
        <v>892</v>
      </c>
      <c r="Q454" s="7">
        <v>150000</v>
      </c>
    </row>
    <row r="455" spans="1:17">
      <c r="A455" t="s">
        <v>1350</v>
      </c>
      <c r="B455" s="6">
        <v>45675</v>
      </c>
      <c r="C455" t="s">
        <v>244</v>
      </c>
      <c r="D455" t="s">
        <v>853</v>
      </c>
      <c r="E455">
        <v>1</v>
      </c>
      <c r="F455" s="7">
        <v>75000</v>
      </c>
      <c r="G455" s="7">
        <v>75000</v>
      </c>
      <c r="H455" t="s">
        <v>872</v>
      </c>
      <c r="I455" s="7">
        <v>0</v>
      </c>
      <c r="J455" s="7">
        <v>25000</v>
      </c>
      <c r="K455" s="7">
        <v>100000</v>
      </c>
      <c r="L455" t="s">
        <v>889</v>
      </c>
      <c r="M455" t="s">
        <v>901</v>
      </c>
      <c r="N455" t="s">
        <v>875</v>
      </c>
      <c r="O455" t="s">
        <v>908</v>
      </c>
      <c r="P455" t="s">
        <v>877</v>
      </c>
      <c r="Q455" s="7">
        <v>75000</v>
      </c>
    </row>
    <row r="456" spans="1:17">
      <c r="A456" t="s">
        <v>1351</v>
      </c>
      <c r="B456" s="6">
        <v>45687</v>
      </c>
      <c r="C456" t="s">
        <v>580</v>
      </c>
      <c r="D456" t="s">
        <v>791</v>
      </c>
      <c r="E456">
        <v>1</v>
      </c>
      <c r="F456" s="7">
        <v>50000</v>
      </c>
      <c r="G456" s="7">
        <v>50000</v>
      </c>
      <c r="H456" t="s">
        <v>895</v>
      </c>
      <c r="I456" s="7">
        <v>7500</v>
      </c>
      <c r="J456" s="7">
        <v>15000</v>
      </c>
      <c r="K456" s="7">
        <v>57500</v>
      </c>
      <c r="L456" t="s">
        <v>884</v>
      </c>
      <c r="M456" t="s">
        <v>901</v>
      </c>
      <c r="N456" t="s">
        <v>875</v>
      </c>
      <c r="O456" t="s">
        <v>908</v>
      </c>
      <c r="P456" t="s">
        <v>877</v>
      </c>
      <c r="Q456" s="7">
        <v>42500</v>
      </c>
    </row>
    <row r="457" spans="1:17">
      <c r="A457" t="s">
        <v>1352</v>
      </c>
      <c r="B457" s="6">
        <v>45715</v>
      </c>
      <c r="C457" t="s">
        <v>206</v>
      </c>
      <c r="D457" t="s">
        <v>845</v>
      </c>
      <c r="E457">
        <v>4</v>
      </c>
      <c r="F457" s="7">
        <v>300000</v>
      </c>
      <c r="G457" s="7">
        <v>1200000</v>
      </c>
      <c r="H457" t="s">
        <v>872</v>
      </c>
      <c r="I457" s="7">
        <v>0</v>
      </c>
      <c r="J457" s="7">
        <v>15000</v>
      </c>
      <c r="K457" s="7">
        <v>1215000</v>
      </c>
      <c r="L457" t="s">
        <v>873</v>
      </c>
      <c r="M457" t="s">
        <v>874</v>
      </c>
      <c r="N457" t="s">
        <v>875</v>
      </c>
      <c r="O457" t="s">
        <v>887</v>
      </c>
      <c r="P457" t="s">
        <v>877</v>
      </c>
      <c r="Q457" s="7">
        <v>1200000</v>
      </c>
    </row>
    <row r="458" spans="1:17">
      <c r="A458" t="s">
        <v>1353</v>
      </c>
      <c r="B458" s="6">
        <v>45756</v>
      </c>
      <c r="C458" t="s">
        <v>34</v>
      </c>
      <c r="D458" t="s">
        <v>777</v>
      </c>
      <c r="E458">
        <v>2</v>
      </c>
      <c r="F458" s="7">
        <v>200000</v>
      </c>
      <c r="G458" s="7">
        <v>400000</v>
      </c>
      <c r="H458" t="s">
        <v>872</v>
      </c>
      <c r="I458" s="7">
        <v>0</v>
      </c>
      <c r="J458" s="7">
        <v>15000</v>
      </c>
      <c r="K458" s="7">
        <v>415000</v>
      </c>
      <c r="L458" t="s">
        <v>884</v>
      </c>
      <c r="M458" t="s">
        <v>901</v>
      </c>
      <c r="N458" t="s">
        <v>911</v>
      </c>
      <c r="O458" t="s">
        <v>891</v>
      </c>
      <c r="P458" t="s">
        <v>892</v>
      </c>
      <c r="Q458" s="7">
        <v>400000</v>
      </c>
    </row>
    <row r="459" spans="1:17">
      <c r="A459" t="s">
        <v>1354</v>
      </c>
      <c r="B459" s="6">
        <v>45733</v>
      </c>
      <c r="C459" t="s">
        <v>260</v>
      </c>
      <c r="D459" t="s">
        <v>819</v>
      </c>
      <c r="E459">
        <v>1</v>
      </c>
      <c r="F459" s="7">
        <v>300000</v>
      </c>
      <c r="G459" s="7">
        <v>300000</v>
      </c>
      <c r="H459" t="s">
        <v>872</v>
      </c>
      <c r="I459" s="7">
        <v>0</v>
      </c>
      <c r="J459" s="7">
        <v>20000</v>
      </c>
      <c r="K459" s="7">
        <v>320000</v>
      </c>
      <c r="L459" t="s">
        <v>889</v>
      </c>
      <c r="M459" t="s">
        <v>901</v>
      </c>
      <c r="N459" t="s">
        <v>875</v>
      </c>
      <c r="O459" t="s">
        <v>876</v>
      </c>
      <c r="P459" t="s">
        <v>877</v>
      </c>
      <c r="Q459" s="7">
        <v>300000</v>
      </c>
    </row>
    <row r="460" spans="1:17">
      <c r="A460" t="s">
        <v>1355</v>
      </c>
      <c r="B460" s="6">
        <v>45747</v>
      </c>
      <c r="C460" t="s">
        <v>306</v>
      </c>
      <c r="D460" t="s">
        <v>745</v>
      </c>
      <c r="E460">
        <v>1</v>
      </c>
      <c r="F460" s="7">
        <v>500000</v>
      </c>
      <c r="G460" s="7">
        <v>500000</v>
      </c>
      <c r="H460" t="s">
        <v>895</v>
      </c>
      <c r="I460" s="7">
        <v>75000</v>
      </c>
      <c r="J460" s="7">
        <v>25000</v>
      </c>
      <c r="K460" s="7">
        <v>450000</v>
      </c>
      <c r="L460" t="s">
        <v>884</v>
      </c>
      <c r="M460" t="s">
        <v>874</v>
      </c>
      <c r="N460" t="s">
        <v>890</v>
      </c>
      <c r="O460" t="s">
        <v>876</v>
      </c>
      <c r="P460" t="s">
        <v>892</v>
      </c>
      <c r="Q460" s="7">
        <v>425000</v>
      </c>
    </row>
    <row r="461" spans="1:17">
      <c r="A461" t="s">
        <v>1356</v>
      </c>
      <c r="B461" s="6">
        <v>45734</v>
      </c>
      <c r="C461" t="s">
        <v>510</v>
      </c>
      <c r="D461" t="s">
        <v>729</v>
      </c>
      <c r="E461">
        <v>1</v>
      </c>
      <c r="F461" s="7">
        <v>100000</v>
      </c>
      <c r="G461" s="7">
        <v>100000</v>
      </c>
      <c r="H461" t="s">
        <v>895</v>
      </c>
      <c r="I461" s="7">
        <v>15000</v>
      </c>
      <c r="J461" s="7">
        <v>25000</v>
      </c>
      <c r="K461" s="7">
        <v>110000</v>
      </c>
      <c r="L461" t="s">
        <v>873</v>
      </c>
      <c r="M461" t="s">
        <v>881</v>
      </c>
      <c r="N461" t="s">
        <v>875</v>
      </c>
      <c r="O461" t="s">
        <v>876</v>
      </c>
      <c r="P461" t="s">
        <v>877</v>
      </c>
      <c r="Q461" s="7">
        <v>85000</v>
      </c>
    </row>
    <row r="462" spans="1:17">
      <c r="A462" t="s">
        <v>1357</v>
      </c>
      <c r="B462" s="6">
        <v>45669</v>
      </c>
      <c r="C462" t="s">
        <v>300</v>
      </c>
      <c r="D462" t="s">
        <v>821</v>
      </c>
      <c r="E462">
        <v>1</v>
      </c>
      <c r="F462" s="7">
        <v>50000</v>
      </c>
      <c r="G462" s="7">
        <v>50000</v>
      </c>
      <c r="H462" t="s">
        <v>883</v>
      </c>
      <c r="I462" s="7">
        <v>5000</v>
      </c>
      <c r="J462" s="7">
        <v>30000</v>
      </c>
      <c r="K462" s="7">
        <v>75000</v>
      </c>
      <c r="L462" t="s">
        <v>884</v>
      </c>
      <c r="M462" t="s">
        <v>874</v>
      </c>
      <c r="N462" t="s">
        <v>875</v>
      </c>
      <c r="O462" t="s">
        <v>908</v>
      </c>
      <c r="P462" t="s">
        <v>877</v>
      </c>
      <c r="Q462" s="7">
        <v>45000</v>
      </c>
    </row>
    <row r="463" spans="1:17">
      <c r="A463" t="s">
        <v>1358</v>
      </c>
      <c r="B463" s="6">
        <v>45747</v>
      </c>
      <c r="C463" t="s">
        <v>434</v>
      </c>
      <c r="D463" t="s">
        <v>807</v>
      </c>
      <c r="E463">
        <v>2</v>
      </c>
      <c r="F463" s="7">
        <v>150000</v>
      </c>
      <c r="G463" s="7">
        <v>300000</v>
      </c>
      <c r="H463" t="s">
        <v>872</v>
      </c>
      <c r="I463" s="7">
        <v>0</v>
      </c>
      <c r="J463" s="7">
        <v>15000</v>
      </c>
      <c r="K463" s="7">
        <v>315000</v>
      </c>
      <c r="L463" t="s">
        <v>873</v>
      </c>
      <c r="M463" t="s">
        <v>901</v>
      </c>
      <c r="N463" t="s">
        <v>875</v>
      </c>
      <c r="O463" t="s">
        <v>876</v>
      </c>
      <c r="P463" t="s">
        <v>877</v>
      </c>
      <c r="Q463" s="7">
        <v>300000</v>
      </c>
    </row>
    <row r="464" spans="1:17">
      <c r="A464" t="s">
        <v>1359</v>
      </c>
      <c r="B464" s="6">
        <v>45728</v>
      </c>
      <c r="C464" t="s">
        <v>378</v>
      </c>
      <c r="D464" t="s">
        <v>855</v>
      </c>
      <c r="E464">
        <v>2</v>
      </c>
      <c r="F464" s="7">
        <v>150000</v>
      </c>
      <c r="G464" s="7">
        <v>300000</v>
      </c>
      <c r="H464" t="s">
        <v>895</v>
      </c>
      <c r="I464" s="7">
        <v>45000</v>
      </c>
      <c r="J464" s="7">
        <v>25000</v>
      </c>
      <c r="K464" s="7">
        <v>280000</v>
      </c>
      <c r="L464" t="s">
        <v>884</v>
      </c>
      <c r="M464" t="s">
        <v>874</v>
      </c>
      <c r="N464" t="s">
        <v>875</v>
      </c>
      <c r="O464" t="s">
        <v>876</v>
      </c>
      <c r="P464" t="s">
        <v>877</v>
      </c>
      <c r="Q464" s="7">
        <v>255000</v>
      </c>
    </row>
    <row r="465" spans="1:17">
      <c r="A465" t="s">
        <v>1360</v>
      </c>
      <c r="B465" s="6">
        <v>45676</v>
      </c>
      <c r="C465" t="s">
        <v>230</v>
      </c>
      <c r="D465" t="s">
        <v>777</v>
      </c>
      <c r="E465">
        <v>2</v>
      </c>
      <c r="F465" s="7">
        <v>200000</v>
      </c>
      <c r="G465" s="7">
        <v>400000</v>
      </c>
      <c r="H465" t="s">
        <v>895</v>
      </c>
      <c r="I465" s="7">
        <v>60000</v>
      </c>
      <c r="J465" s="7">
        <v>25000</v>
      </c>
      <c r="K465" s="7">
        <v>365000</v>
      </c>
      <c r="L465" t="s">
        <v>889</v>
      </c>
      <c r="M465" t="s">
        <v>874</v>
      </c>
      <c r="N465" t="s">
        <v>890</v>
      </c>
      <c r="O465" t="s">
        <v>908</v>
      </c>
      <c r="P465" t="s">
        <v>892</v>
      </c>
      <c r="Q465" s="7">
        <v>340000</v>
      </c>
    </row>
    <row r="466" spans="1:17">
      <c r="A466" t="s">
        <v>1361</v>
      </c>
      <c r="B466" s="6">
        <v>45787</v>
      </c>
      <c r="C466" t="s">
        <v>466</v>
      </c>
      <c r="D466" t="s">
        <v>767</v>
      </c>
      <c r="E466">
        <v>1</v>
      </c>
      <c r="F466" s="7">
        <v>150000</v>
      </c>
      <c r="G466" s="7">
        <v>150000</v>
      </c>
      <c r="H466" t="s">
        <v>872</v>
      </c>
      <c r="I466" s="7">
        <v>0</v>
      </c>
      <c r="J466" s="7">
        <v>15000</v>
      </c>
      <c r="K466" s="7">
        <v>165000</v>
      </c>
      <c r="L466" t="s">
        <v>889</v>
      </c>
      <c r="M466" t="s">
        <v>901</v>
      </c>
      <c r="N466" t="s">
        <v>875</v>
      </c>
      <c r="O466" t="s">
        <v>896</v>
      </c>
      <c r="P466" t="s">
        <v>877</v>
      </c>
      <c r="Q466" s="7">
        <v>150000</v>
      </c>
    </row>
    <row r="467" spans="1:17">
      <c r="A467" t="s">
        <v>1362</v>
      </c>
      <c r="B467" s="6">
        <v>45798</v>
      </c>
      <c r="C467" t="s">
        <v>654</v>
      </c>
      <c r="D467" t="s">
        <v>843</v>
      </c>
      <c r="E467">
        <v>2</v>
      </c>
      <c r="F467" s="7">
        <v>100000</v>
      </c>
      <c r="G467" s="7">
        <v>200000</v>
      </c>
      <c r="H467" t="s">
        <v>872</v>
      </c>
      <c r="I467" s="7">
        <v>0</v>
      </c>
      <c r="J467" s="7">
        <v>20000</v>
      </c>
      <c r="K467" s="7">
        <v>220000</v>
      </c>
      <c r="L467" t="s">
        <v>884</v>
      </c>
      <c r="M467" t="s">
        <v>881</v>
      </c>
      <c r="N467" t="s">
        <v>875</v>
      </c>
      <c r="O467" t="s">
        <v>896</v>
      </c>
      <c r="P467" t="s">
        <v>877</v>
      </c>
      <c r="Q467" s="7">
        <v>200000</v>
      </c>
    </row>
    <row r="468" spans="1:17">
      <c r="A468" t="s">
        <v>1363</v>
      </c>
      <c r="B468" s="6">
        <v>45804</v>
      </c>
      <c r="C468" t="s">
        <v>93</v>
      </c>
      <c r="D468" t="s">
        <v>745</v>
      </c>
      <c r="E468">
        <v>2</v>
      </c>
      <c r="F468" s="7">
        <v>500000</v>
      </c>
      <c r="G468" s="7">
        <v>1000000</v>
      </c>
      <c r="H468" t="s">
        <v>886</v>
      </c>
      <c r="I468" s="7">
        <v>100000</v>
      </c>
      <c r="J468" s="7">
        <v>15000</v>
      </c>
      <c r="K468" s="7">
        <v>915000</v>
      </c>
      <c r="L468" t="s">
        <v>880</v>
      </c>
      <c r="M468" t="s">
        <v>901</v>
      </c>
      <c r="N468" t="s">
        <v>875</v>
      </c>
      <c r="O468" t="s">
        <v>896</v>
      </c>
      <c r="P468" t="s">
        <v>877</v>
      </c>
      <c r="Q468" s="7">
        <v>900000</v>
      </c>
    </row>
    <row r="469" spans="1:17">
      <c r="A469" t="s">
        <v>1364</v>
      </c>
      <c r="B469" s="6">
        <v>45739</v>
      </c>
      <c r="C469" t="s">
        <v>18</v>
      </c>
      <c r="D469" t="s">
        <v>775</v>
      </c>
      <c r="E469">
        <v>4</v>
      </c>
      <c r="F469" s="7">
        <v>75000</v>
      </c>
      <c r="G469" s="7">
        <v>300000</v>
      </c>
      <c r="H469" t="s">
        <v>872</v>
      </c>
      <c r="I469" s="7">
        <v>0</v>
      </c>
      <c r="J469" s="7">
        <v>25000</v>
      </c>
      <c r="K469" s="7">
        <v>325000</v>
      </c>
      <c r="L469" t="s">
        <v>884</v>
      </c>
      <c r="M469" t="s">
        <v>903</v>
      </c>
      <c r="N469" t="s">
        <v>890</v>
      </c>
      <c r="O469" t="s">
        <v>876</v>
      </c>
      <c r="P469" t="s">
        <v>892</v>
      </c>
      <c r="Q469" s="7">
        <v>300000</v>
      </c>
    </row>
    <row r="470" spans="1:17">
      <c r="A470" t="s">
        <v>1365</v>
      </c>
      <c r="B470" s="6">
        <v>45691</v>
      </c>
      <c r="C470" t="s">
        <v>172</v>
      </c>
      <c r="D470" t="s">
        <v>819</v>
      </c>
      <c r="E470">
        <v>1</v>
      </c>
      <c r="F470" s="7">
        <v>300000</v>
      </c>
      <c r="G470" s="7">
        <v>300000</v>
      </c>
      <c r="H470" t="s">
        <v>872</v>
      </c>
      <c r="I470" s="7">
        <v>0</v>
      </c>
      <c r="J470" s="7">
        <v>20000</v>
      </c>
      <c r="K470" s="7">
        <v>320000</v>
      </c>
      <c r="L470" t="s">
        <v>880</v>
      </c>
      <c r="M470" t="s">
        <v>881</v>
      </c>
      <c r="N470" t="s">
        <v>875</v>
      </c>
      <c r="O470" t="s">
        <v>887</v>
      </c>
      <c r="P470" t="s">
        <v>877</v>
      </c>
      <c r="Q470" s="7">
        <v>300000</v>
      </c>
    </row>
    <row r="471" spans="1:17">
      <c r="A471" t="s">
        <v>1366</v>
      </c>
      <c r="B471" s="6">
        <v>45742</v>
      </c>
      <c r="C471" t="s">
        <v>396</v>
      </c>
      <c r="D471" t="s">
        <v>797</v>
      </c>
      <c r="E471">
        <v>1</v>
      </c>
      <c r="F471" s="7">
        <v>150000</v>
      </c>
      <c r="G471" s="7">
        <v>150000</v>
      </c>
      <c r="H471" t="s">
        <v>872</v>
      </c>
      <c r="I471" s="7">
        <v>0</v>
      </c>
      <c r="J471" s="7">
        <v>15000</v>
      </c>
      <c r="K471" s="7">
        <v>165000</v>
      </c>
      <c r="L471" t="s">
        <v>873</v>
      </c>
      <c r="M471" t="s">
        <v>881</v>
      </c>
      <c r="N471" t="s">
        <v>921</v>
      </c>
      <c r="O471" t="s">
        <v>876</v>
      </c>
      <c r="P471" t="s">
        <v>892</v>
      </c>
      <c r="Q471" s="7">
        <v>150000</v>
      </c>
    </row>
    <row r="472" spans="1:17">
      <c r="A472" t="s">
        <v>1367</v>
      </c>
      <c r="B472" s="6">
        <v>45717</v>
      </c>
      <c r="C472" t="s">
        <v>564</v>
      </c>
      <c r="D472" t="s">
        <v>799</v>
      </c>
      <c r="E472">
        <v>3</v>
      </c>
      <c r="F472" s="7">
        <v>35000</v>
      </c>
      <c r="G472" s="7">
        <v>105000</v>
      </c>
      <c r="H472" t="s">
        <v>883</v>
      </c>
      <c r="I472" s="7">
        <v>10500</v>
      </c>
      <c r="J472" s="7">
        <v>30000</v>
      </c>
      <c r="K472" s="7">
        <v>124500</v>
      </c>
      <c r="L472" t="s">
        <v>884</v>
      </c>
      <c r="M472" t="s">
        <v>874</v>
      </c>
      <c r="N472" t="s">
        <v>875</v>
      </c>
      <c r="O472" t="s">
        <v>876</v>
      </c>
      <c r="P472" t="s">
        <v>877</v>
      </c>
      <c r="Q472" s="7">
        <v>94500</v>
      </c>
    </row>
    <row r="473" spans="1:17">
      <c r="A473" t="s">
        <v>1368</v>
      </c>
      <c r="B473" s="6">
        <v>45661</v>
      </c>
      <c r="C473" t="s">
        <v>672</v>
      </c>
      <c r="D473" t="s">
        <v>787</v>
      </c>
      <c r="E473">
        <v>4</v>
      </c>
      <c r="F473" s="7">
        <v>200000</v>
      </c>
      <c r="G473" s="7">
        <v>800000</v>
      </c>
      <c r="H473" t="s">
        <v>886</v>
      </c>
      <c r="I473" s="7">
        <v>80000</v>
      </c>
      <c r="J473" s="7">
        <v>10000</v>
      </c>
      <c r="K473" s="7">
        <v>730000</v>
      </c>
      <c r="L473" t="s">
        <v>889</v>
      </c>
      <c r="M473" t="s">
        <v>901</v>
      </c>
      <c r="N473" t="s">
        <v>905</v>
      </c>
      <c r="O473" t="s">
        <v>908</v>
      </c>
      <c r="P473" t="s">
        <v>892</v>
      </c>
      <c r="Q473" s="7">
        <v>720000</v>
      </c>
    </row>
    <row r="474" spans="1:17">
      <c r="A474" t="s">
        <v>1369</v>
      </c>
      <c r="B474" s="6">
        <v>45704</v>
      </c>
      <c r="C474" t="s">
        <v>380</v>
      </c>
      <c r="D474" t="s">
        <v>819</v>
      </c>
      <c r="E474">
        <v>4</v>
      </c>
      <c r="F474" s="7">
        <v>300000</v>
      </c>
      <c r="G474" s="7">
        <v>1200000</v>
      </c>
      <c r="H474" t="s">
        <v>872</v>
      </c>
      <c r="I474" s="7">
        <v>0</v>
      </c>
      <c r="J474" s="7">
        <v>20000</v>
      </c>
      <c r="K474" s="7">
        <v>1220000</v>
      </c>
      <c r="L474" t="s">
        <v>880</v>
      </c>
      <c r="M474" t="s">
        <v>874</v>
      </c>
      <c r="N474" t="s">
        <v>875</v>
      </c>
      <c r="O474" t="s">
        <v>887</v>
      </c>
      <c r="P474" t="s">
        <v>877</v>
      </c>
      <c r="Q474" s="7">
        <v>1200000</v>
      </c>
    </row>
    <row r="475" spans="1:17">
      <c r="A475" t="s">
        <v>1370</v>
      </c>
      <c r="B475" s="6">
        <v>45697</v>
      </c>
      <c r="C475" t="s">
        <v>630</v>
      </c>
      <c r="D475" t="s">
        <v>821</v>
      </c>
      <c r="E475">
        <v>1</v>
      </c>
      <c r="F475" s="7">
        <v>50000</v>
      </c>
      <c r="G475" s="7">
        <v>50000</v>
      </c>
      <c r="H475" t="s">
        <v>883</v>
      </c>
      <c r="I475" s="7">
        <v>5000</v>
      </c>
      <c r="J475" s="7">
        <v>15000</v>
      </c>
      <c r="K475" s="7">
        <v>60000</v>
      </c>
      <c r="L475" t="s">
        <v>884</v>
      </c>
      <c r="M475" t="s">
        <v>903</v>
      </c>
      <c r="N475" t="s">
        <v>905</v>
      </c>
      <c r="O475" t="s">
        <v>887</v>
      </c>
      <c r="P475" t="s">
        <v>892</v>
      </c>
      <c r="Q475" s="7">
        <v>45000</v>
      </c>
    </row>
    <row r="476" spans="1:17">
      <c r="A476" t="s">
        <v>1371</v>
      </c>
      <c r="B476" s="6">
        <v>45706</v>
      </c>
      <c r="C476" t="s">
        <v>306</v>
      </c>
      <c r="D476" t="s">
        <v>729</v>
      </c>
      <c r="E476">
        <v>2</v>
      </c>
      <c r="F476" s="7">
        <v>100000</v>
      </c>
      <c r="G476" s="7">
        <v>200000</v>
      </c>
      <c r="H476" t="s">
        <v>895</v>
      </c>
      <c r="I476" s="7">
        <v>30000</v>
      </c>
      <c r="J476" s="7">
        <v>30000</v>
      </c>
      <c r="K476" s="7">
        <v>200000</v>
      </c>
      <c r="L476" t="s">
        <v>884</v>
      </c>
      <c r="M476" t="s">
        <v>874</v>
      </c>
      <c r="N476" t="s">
        <v>875</v>
      </c>
      <c r="O476" t="s">
        <v>887</v>
      </c>
      <c r="P476" t="s">
        <v>877</v>
      </c>
      <c r="Q476" s="7">
        <v>170000</v>
      </c>
    </row>
    <row r="477" spans="1:17">
      <c r="A477" t="s">
        <v>1372</v>
      </c>
      <c r="B477" s="6">
        <v>45667</v>
      </c>
      <c r="C477" t="s">
        <v>614</v>
      </c>
      <c r="D477" t="s">
        <v>815</v>
      </c>
      <c r="E477">
        <v>1</v>
      </c>
      <c r="F477" s="7">
        <v>75000</v>
      </c>
      <c r="G477" s="7">
        <v>75000</v>
      </c>
      <c r="H477" t="s">
        <v>872</v>
      </c>
      <c r="I477" s="7">
        <v>0</v>
      </c>
      <c r="J477" s="7">
        <v>30000</v>
      </c>
      <c r="K477" s="7">
        <v>105000</v>
      </c>
      <c r="L477" t="s">
        <v>873</v>
      </c>
      <c r="M477" t="s">
        <v>903</v>
      </c>
      <c r="N477" t="s">
        <v>875</v>
      </c>
      <c r="O477" t="s">
        <v>908</v>
      </c>
      <c r="P477" t="s">
        <v>877</v>
      </c>
      <c r="Q477" s="7">
        <v>75000</v>
      </c>
    </row>
    <row r="478" spans="1:17">
      <c r="A478" t="s">
        <v>1373</v>
      </c>
      <c r="B478" s="6">
        <v>45679</v>
      </c>
      <c r="C478" t="s">
        <v>388</v>
      </c>
      <c r="D478" t="s">
        <v>775</v>
      </c>
      <c r="E478">
        <v>1</v>
      </c>
      <c r="F478" s="7">
        <v>75000</v>
      </c>
      <c r="G478" s="7">
        <v>75000</v>
      </c>
      <c r="H478" t="s">
        <v>872</v>
      </c>
      <c r="I478" s="7">
        <v>0</v>
      </c>
      <c r="J478" s="7">
        <v>10000</v>
      </c>
      <c r="K478" s="7">
        <v>85000</v>
      </c>
      <c r="L478" t="s">
        <v>873</v>
      </c>
      <c r="M478" t="s">
        <v>903</v>
      </c>
      <c r="N478" t="s">
        <v>875</v>
      </c>
      <c r="O478" t="s">
        <v>908</v>
      </c>
      <c r="P478" t="s">
        <v>877</v>
      </c>
      <c r="Q478" s="7">
        <v>75000</v>
      </c>
    </row>
    <row r="479" spans="1:17">
      <c r="A479" t="s">
        <v>1374</v>
      </c>
      <c r="B479" s="6">
        <v>45723</v>
      </c>
      <c r="C479" t="s">
        <v>37</v>
      </c>
      <c r="D479" t="s">
        <v>815</v>
      </c>
      <c r="E479">
        <v>1</v>
      </c>
      <c r="F479" s="7">
        <v>75000</v>
      </c>
      <c r="G479" s="7">
        <v>75000</v>
      </c>
      <c r="H479" t="s">
        <v>883</v>
      </c>
      <c r="I479" s="7">
        <v>7500</v>
      </c>
      <c r="J479" s="7">
        <v>25000</v>
      </c>
      <c r="K479" s="7">
        <v>92500</v>
      </c>
      <c r="L479" t="s">
        <v>889</v>
      </c>
      <c r="M479" t="s">
        <v>874</v>
      </c>
      <c r="N479" t="s">
        <v>875</v>
      </c>
      <c r="O479" t="s">
        <v>876</v>
      </c>
      <c r="P479" t="s">
        <v>877</v>
      </c>
      <c r="Q479" s="7">
        <v>67500</v>
      </c>
    </row>
    <row r="480" spans="1:17">
      <c r="A480" t="s">
        <v>1375</v>
      </c>
      <c r="B480" s="6">
        <v>45696</v>
      </c>
      <c r="C480" t="s">
        <v>138</v>
      </c>
      <c r="D480" t="s">
        <v>729</v>
      </c>
      <c r="E480">
        <v>1</v>
      </c>
      <c r="F480" s="7">
        <v>100000</v>
      </c>
      <c r="G480" s="7">
        <v>100000</v>
      </c>
      <c r="H480" t="s">
        <v>872</v>
      </c>
      <c r="I480" s="7">
        <v>0</v>
      </c>
      <c r="J480" s="7">
        <v>10000</v>
      </c>
      <c r="K480" s="7">
        <v>110000</v>
      </c>
      <c r="L480" t="s">
        <v>873</v>
      </c>
      <c r="M480" t="s">
        <v>903</v>
      </c>
      <c r="N480" t="s">
        <v>875</v>
      </c>
      <c r="O480" t="s">
        <v>887</v>
      </c>
      <c r="P480" t="s">
        <v>877</v>
      </c>
      <c r="Q480" s="7">
        <v>100000</v>
      </c>
    </row>
    <row r="481" spans="1:17">
      <c r="A481" t="s">
        <v>1376</v>
      </c>
      <c r="B481" s="6">
        <v>45735</v>
      </c>
      <c r="C481" t="s">
        <v>406</v>
      </c>
      <c r="D481" t="s">
        <v>793</v>
      </c>
      <c r="E481">
        <v>4</v>
      </c>
      <c r="F481" s="7">
        <v>500000</v>
      </c>
      <c r="G481" s="7">
        <v>2000000</v>
      </c>
      <c r="H481" t="s">
        <v>872</v>
      </c>
      <c r="I481" s="7">
        <v>0</v>
      </c>
      <c r="J481" s="7">
        <v>30000</v>
      </c>
      <c r="K481" s="7">
        <v>2030000</v>
      </c>
      <c r="L481" t="s">
        <v>884</v>
      </c>
      <c r="M481" t="s">
        <v>901</v>
      </c>
      <c r="N481" t="s">
        <v>911</v>
      </c>
      <c r="O481" t="s">
        <v>876</v>
      </c>
      <c r="P481" t="s">
        <v>892</v>
      </c>
      <c r="Q481" s="7">
        <v>2000000</v>
      </c>
    </row>
    <row r="482" spans="1:17">
      <c r="A482" t="s">
        <v>1377</v>
      </c>
      <c r="B482" s="6">
        <v>45795</v>
      </c>
      <c r="C482" t="s">
        <v>238</v>
      </c>
      <c r="D482" t="s">
        <v>763</v>
      </c>
      <c r="E482">
        <v>2</v>
      </c>
      <c r="F482" s="7">
        <v>75000</v>
      </c>
      <c r="G482" s="7">
        <v>150000</v>
      </c>
      <c r="H482" t="s">
        <v>883</v>
      </c>
      <c r="I482" s="7">
        <v>15000</v>
      </c>
      <c r="J482" s="7">
        <v>25000</v>
      </c>
      <c r="K482" s="7">
        <v>160000</v>
      </c>
      <c r="L482" t="s">
        <v>884</v>
      </c>
      <c r="M482" t="s">
        <v>874</v>
      </c>
      <c r="N482" t="s">
        <v>875</v>
      </c>
      <c r="O482" t="s">
        <v>896</v>
      </c>
      <c r="P482" t="s">
        <v>877</v>
      </c>
      <c r="Q482" s="7">
        <v>135000</v>
      </c>
    </row>
    <row r="483" spans="1:17">
      <c r="A483" t="s">
        <v>1378</v>
      </c>
      <c r="B483" s="6">
        <v>45830</v>
      </c>
      <c r="C483" t="s">
        <v>61</v>
      </c>
      <c r="D483" t="s">
        <v>763</v>
      </c>
      <c r="E483">
        <v>4</v>
      </c>
      <c r="F483" s="7">
        <v>75000</v>
      </c>
      <c r="G483" s="7">
        <v>300000</v>
      </c>
      <c r="H483" t="s">
        <v>872</v>
      </c>
      <c r="I483" s="7">
        <v>0</v>
      </c>
      <c r="J483" s="7">
        <v>30000</v>
      </c>
      <c r="K483" s="7">
        <v>330000</v>
      </c>
      <c r="L483" t="s">
        <v>880</v>
      </c>
      <c r="M483" t="s">
        <v>901</v>
      </c>
      <c r="N483" t="s">
        <v>890</v>
      </c>
      <c r="O483" t="s">
        <v>915</v>
      </c>
      <c r="P483" t="s">
        <v>892</v>
      </c>
      <c r="Q483" s="7">
        <v>300000</v>
      </c>
    </row>
    <row r="484" spans="1:17">
      <c r="A484" t="s">
        <v>1379</v>
      </c>
      <c r="B484" s="6">
        <v>45821</v>
      </c>
      <c r="C484" t="s">
        <v>314</v>
      </c>
      <c r="D484" t="s">
        <v>771</v>
      </c>
      <c r="E484">
        <v>3</v>
      </c>
      <c r="F484" s="7">
        <v>500000</v>
      </c>
      <c r="G484" s="7">
        <v>1500000</v>
      </c>
      <c r="H484" t="s">
        <v>872</v>
      </c>
      <c r="I484" s="7">
        <v>0</v>
      </c>
      <c r="J484" s="7">
        <v>30000</v>
      </c>
      <c r="K484" s="7">
        <v>1530000</v>
      </c>
      <c r="L484" t="s">
        <v>889</v>
      </c>
      <c r="M484" t="s">
        <v>881</v>
      </c>
      <c r="N484" t="s">
        <v>875</v>
      </c>
      <c r="O484" t="s">
        <v>915</v>
      </c>
      <c r="P484" t="s">
        <v>877</v>
      </c>
      <c r="Q484" s="7">
        <v>1500000</v>
      </c>
    </row>
    <row r="485" spans="1:17">
      <c r="A485" t="s">
        <v>1380</v>
      </c>
      <c r="B485" s="6">
        <v>45806</v>
      </c>
      <c r="C485" t="s">
        <v>226</v>
      </c>
      <c r="D485" t="s">
        <v>837</v>
      </c>
      <c r="E485">
        <v>3</v>
      </c>
      <c r="F485" s="7">
        <v>300000</v>
      </c>
      <c r="G485" s="7">
        <v>900000</v>
      </c>
      <c r="H485" t="s">
        <v>872</v>
      </c>
      <c r="I485" s="7">
        <v>0</v>
      </c>
      <c r="J485" s="7">
        <v>30000</v>
      </c>
      <c r="K485" s="7">
        <v>930000</v>
      </c>
      <c r="L485" t="s">
        <v>889</v>
      </c>
      <c r="M485" t="s">
        <v>874</v>
      </c>
      <c r="N485" t="s">
        <v>875</v>
      </c>
      <c r="O485" t="s">
        <v>896</v>
      </c>
      <c r="P485" t="s">
        <v>877</v>
      </c>
      <c r="Q485" s="7">
        <v>900000</v>
      </c>
    </row>
    <row r="486" spans="1:17">
      <c r="A486" t="s">
        <v>1381</v>
      </c>
      <c r="B486" s="6">
        <v>45744</v>
      </c>
      <c r="C486" t="s">
        <v>302</v>
      </c>
      <c r="D486" t="s">
        <v>749</v>
      </c>
      <c r="E486">
        <v>3</v>
      </c>
      <c r="F486" s="7">
        <v>150000</v>
      </c>
      <c r="G486" s="7">
        <v>450000</v>
      </c>
      <c r="H486" t="s">
        <v>886</v>
      </c>
      <c r="I486" s="7">
        <v>45000</v>
      </c>
      <c r="J486" s="7">
        <v>25000</v>
      </c>
      <c r="K486" s="7">
        <v>430000</v>
      </c>
      <c r="L486" t="s">
        <v>889</v>
      </c>
      <c r="M486" t="s">
        <v>901</v>
      </c>
      <c r="N486" t="s">
        <v>875</v>
      </c>
      <c r="O486" t="s">
        <v>876</v>
      </c>
      <c r="P486" t="s">
        <v>877</v>
      </c>
      <c r="Q486" s="7">
        <v>405000</v>
      </c>
    </row>
    <row r="487" spans="1:17">
      <c r="A487" t="s">
        <v>1382</v>
      </c>
      <c r="B487" s="6">
        <v>45755</v>
      </c>
      <c r="C487" t="s">
        <v>540</v>
      </c>
      <c r="D487" t="s">
        <v>825</v>
      </c>
      <c r="E487">
        <v>1</v>
      </c>
      <c r="F487" s="7">
        <v>100000</v>
      </c>
      <c r="G487" s="7">
        <v>100000</v>
      </c>
      <c r="H487" t="s">
        <v>872</v>
      </c>
      <c r="I487" s="7">
        <v>0</v>
      </c>
      <c r="J487" s="7">
        <v>20000</v>
      </c>
      <c r="K487" s="7">
        <v>120000</v>
      </c>
      <c r="L487" t="s">
        <v>873</v>
      </c>
      <c r="M487" t="s">
        <v>881</v>
      </c>
      <c r="N487" t="s">
        <v>875</v>
      </c>
      <c r="O487" t="s">
        <v>891</v>
      </c>
      <c r="P487" t="s">
        <v>877</v>
      </c>
      <c r="Q487" s="7">
        <v>100000</v>
      </c>
    </row>
    <row r="488" spans="1:17">
      <c r="A488" t="s">
        <v>1383</v>
      </c>
      <c r="B488" s="6">
        <v>45754</v>
      </c>
      <c r="C488" t="s">
        <v>508</v>
      </c>
      <c r="D488" t="s">
        <v>797</v>
      </c>
      <c r="E488">
        <v>1</v>
      </c>
      <c r="F488" s="7">
        <v>150000</v>
      </c>
      <c r="G488" s="7">
        <v>150000</v>
      </c>
      <c r="H488" t="s">
        <v>872</v>
      </c>
      <c r="I488" s="7">
        <v>0</v>
      </c>
      <c r="J488" s="7">
        <v>30000</v>
      </c>
      <c r="K488" s="7">
        <v>180000</v>
      </c>
      <c r="L488" t="s">
        <v>884</v>
      </c>
      <c r="M488" t="s">
        <v>903</v>
      </c>
      <c r="N488" t="s">
        <v>875</v>
      </c>
      <c r="O488" t="s">
        <v>891</v>
      </c>
      <c r="P488" t="s">
        <v>877</v>
      </c>
      <c r="Q488" s="7">
        <v>150000</v>
      </c>
    </row>
    <row r="489" spans="1:17">
      <c r="A489" t="s">
        <v>1384</v>
      </c>
      <c r="B489" s="6">
        <v>45692</v>
      </c>
      <c r="C489" t="s">
        <v>284</v>
      </c>
      <c r="D489" t="s">
        <v>753</v>
      </c>
      <c r="E489">
        <v>2</v>
      </c>
      <c r="F489" s="7">
        <v>300000</v>
      </c>
      <c r="G489" s="7">
        <v>600000</v>
      </c>
      <c r="H489" t="s">
        <v>895</v>
      </c>
      <c r="I489" s="7">
        <v>90000</v>
      </c>
      <c r="J489" s="7">
        <v>30000</v>
      </c>
      <c r="K489" s="7">
        <v>540000</v>
      </c>
      <c r="L489" t="s">
        <v>884</v>
      </c>
      <c r="M489" t="s">
        <v>903</v>
      </c>
      <c r="N489" t="s">
        <v>875</v>
      </c>
      <c r="O489" t="s">
        <v>887</v>
      </c>
      <c r="P489" t="s">
        <v>877</v>
      </c>
      <c r="Q489" s="7">
        <v>510000</v>
      </c>
    </row>
    <row r="490" spans="1:17">
      <c r="A490" t="s">
        <v>1385</v>
      </c>
      <c r="B490" s="6">
        <v>45746</v>
      </c>
      <c r="C490" t="s">
        <v>162</v>
      </c>
      <c r="D490" t="s">
        <v>845</v>
      </c>
      <c r="E490">
        <v>1</v>
      </c>
      <c r="F490" s="7">
        <v>300000</v>
      </c>
      <c r="G490" s="7">
        <v>300000</v>
      </c>
      <c r="H490" t="s">
        <v>883</v>
      </c>
      <c r="I490" s="7">
        <v>30000</v>
      </c>
      <c r="J490" s="7">
        <v>20000</v>
      </c>
      <c r="K490" s="7">
        <v>290000</v>
      </c>
      <c r="L490" t="s">
        <v>889</v>
      </c>
      <c r="M490" t="s">
        <v>881</v>
      </c>
      <c r="N490" t="s">
        <v>875</v>
      </c>
      <c r="O490" t="s">
        <v>876</v>
      </c>
      <c r="P490" t="s">
        <v>877</v>
      </c>
      <c r="Q490" s="7">
        <v>270000</v>
      </c>
    </row>
    <row r="491" spans="1:17">
      <c r="A491" t="s">
        <v>1386</v>
      </c>
      <c r="B491" s="6">
        <v>45814</v>
      </c>
      <c r="C491" t="s">
        <v>125</v>
      </c>
      <c r="D491" t="s">
        <v>787</v>
      </c>
      <c r="E491">
        <v>1</v>
      </c>
      <c r="F491" s="7">
        <v>200000</v>
      </c>
      <c r="G491" s="7">
        <v>200000</v>
      </c>
      <c r="H491" t="s">
        <v>872</v>
      </c>
      <c r="I491" s="7">
        <v>0</v>
      </c>
      <c r="J491" s="7">
        <v>10000</v>
      </c>
      <c r="K491" s="7">
        <v>210000</v>
      </c>
      <c r="L491" t="s">
        <v>884</v>
      </c>
      <c r="M491" t="s">
        <v>881</v>
      </c>
      <c r="N491" t="s">
        <v>911</v>
      </c>
      <c r="O491" t="s">
        <v>915</v>
      </c>
      <c r="P491" t="s">
        <v>892</v>
      </c>
      <c r="Q491" s="7">
        <v>200000</v>
      </c>
    </row>
    <row r="492" spans="1:17">
      <c r="A492" t="s">
        <v>1387</v>
      </c>
      <c r="B492" s="6">
        <v>45738</v>
      </c>
      <c r="C492" t="s">
        <v>406</v>
      </c>
      <c r="D492" t="s">
        <v>793</v>
      </c>
      <c r="E492">
        <v>2</v>
      </c>
      <c r="F492" s="7">
        <v>500000</v>
      </c>
      <c r="G492" s="7">
        <v>1000000</v>
      </c>
      <c r="H492" t="s">
        <v>872</v>
      </c>
      <c r="I492" s="7">
        <v>0</v>
      </c>
      <c r="J492" s="7">
        <v>25000</v>
      </c>
      <c r="K492" s="7">
        <v>1025000</v>
      </c>
      <c r="L492" t="s">
        <v>884</v>
      </c>
      <c r="M492" t="s">
        <v>881</v>
      </c>
      <c r="N492" t="s">
        <v>890</v>
      </c>
      <c r="O492" t="s">
        <v>876</v>
      </c>
      <c r="P492" t="s">
        <v>892</v>
      </c>
      <c r="Q492" s="7">
        <v>1000000</v>
      </c>
    </row>
    <row r="493" spans="1:17">
      <c r="A493" t="s">
        <v>1388</v>
      </c>
      <c r="B493" s="6">
        <v>45820</v>
      </c>
      <c r="C493" t="s">
        <v>412</v>
      </c>
      <c r="D493" t="s">
        <v>789</v>
      </c>
      <c r="E493">
        <v>2</v>
      </c>
      <c r="F493" s="7">
        <v>200000</v>
      </c>
      <c r="G493" s="7">
        <v>400000</v>
      </c>
      <c r="H493" t="s">
        <v>883</v>
      </c>
      <c r="I493" s="7">
        <v>40000</v>
      </c>
      <c r="J493" s="7">
        <v>20000</v>
      </c>
      <c r="K493" s="7">
        <v>380000</v>
      </c>
      <c r="L493" t="s">
        <v>873</v>
      </c>
      <c r="M493" t="s">
        <v>901</v>
      </c>
      <c r="N493" t="s">
        <v>890</v>
      </c>
      <c r="O493" t="s">
        <v>915</v>
      </c>
      <c r="P493" t="s">
        <v>892</v>
      </c>
      <c r="Q493" s="7">
        <v>360000</v>
      </c>
    </row>
    <row r="494" spans="1:17">
      <c r="A494" t="s">
        <v>1389</v>
      </c>
      <c r="B494" s="6">
        <v>45676</v>
      </c>
      <c r="C494" t="s">
        <v>222</v>
      </c>
      <c r="D494" t="s">
        <v>789</v>
      </c>
      <c r="E494">
        <v>2</v>
      </c>
      <c r="F494" s="7">
        <v>200000</v>
      </c>
      <c r="G494" s="7">
        <v>400000</v>
      </c>
      <c r="H494" t="s">
        <v>872</v>
      </c>
      <c r="I494" s="7">
        <v>0</v>
      </c>
      <c r="J494" s="7">
        <v>25000</v>
      </c>
      <c r="K494" s="7">
        <v>425000</v>
      </c>
      <c r="L494" t="s">
        <v>873</v>
      </c>
      <c r="M494" t="s">
        <v>901</v>
      </c>
      <c r="N494" t="s">
        <v>890</v>
      </c>
      <c r="O494" t="s">
        <v>908</v>
      </c>
      <c r="P494" t="s">
        <v>892</v>
      </c>
      <c r="Q494" s="7">
        <v>400000</v>
      </c>
    </row>
    <row r="495" spans="1:17">
      <c r="A495" t="s">
        <v>1390</v>
      </c>
      <c r="B495" s="6">
        <v>45768</v>
      </c>
      <c r="C495" t="s">
        <v>702</v>
      </c>
      <c r="D495" t="s">
        <v>821</v>
      </c>
      <c r="E495">
        <v>1</v>
      </c>
      <c r="F495" s="7">
        <v>50000</v>
      </c>
      <c r="G495" s="7">
        <v>50000</v>
      </c>
      <c r="H495" t="s">
        <v>872</v>
      </c>
      <c r="I495" s="7">
        <v>0</v>
      </c>
      <c r="J495" s="7">
        <v>15000</v>
      </c>
      <c r="K495" s="7">
        <v>65000</v>
      </c>
      <c r="L495" t="s">
        <v>884</v>
      </c>
      <c r="M495" t="s">
        <v>903</v>
      </c>
      <c r="N495" t="s">
        <v>875</v>
      </c>
      <c r="O495" t="s">
        <v>891</v>
      </c>
      <c r="P495" t="s">
        <v>877</v>
      </c>
      <c r="Q495" s="7">
        <v>50000</v>
      </c>
    </row>
    <row r="496" spans="1:17">
      <c r="A496" t="s">
        <v>1391</v>
      </c>
      <c r="B496" s="6">
        <v>45808</v>
      </c>
      <c r="C496" t="s">
        <v>616</v>
      </c>
      <c r="D496" t="s">
        <v>761</v>
      </c>
      <c r="E496">
        <v>2</v>
      </c>
      <c r="F496" s="7">
        <v>75000</v>
      </c>
      <c r="G496" s="7">
        <v>150000</v>
      </c>
      <c r="H496" t="s">
        <v>872</v>
      </c>
      <c r="I496" s="7">
        <v>0</v>
      </c>
      <c r="J496" s="7">
        <v>25000</v>
      </c>
      <c r="K496" s="7">
        <v>175000</v>
      </c>
      <c r="L496" t="s">
        <v>873</v>
      </c>
      <c r="M496" t="s">
        <v>874</v>
      </c>
      <c r="N496" t="s">
        <v>890</v>
      </c>
      <c r="O496" t="s">
        <v>896</v>
      </c>
      <c r="P496" t="s">
        <v>892</v>
      </c>
      <c r="Q496" s="7">
        <v>150000</v>
      </c>
    </row>
    <row r="497" spans="1:17">
      <c r="A497" t="s">
        <v>1392</v>
      </c>
      <c r="B497" s="6">
        <v>45668</v>
      </c>
      <c r="C497" t="s">
        <v>326</v>
      </c>
      <c r="D497" t="s">
        <v>819</v>
      </c>
      <c r="E497">
        <v>1</v>
      </c>
      <c r="F497" s="7">
        <v>300000</v>
      </c>
      <c r="G497" s="7">
        <v>300000</v>
      </c>
      <c r="H497" t="s">
        <v>895</v>
      </c>
      <c r="I497" s="7">
        <v>45000</v>
      </c>
      <c r="J497" s="7">
        <v>25000</v>
      </c>
      <c r="K497" s="7">
        <v>280000</v>
      </c>
      <c r="L497" t="s">
        <v>884</v>
      </c>
      <c r="M497" t="s">
        <v>881</v>
      </c>
      <c r="N497" t="s">
        <v>911</v>
      </c>
      <c r="O497" t="s">
        <v>908</v>
      </c>
      <c r="P497" t="s">
        <v>892</v>
      </c>
      <c r="Q497" s="7">
        <v>255000</v>
      </c>
    </row>
    <row r="498" spans="1:17">
      <c r="A498" t="s">
        <v>1393</v>
      </c>
      <c r="B498" s="6">
        <v>45770</v>
      </c>
      <c r="C498" t="s">
        <v>458</v>
      </c>
      <c r="D498" t="s">
        <v>725</v>
      </c>
      <c r="E498">
        <v>1</v>
      </c>
      <c r="F498" s="7">
        <v>300000</v>
      </c>
      <c r="G498" s="7">
        <v>300000</v>
      </c>
      <c r="H498" t="s">
        <v>883</v>
      </c>
      <c r="I498" s="7">
        <v>30000</v>
      </c>
      <c r="J498" s="7">
        <v>20000</v>
      </c>
      <c r="K498" s="7">
        <v>290000</v>
      </c>
      <c r="L498" t="s">
        <v>884</v>
      </c>
      <c r="M498" t="s">
        <v>903</v>
      </c>
      <c r="N498" t="s">
        <v>905</v>
      </c>
      <c r="O498" t="s">
        <v>891</v>
      </c>
      <c r="P498" t="s">
        <v>892</v>
      </c>
      <c r="Q498" s="7">
        <v>270000</v>
      </c>
    </row>
    <row r="499" spans="1:17">
      <c r="A499" t="s">
        <v>1394</v>
      </c>
      <c r="B499" s="6">
        <v>45760</v>
      </c>
      <c r="C499" t="s">
        <v>652</v>
      </c>
      <c r="D499" t="s">
        <v>737</v>
      </c>
      <c r="E499">
        <v>1</v>
      </c>
      <c r="F499" s="7">
        <v>300000</v>
      </c>
      <c r="G499" s="7">
        <v>300000</v>
      </c>
      <c r="H499" t="s">
        <v>872</v>
      </c>
      <c r="I499" s="7">
        <v>0</v>
      </c>
      <c r="J499" s="7">
        <v>30000</v>
      </c>
      <c r="K499" s="7">
        <v>330000</v>
      </c>
      <c r="L499" t="s">
        <v>873</v>
      </c>
      <c r="M499" t="s">
        <v>874</v>
      </c>
      <c r="N499" t="s">
        <v>890</v>
      </c>
      <c r="O499" t="s">
        <v>891</v>
      </c>
      <c r="P499" t="s">
        <v>892</v>
      </c>
      <c r="Q499" s="7">
        <v>300000</v>
      </c>
    </row>
    <row r="500" spans="1:17">
      <c r="A500" t="s">
        <v>1395</v>
      </c>
      <c r="B500" s="6">
        <v>45822</v>
      </c>
      <c r="C500" t="s">
        <v>109</v>
      </c>
      <c r="D500" t="s">
        <v>841</v>
      </c>
      <c r="E500">
        <v>1</v>
      </c>
      <c r="F500" s="7">
        <v>75000</v>
      </c>
      <c r="G500" s="7">
        <v>75000</v>
      </c>
      <c r="H500" t="s">
        <v>872</v>
      </c>
      <c r="I500" s="7">
        <v>0</v>
      </c>
      <c r="J500" s="7">
        <v>25000</v>
      </c>
      <c r="K500" s="7">
        <v>100000</v>
      </c>
      <c r="L500" t="s">
        <v>880</v>
      </c>
      <c r="M500" t="s">
        <v>903</v>
      </c>
      <c r="N500" t="s">
        <v>921</v>
      </c>
      <c r="O500" t="s">
        <v>915</v>
      </c>
      <c r="P500" t="s">
        <v>892</v>
      </c>
      <c r="Q500" s="7">
        <v>75000</v>
      </c>
    </row>
    <row r="501" spans="1:17">
      <c r="A501" t="s">
        <v>1396</v>
      </c>
      <c r="B501" s="6">
        <v>45732</v>
      </c>
      <c r="C501" t="s">
        <v>628</v>
      </c>
      <c r="D501" t="s">
        <v>749</v>
      </c>
      <c r="E501">
        <v>3</v>
      </c>
      <c r="F501" s="7">
        <v>150000</v>
      </c>
      <c r="G501" s="7">
        <v>450000</v>
      </c>
      <c r="H501" t="s">
        <v>872</v>
      </c>
      <c r="I501" s="7">
        <v>0</v>
      </c>
      <c r="J501" s="7">
        <v>15000</v>
      </c>
      <c r="K501" s="7">
        <v>465000</v>
      </c>
      <c r="L501" t="s">
        <v>884</v>
      </c>
      <c r="M501" t="s">
        <v>901</v>
      </c>
      <c r="N501" t="s">
        <v>875</v>
      </c>
      <c r="O501" t="s">
        <v>876</v>
      </c>
      <c r="P501" t="s">
        <v>877</v>
      </c>
      <c r="Q501" s="7">
        <v>450000</v>
      </c>
    </row>
    <row r="502" spans="1:17">
      <c r="A502" t="s">
        <v>1397</v>
      </c>
      <c r="B502" s="6">
        <v>45685</v>
      </c>
      <c r="C502" t="s">
        <v>488</v>
      </c>
      <c r="D502" t="s">
        <v>829</v>
      </c>
      <c r="E502">
        <v>1</v>
      </c>
      <c r="F502" s="7">
        <v>500000</v>
      </c>
      <c r="G502" s="7">
        <v>500000</v>
      </c>
      <c r="H502" t="s">
        <v>872</v>
      </c>
      <c r="I502" s="7">
        <v>0</v>
      </c>
      <c r="J502" s="7">
        <v>20000</v>
      </c>
      <c r="K502" s="7">
        <v>520000</v>
      </c>
      <c r="L502" t="s">
        <v>889</v>
      </c>
      <c r="M502" t="s">
        <v>881</v>
      </c>
      <c r="N502" t="s">
        <v>875</v>
      </c>
      <c r="O502" t="s">
        <v>908</v>
      </c>
      <c r="P502" t="s">
        <v>877</v>
      </c>
      <c r="Q502" s="7">
        <v>500000</v>
      </c>
    </row>
    <row r="503" spans="1:17">
      <c r="A503" t="s">
        <v>1398</v>
      </c>
      <c r="B503" s="6">
        <v>45687</v>
      </c>
      <c r="C503" t="s">
        <v>714</v>
      </c>
      <c r="D503" t="s">
        <v>769</v>
      </c>
      <c r="E503">
        <v>1</v>
      </c>
      <c r="F503" s="7">
        <v>100000</v>
      </c>
      <c r="G503" s="7">
        <v>100000</v>
      </c>
      <c r="H503" t="s">
        <v>883</v>
      </c>
      <c r="I503" s="7">
        <v>10000</v>
      </c>
      <c r="J503" s="7">
        <v>10000</v>
      </c>
      <c r="K503" s="7">
        <v>100000</v>
      </c>
      <c r="L503" t="s">
        <v>884</v>
      </c>
      <c r="M503" t="s">
        <v>901</v>
      </c>
      <c r="N503" t="s">
        <v>875</v>
      </c>
      <c r="O503" t="s">
        <v>908</v>
      </c>
      <c r="P503" t="s">
        <v>877</v>
      </c>
      <c r="Q503" s="7">
        <v>90000</v>
      </c>
    </row>
    <row r="504" spans="1:17">
      <c r="A504" t="s">
        <v>1399</v>
      </c>
      <c r="B504" s="6">
        <v>45836</v>
      </c>
      <c r="C504" t="s">
        <v>230</v>
      </c>
      <c r="D504" t="s">
        <v>853</v>
      </c>
      <c r="E504">
        <v>4</v>
      </c>
      <c r="F504" s="7">
        <v>75000</v>
      </c>
      <c r="G504" s="7">
        <v>300000</v>
      </c>
      <c r="H504" t="s">
        <v>872</v>
      </c>
      <c r="I504" s="7">
        <v>0</v>
      </c>
      <c r="J504" s="7">
        <v>10000</v>
      </c>
      <c r="K504" s="7">
        <v>310000</v>
      </c>
      <c r="L504" t="s">
        <v>884</v>
      </c>
      <c r="M504" t="s">
        <v>903</v>
      </c>
      <c r="N504" t="s">
        <v>875</v>
      </c>
      <c r="O504" t="s">
        <v>915</v>
      </c>
      <c r="P504" t="s">
        <v>877</v>
      </c>
      <c r="Q504" s="7">
        <v>300000</v>
      </c>
    </row>
    <row r="505" spans="1:17">
      <c r="A505" t="s">
        <v>1400</v>
      </c>
      <c r="B505" s="6">
        <v>45664</v>
      </c>
      <c r="C505" t="s">
        <v>574</v>
      </c>
      <c r="D505" t="s">
        <v>769</v>
      </c>
      <c r="E505">
        <v>1</v>
      </c>
      <c r="F505" s="7">
        <v>100000</v>
      </c>
      <c r="G505" s="7">
        <v>100000</v>
      </c>
      <c r="H505" t="s">
        <v>886</v>
      </c>
      <c r="I505" s="7">
        <v>10000</v>
      </c>
      <c r="J505" s="7">
        <v>30000</v>
      </c>
      <c r="K505" s="7">
        <v>120000</v>
      </c>
      <c r="L505" t="s">
        <v>889</v>
      </c>
      <c r="M505" t="s">
        <v>901</v>
      </c>
      <c r="N505" t="s">
        <v>875</v>
      </c>
      <c r="O505" t="s">
        <v>908</v>
      </c>
      <c r="P505" t="s">
        <v>877</v>
      </c>
      <c r="Q505" s="7">
        <v>90000</v>
      </c>
    </row>
    <row r="506" spans="1:17">
      <c r="A506" t="s">
        <v>1401</v>
      </c>
      <c r="B506" s="6">
        <v>45707</v>
      </c>
      <c r="C506" t="s">
        <v>478</v>
      </c>
      <c r="D506" t="s">
        <v>789</v>
      </c>
      <c r="E506">
        <v>2</v>
      </c>
      <c r="F506" s="7">
        <v>200000</v>
      </c>
      <c r="G506" s="7">
        <v>400000</v>
      </c>
      <c r="H506" t="s">
        <v>872</v>
      </c>
      <c r="I506" s="7">
        <v>0</v>
      </c>
      <c r="J506" s="7">
        <v>10000</v>
      </c>
      <c r="K506" s="7">
        <v>410000</v>
      </c>
      <c r="L506" t="s">
        <v>889</v>
      </c>
      <c r="M506" t="s">
        <v>874</v>
      </c>
      <c r="N506" t="s">
        <v>875</v>
      </c>
      <c r="O506" t="s">
        <v>887</v>
      </c>
      <c r="P506" t="s">
        <v>877</v>
      </c>
      <c r="Q506" s="7">
        <v>400000</v>
      </c>
    </row>
    <row r="507" spans="1:17">
      <c r="A507" t="s">
        <v>1402</v>
      </c>
      <c r="B507" s="6">
        <v>45789</v>
      </c>
      <c r="C507" t="s">
        <v>454</v>
      </c>
      <c r="D507" t="s">
        <v>737</v>
      </c>
      <c r="E507">
        <v>1</v>
      </c>
      <c r="F507" s="7">
        <v>300000</v>
      </c>
      <c r="G507" s="7">
        <v>300000</v>
      </c>
      <c r="H507" t="s">
        <v>886</v>
      </c>
      <c r="I507" s="7">
        <v>30000</v>
      </c>
      <c r="J507" s="7">
        <v>30000</v>
      </c>
      <c r="K507" s="7">
        <v>300000</v>
      </c>
      <c r="L507" t="s">
        <v>884</v>
      </c>
      <c r="M507" t="s">
        <v>901</v>
      </c>
      <c r="N507" t="s">
        <v>875</v>
      </c>
      <c r="O507" t="s">
        <v>896</v>
      </c>
      <c r="P507" t="s">
        <v>877</v>
      </c>
      <c r="Q507" s="7">
        <v>270000</v>
      </c>
    </row>
    <row r="508" spans="1:17">
      <c r="A508" t="s">
        <v>1403</v>
      </c>
      <c r="B508" s="6">
        <v>45809</v>
      </c>
      <c r="C508" t="s">
        <v>602</v>
      </c>
      <c r="D508" t="s">
        <v>835</v>
      </c>
      <c r="E508">
        <v>2</v>
      </c>
      <c r="F508" s="7">
        <v>200000</v>
      </c>
      <c r="G508" s="7">
        <v>400000</v>
      </c>
      <c r="H508" t="s">
        <v>872</v>
      </c>
      <c r="I508" s="7">
        <v>0</v>
      </c>
      <c r="J508" s="7">
        <v>25000</v>
      </c>
      <c r="K508" s="7">
        <v>425000</v>
      </c>
      <c r="L508" t="s">
        <v>884</v>
      </c>
      <c r="M508" t="s">
        <v>903</v>
      </c>
      <c r="N508" t="s">
        <v>875</v>
      </c>
      <c r="O508" t="s">
        <v>915</v>
      </c>
      <c r="P508" t="s">
        <v>877</v>
      </c>
      <c r="Q508" s="7">
        <v>400000</v>
      </c>
    </row>
    <row r="509" spans="1:17">
      <c r="A509" t="s">
        <v>1404</v>
      </c>
      <c r="B509" s="6">
        <v>45814</v>
      </c>
      <c r="C509" t="s">
        <v>47</v>
      </c>
      <c r="D509" t="s">
        <v>805</v>
      </c>
      <c r="E509">
        <v>4</v>
      </c>
      <c r="F509" s="7">
        <v>200000</v>
      </c>
      <c r="G509" s="7">
        <v>800000</v>
      </c>
      <c r="H509" t="s">
        <v>872</v>
      </c>
      <c r="I509" s="7">
        <v>0</v>
      </c>
      <c r="J509" s="7">
        <v>15000</v>
      </c>
      <c r="K509" s="7">
        <v>815000</v>
      </c>
      <c r="L509" t="s">
        <v>884</v>
      </c>
      <c r="M509" t="s">
        <v>901</v>
      </c>
      <c r="N509" t="s">
        <v>905</v>
      </c>
      <c r="O509" t="s">
        <v>915</v>
      </c>
      <c r="P509" t="s">
        <v>892</v>
      </c>
      <c r="Q509" s="7">
        <v>800000</v>
      </c>
    </row>
    <row r="510" spans="1:17">
      <c r="A510" t="s">
        <v>1405</v>
      </c>
      <c r="B510" s="6">
        <v>45833</v>
      </c>
      <c r="C510" t="s">
        <v>95</v>
      </c>
      <c r="D510" t="s">
        <v>817</v>
      </c>
      <c r="E510">
        <v>2</v>
      </c>
      <c r="F510" s="7">
        <v>75000</v>
      </c>
      <c r="G510" s="7">
        <v>150000</v>
      </c>
      <c r="H510" t="s">
        <v>886</v>
      </c>
      <c r="I510" s="7">
        <v>15000</v>
      </c>
      <c r="J510" s="7">
        <v>25000</v>
      </c>
      <c r="K510" s="7">
        <v>160000</v>
      </c>
      <c r="L510" t="s">
        <v>884</v>
      </c>
      <c r="M510" t="s">
        <v>903</v>
      </c>
      <c r="N510" t="s">
        <v>875</v>
      </c>
      <c r="O510" t="s">
        <v>915</v>
      </c>
      <c r="P510" t="s">
        <v>877</v>
      </c>
      <c r="Q510" s="7">
        <v>135000</v>
      </c>
    </row>
    <row r="511" spans="1:17">
      <c r="A511" t="s">
        <v>1406</v>
      </c>
      <c r="B511" s="6">
        <v>45675</v>
      </c>
      <c r="C511" t="s">
        <v>198</v>
      </c>
      <c r="D511" t="s">
        <v>841</v>
      </c>
      <c r="E511">
        <v>4</v>
      </c>
      <c r="F511" s="7">
        <v>75000</v>
      </c>
      <c r="G511" s="7">
        <v>300000</v>
      </c>
      <c r="H511" t="s">
        <v>879</v>
      </c>
      <c r="I511" s="7">
        <v>60000</v>
      </c>
      <c r="J511" s="7">
        <v>15000</v>
      </c>
      <c r="K511" s="7">
        <v>255000</v>
      </c>
      <c r="L511" t="s">
        <v>889</v>
      </c>
      <c r="M511" t="s">
        <v>903</v>
      </c>
      <c r="N511" t="s">
        <v>911</v>
      </c>
      <c r="O511" t="s">
        <v>908</v>
      </c>
      <c r="P511" t="s">
        <v>892</v>
      </c>
      <c r="Q511" s="7">
        <v>240000</v>
      </c>
    </row>
    <row r="512" spans="1:17">
      <c r="A512" t="s">
        <v>1407</v>
      </c>
      <c r="B512" s="6">
        <v>45791</v>
      </c>
      <c r="C512" t="s">
        <v>158</v>
      </c>
      <c r="D512" t="s">
        <v>823</v>
      </c>
      <c r="E512">
        <v>3</v>
      </c>
      <c r="F512" s="7">
        <v>500000</v>
      </c>
      <c r="G512" s="7">
        <v>1500000</v>
      </c>
      <c r="H512" t="s">
        <v>879</v>
      </c>
      <c r="I512" s="7">
        <v>300000</v>
      </c>
      <c r="J512" s="7">
        <v>10000</v>
      </c>
      <c r="K512" s="7">
        <v>1210000</v>
      </c>
      <c r="L512" t="s">
        <v>884</v>
      </c>
      <c r="M512" t="s">
        <v>903</v>
      </c>
      <c r="N512" t="s">
        <v>875</v>
      </c>
      <c r="O512" t="s">
        <v>896</v>
      </c>
      <c r="P512" t="s">
        <v>877</v>
      </c>
      <c r="Q512" s="7">
        <v>1200000</v>
      </c>
    </row>
    <row r="513" spans="1:17">
      <c r="A513" t="s">
        <v>1408</v>
      </c>
      <c r="B513" s="6">
        <v>45827</v>
      </c>
      <c r="C513" t="s">
        <v>83</v>
      </c>
      <c r="D513" t="s">
        <v>755</v>
      </c>
      <c r="E513">
        <v>2</v>
      </c>
      <c r="F513" s="7">
        <v>50000</v>
      </c>
      <c r="G513" s="7">
        <v>100000</v>
      </c>
      <c r="H513" t="s">
        <v>879</v>
      </c>
      <c r="I513" s="7">
        <v>20000</v>
      </c>
      <c r="J513" s="7">
        <v>30000</v>
      </c>
      <c r="K513" s="7">
        <v>110000</v>
      </c>
      <c r="L513" t="s">
        <v>873</v>
      </c>
      <c r="M513" t="s">
        <v>881</v>
      </c>
      <c r="N513" t="s">
        <v>890</v>
      </c>
      <c r="O513" t="s">
        <v>915</v>
      </c>
      <c r="P513" t="s">
        <v>892</v>
      </c>
      <c r="Q513" s="7">
        <v>80000</v>
      </c>
    </row>
    <row r="514" spans="1:17">
      <c r="A514" t="s">
        <v>1409</v>
      </c>
      <c r="B514" s="6">
        <v>45733</v>
      </c>
      <c r="C514" t="s">
        <v>512</v>
      </c>
      <c r="D514" t="s">
        <v>793</v>
      </c>
      <c r="E514">
        <v>1</v>
      </c>
      <c r="F514" s="7">
        <v>500000</v>
      </c>
      <c r="G514" s="7">
        <v>500000</v>
      </c>
      <c r="H514" t="s">
        <v>886</v>
      </c>
      <c r="I514" s="7">
        <v>50000</v>
      </c>
      <c r="J514" s="7">
        <v>30000</v>
      </c>
      <c r="K514" s="7">
        <v>480000</v>
      </c>
      <c r="L514" t="s">
        <v>884</v>
      </c>
      <c r="M514" t="s">
        <v>903</v>
      </c>
      <c r="N514" t="s">
        <v>875</v>
      </c>
      <c r="O514" t="s">
        <v>876</v>
      </c>
      <c r="P514" t="s">
        <v>877</v>
      </c>
      <c r="Q514" s="7">
        <v>450000</v>
      </c>
    </row>
    <row r="515" spans="1:17">
      <c r="A515" t="s">
        <v>1410</v>
      </c>
      <c r="B515" s="6">
        <v>45829</v>
      </c>
      <c r="C515" t="s">
        <v>566</v>
      </c>
      <c r="D515" t="s">
        <v>733</v>
      </c>
      <c r="E515">
        <v>4</v>
      </c>
      <c r="F515" s="7">
        <v>150000</v>
      </c>
      <c r="G515" s="7">
        <v>600000</v>
      </c>
      <c r="H515" t="s">
        <v>879</v>
      </c>
      <c r="I515" s="7">
        <v>120000</v>
      </c>
      <c r="J515" s="7">
        <v>25000</v>
      </c>
      <c r="K515" s="7">
        <v>505000</v>
      </c>
      <c r="L515" t="s">
        <v>884</v>
      </c>
      <c r="M515" t="s">
        <v>901</v>
      </c>
      <c r="N515" t="s">
        <v>911</v>
      </c>
      <c r="O515" t="s">
        <v>915</v>
      </c>
      <c r="P515" t="s">
        <v>892</v>
      </c>
      <c r="Q515" s="7">
        <v>480000</v>
      </c>
    </row>
    <row r="516" spans="1:17">
      <c r="A516" t="s">
        <v>1411</v>
      </c>
      <c r="B516" s="6">
        <v>45752</v>
      </c>
      <c r="C516" t="s">
        <v>34</v>
      </c>
      <c r="D516" t="s">
        <v>737</v>
      </c>
      <c r="E516">
        <v>1</v>
      </c>
      <c r="F516" s="7">
        <v>300000</v>
      </c>
      <c r="G516" s="7">
        <v>300000</v>
      </c>
      <c r="H516" t="s">
        <v>872</v>
      </c>
      <c r="I516" s="7">
        <v>0</v>
      </c>
      <c r="J516" s="7">
        <v>15000</v>
      </c>
      <c r="K516" s="7">
        <v>315000</v>
      </c>
      <c r="L516" t="s">
        <v>884</v>
      </c>
      <c r="M516" t="s">
        <v>901</v>
      </c>
      <c r="N516" t="s">
        <v>875</v>
      </c>
      <c r="O516" t="s">
        <v>891</v>
      </c>
      <c r="P516" t="s">
        <v>877</v>
      </c>
      <c r="Q516" s="7">
        <v>300000</v>
      </c>
    </row>
    <row r="517" spans="1:17">
      <c r="A517" t="s">
        <v>1412</v>
      </c>
      <c r="B517" s="6">
        <v>45829</v>
      </c>
      <c r="C517" t="s">
        <v>286</v>
      </c>
      <c r="D517" t="s">
        <v>819</v>
      </c>
      <c r="E517">
        <v>1</v>
      </c>
      <c r="F517" s="7">
        <v>300000</v>
      </c>
      <c r="G517" s="7">
        <v>300000</v>
      </c>
      <c r="H517" t="s">
        <v>879</v>
      </c>
      <c r="I517" s="7">
        <v>60000</v>
      </c>
      <c r="J517" s="7">
        <v>25000</v>
      </c>
      <c r="K517" s="7">
        <v>265000</v>
      </c>
      <c r="L517" t="s">
        <v>889</v>
      </c>
      <c r="M517" t="s">
        <v>881</v>
      </c>
      <c r="N517" t="s">
        <v>875</v>
      </c>
      <c r="O517" t="s">
        <v>915</v>
      </c>
      <c r="P517" t="s">
        <v>877</v>
      </c>
      <c r="Q517" s="7">
        <v>240000</v>
      </c>
    </row>
    <row r="518" spans="1:17">
      <c r="A518" t="s">
        <v>1413</v>
      </c>
      <c r="B518" s="6">
        <v>45836</v>
      </c>
      <c r="C518" t="s">
        <v>256</v>
      </c>
      <c r="D518" t="s">
        <v>833</v>
      </c>
      <c r="E518">
        <v>1</v>
      </c>
      <c r="F518" s="7">
        <v>200000</v>
      </c>
      <c r="G518" s="7">
        <v>200000</v>
      </c>
      <c r="H518" t="s">
        <v>886</v>
      </c>
      <c r="I518" s="7">
        <v>20000</v>
      </c>
      <c r="J518" s="7">
        <v>15000</v>
      </c>
      <c r="K518" s="7">
        <v>195000</v>
      </c>
      <c r="L518" t="s">
        <v>880</v>
      </c>
      <c r="M518" t="s">
        <v>901</v>
      </c>
      <c r="N518" t="s">
        <v>875</v>
      </c>
      <c r="O518" t="s">
        <v>915</v>
      </c>
      <c r="P518" t="s">
        <v>877</v>
      </c>
      <c r="Q518" s="7">
        <v>180000</v>
      </c>
    </row>
    <row r="519" spans="1:17">
      <c r="A519" t="s">
        <v>1414</v>
      </c>
      <c r="B519" s="6">
        <v>45710</v>
      </c>
      <c r="C519" t="s">
        <v>678</v>
      </c>
      <c r="D519" t="s">
        <v>853</v>
      </c>
      <c r="E519">
        <v>4</v>
      </c>
      <c r="F519" s="7">
        <v>75000</v>
      </c>
      <c r="G519" s="7">
        <v>300000</v>
      </c>
      <c r="I519" s="7">
        <v>0</v>
      </c>
      <c r="J519" s="7">
        <v>20000</v>
      </c>
      <c r="K519" s="7">
        <v>320000</v>
      </c>
      <c r="L519" t="s">
        <v>873</v>
      </c>
      <c r="M519" t="s">
        <v>881</v>
      </c>
      <c r="N519" t="s">
        <v>875</v>
      </c>
      <c r="O519" t="s">
        <v>887</v>
      </c>
      <c r="P519" t="s">
        <v>877</v>
      </c>
      <c r="Q519" s="7">
        <v>300000</v>
      </c>
    </row>
    <row r="520" spans="1:17">
      <c r="A520" t="s">
        <v>1415</v>
      </c>
      <c r="B520" s="6">
        <v>45667</v>
      </c>
      <c r="C520" t="s">
        <v>714</v>
      </c>
      <c r="D520" t="s">
        <v>793</v>
      </c>
      <c r="E520">
        <v>4</v>
      </c>
      <c r="F520" s="7">
        <v>500000</v>
      </c>
      <c r="G520" s="7">
        <v>2000000</v>
      </c>
      <c r="H520" t="s">
        <v>886</v>
      </c>
      <c r="I520" s="7">
        <v>200000</v>
      </c>
      <c r="J520" s="7">
        <v>20000</v>
      </c>
      <c r="K520" s="7">
        <v>1820000</v>
      </c>
      <c r="L520" t="s">
        <v>884</v>
      </c>
      <c r="M520" t="s">
        <v>903</v>
      </c>
      <c r="N520" t="s">
        <v>875</v>
      </c>
      <c r="O520" t="s">
        <v>908</v>
      </c>
      <c r="P520" t="s">
        <v>877</v>
      </c>
      <c r="Q520" s="7">
        <v>1800000</v>
      </c>
    </row>
    <row r="521" spans="1:17">
      <c r="A521" t="s">
        <v>1416</v>
      </c>
      <c r="B521" s="6">
        <v>45724</v>
      </c>
      <c r="C521" t="s">
        <v>27</v>
      </c>
      <c r="D521" t="s">
        <v>845</v>
      </c>
      <c r="E521">
        <v>1</v>
      </c>
      <c r="F521" s="7">
        <v>300000</v>
      </c>
      <c r="G521" s="7">
        <v>300000</v>
      </c>
      <c r="H521" t="s">
        <v>872</v>
      </c>
      <c r="I521" s="7">
        <v>0</v>
      </c>
      <c r="J521" s="7">
        <v>30000</v>
      </c>
      <c r="K521" s="7">
        <v>330000</v>
      </c>
      <c r="L521" t="s">
        <v>884</v>
      </c>
      <c r="M521" t="s">
        <v>901</v>
      </c>
      <c r="N521" t="s">
        <v>875</v>
      </c>
      <c r="O521" t="s">
        <v>876</v>
      </c>
      <c r="P521" t="s">
        <v>877</v>
      </c>
      <c r="Q521" s="7">
        <v>300000</v>
      </c>
    </row>
    <row r="522" spans="1:17">
      <c r="A522" t="s">
        <v>1417</v>
      </c>
      <c r="B522" s="6">
        <v>45666</v>
      </c>
      <c r="C522" t="s">
        <v>650</v>
      </c>
      <c r="D522" t="s">
        <v>763</v>
      </c>
      <c r="E522">
        <v>2</v>
      </c>
      <c r="F522" s="7">
        <v>75000</v>
      </c>
      <c r="G522" s="7">
        <v>150000</v>
      </c>
      <c r="H522" t="s">
        <v>872</v>
      </c>
      <c r="I522" s="7">
        <v>0</v>
      </c>
      <c r="J522" s="7">
        <v>10000</v>
      </c>
      <c r="K522" s="7">
        <v>160000</v>
      </c>
      <c r="L522" t="s">
        <v>880</v>
      </c>
      <c r="M522" t="s">
        <v>881</v>
      </c>
      <c r="N522" t="s">
        <v>875</v>
      </c>
      <c r="O522" t="s">
        <v>908</v>
      </c>
      <c r="P522" t="s">
        <v>877</v>
      </c>
      <c r="Q522" s="7">
        <v>150000</v>
      </c>
    </row>
    <row r="523" spans="1:17">
      <c r="A523" t="s">
        <v>1418</v>
      </c>
      <c r="B523" s="6">
        <v>45679</v>
      </c>
      <c r="C523" t="s">
        <v>244</v>
      </c>
      <c r="D523" t="s">
        <v>809</v>
      </c>
      <c r="E523">
        <v>2</v>
      </c>
      <c r="F523" s="7">
        <v>100000</v>
      </c>
      <c r="G523" s="7">
        <v>200000</v>
      </c>
      <c r="H523" t="s">
        <v>886</v>
      </c>
      <c r="I523" s="7">
        <v>20000</v>
      </c>
      <c r="J523" s="7">
        <v>10000</v>
      </c>
      <c r="K523" s="7">
        <v>190000</v>
      </c>
      <c r="L523" t="s">
        <v>880</v>
      </c>
      <c r="M523" t="s">
        <v>903</v>
      </c>
      <c r="N523" t="s">
        <v>875</v>
      </c>
      <c r="O523" t="s">
        <v>908</v>
      </c>
      <c r="P523" t="s">
        <v>877</v>
      </c>
      <c r="Q523" s="7">
        <v>180000</v>
      </c>
    </row>
    <row r="524" spans="1:17">
      <c r="A524" t="s">
        <v>1419</v>
      </c>
      <c r="B524" s="6">
        <v>45707</v>
      </c>
      <c r="C524" t="s">
        <v>37</v>
      </c>
      <c r="D524" t="s">
        <v>785</v>
      </c>
      <c r="E524">
        <v>1</v>
      </c>
      <c r="F524" s="7">
        <v>100000</v>
      </c>
      <c r="G524" s="7">
        <v>100000</v>
      </c>
      <c r="H524" t="s">
        <v>872</v>
      </c>
      <c r="I524" s="7">
        <v>0</v>
      </c>
      <c r="J524" s="7">
        <v>10000</v>
      </c>
      <c r="K524" s="7">
        <v>110000</v>
      </c>
      <c r="L524" t="s">
        <v>873</v>
      </c>
      <c r="M524" t="s">
        <v>903</v>
      </c>
      <c r="N524" t="s">
        <v>890</v>
      </c>
      <c r="O524" t="s">
        <v>887</v>
      </c>
      <c r="P524" t="s">
        <v>892</v>
      </c>
      <c r="Q524" s="7">
        <v>100000</v>
      </c>
    </row>
    <row r="525" spans="1:17">
      <c r="A525" t="s">
        <v>1420</v>
      </c>
      <c r="B525" s="6">
        <v>45680</v>
      </c>
      <c r="C525" t="s">
        <v>360</v>
      </c>
      <c r="D525" t="s">
        <v>745</v>
      </c>
      <c r="E525">
        <v>4</v>
      </c>
      <c r="F525" s="7">
        <v>500000</v>
      </c>
      <c r="G525" s="7">
        <v>2000000</v>
      </c>
      <c r="H525" t="s">
        <v>872</v>
      </c>
      <c r="I525" s="7">
        <v>0</v>
      </c>
      <c r="J525" s="7">
        <v>25000</v>
      </c>
      <c r="K525" s="7">
        <v>2025000</v>
      </c>
      <c r="L525" t="s">
        <v>889</v>
      </c>
      <c r="M525" t="s">
        <v>903</v>
      </c>
      <c r="N525" t="s">
        <v>890</v>
      </c>
      <c r="O525" t="s">
        <v>908</v>
      </c>
      <c r="P525" t="s">
        <v>892</v>
      </c>
      <c r="Q525" s="7">
        <v>2000000</v>
      </c>
    </row>
    <row r="526" spans="1:17">
      <c r="A526" t="s">
        <v>1421</v>
      </c>
      <c r="B526" s="6">
        <v>45803</v>
      </c>
      <c r="C526" t="s">
        <v>648</v>
      </c>
      <c r="D526" t="s">
        <v>855</v>
      </c>
      <c r="E526">
        <v>4</v>
      </c>
      <c r="F526" s="7">
        <v>150000</v>
      </c>
      <c r="G526" s="7">
        <v>600000</v>
      </c>
      <c r="H526" t="s">
        <v>895</v>
      </c>
      <c r="I526" s="7">
        <v>90000</v>
      </c>
      <c r="J526" s="7">
        <v>10000</v>
      </c>
      <c r="K526" s="7">
        <v>520000</v>
      </c>
      <c r="L526" t="s">
        <v>873</v>
      </c>
      <c r="M526" t="s">
        <v>881</v>
      </c>
      <c r="N526" t="s">
        <v>875</v>
      </c>
      <c r="O526" t="s">
        <v>896</v>
      </c>
      <c r="P526" t="s">
        <v>877</v>
      </c>
      <c r="Q526" s="7">
        <v>510000</v>
      </c>
    </row>
    <row r="527" spans="1:17">
      <c r="A527" t="s">
        <v>1422</v>
      </c>
      <c r="B527" s="6">
        <v>45725</v>
      </c>
      <c r="C527" t="s">
        <v>622</v>
      </c>
      <c r="D527" t="s">
        <v>849</v>
      </c>
      <c r="E527">
        <v>1</v>
      </c>
      <c r="F527" s="7">
        <v>500000</v>
      </c>
      <c r="G527" s="7">
        <v>500000</v>
      </c>
      <c r="H527" t="s">
        <v>895</v>
      </c>
      <c r="I527" s="7">
        <v>75000</v>
      </c>
      <c r="J527" s="7">
        <v>30000</v>
      </c>
      <c r="K527" s="7">
        <v>455000</v>
      </c>
      <c r="L527" t="s">
        <v>880</v>
      </c>
      <c r="M527" t="s">
        <v>903</v>
      </c>
      <c r="N527" t="s">
        <v>875</v>
      </c>
      <c r="O527" t="s">
        <v>876</v>
      </c>
      <c r="P527" t="s">
        <v>877</v>
      </c>
      <c r="Q527" s="7">
        <v>425000</v>
      </c>
    </row>
    <row r="528" spans="1:17">
      <c r="A528" t="s">
        <v>1423</v>
      </c>
      <c r="B528" s="6">
        <v>45670</v>
      </c>
      <c r="C528" t="s">
        <v>412</v>
      </c>
      <c r="D528" t="s">
        <v>785</v>
      </c>
      <c r="E528">
        <v>2</v>
      </c>
      <c r="F528" s="7">
        <v>100000</v>
      </c>
      <c r="G528" s="7">
        <v>200000</v>
      </c>
      <c r="H528" t="s">
        <v>886</v>
      </c>
      <c r="I528" s="7">
        <v>20000</v>
      </c>
      <c r="J528" s="7">
        <v>30000</v>
      </c>
      <c r="K528" s="7">
        <v>210000</v>
      </c>
      <c r="L528" t="s">
        <v>873</v>
      </c>
      <c r="M528" t="s">
        <v>903</v>
      </c>
      <c r="N528" t="s">
        <v>875</v>
      </c>
      <c r="O528" t="s">
        <v>908</v>
      </c>
      <c r="P528" t="s">
        <v>877</v>
      </c>
      <c r="Q528" s="7">
        <v>180000</v>
      </c>
    </row>
    <row r="529" spans="1:17">
      <c r="A529" t="s">
        <v>1424</v>
      </c>
      <c r="B529" s="6">
        <v>45771</v>
      </c>
      <c r="C529" t="s">
        <v>368</v>
      </c>
      <c r="D529" t="s">
        <v>759</v>
      </c>
      <c r="E529">
        <v>4</v>
      </c>
      <c r="F529" s="7">
        <v>300000</v>
      </c>
      <c r="G529" s="7">
        <v>1200000</v>
      </c>
      <c r="H529" t="s">
        <v>895</v>
      </c>
      <c r="I529" s="7">
        <v>180000</v>
      </c>
      <c r="J529" s="7">
        <v>20000</v>
      </c>
      <c r="K529" s="7">
        <v>1040000</v>
      </c>
      <c r="L529" t="s">
        <v>873</v>
      </c>
      <c r="M529" t="s">
        <v>881</v>
      </c>
      <c r="N529" t="s">
        <v>875</v>
      </c>
      <c r="O529" t="s">
        <v>891</v>
      </c>
      <c r="P529" t="s">
        <v>877</v>
      </c>
      <c r="Q529" s="7">
        <v>1020000</v>
      </c>
    </row>
    <row r="530" spans="1:17">
      <c r="A530" t="s">
        <v>1425</v>
      </c>
      <c r="B530" s="6">
        <v>45710</v>
      </c>
      <c r="C530" t="s">
        <v>69</v>
      </c>
      <c r="D530" t="s">
        <v>827</v>
      </c>
      <c r="E530">
        <v>3</v>
      </c>
      <c r="F530" s="7">
        <v>100000</v>
      </c>
      <c r="G530" s="7">
        <v>300000</v>
      </c>
      <c r="H530" t="s">
        <v>886</v>
      </c>
      <c r="I530" s="7">
        <v>30000</v>
      </c>
      <c r="J530" s="7">
        <v>20000</v>
      </c>
      <c r="K530" s="7">
        <v>290000</v>
      </c>
      <c r="L530" t="s">
        <v>889</v>
      </c>
      <c r="M530" t="s">
        <v>901</v>
      </c>
      <c r="N530" t="s">
        <v>905</v>
      </c>
      <c r="O530" t="s">
        <v>887</v>
      </c>
      <c r="P530" t="s">
        <v>892</v>
      </c>
      <c r="Q530" s="7">
        <v>270000</v>
      </c>
    </row>
    <row r="531" spans="1:17">
      <c r="A531" t="s">
        <v>1426</v>
      </c>
      <c r="B531" s="6">
        <v>45776</v>
      </c>
      <c r="C531" t="s">
        <v>446</v>
      </c>
      <c r="D531" t="s">
        <v>781</v>
      </c>
      <c r="E531">
        <v>3</v>
      </c>
      <c r="F531" s="7">
        <v>50000</v>
      </c>
      <c r="G531" s="7">
        <v>150000</v>
      </c>
      <c r="H531" t="s">
        <v>872</v>
      </c>
      <c r="I531" s="7">
        <v>0</v>
      </c>
      <c r="J531" s="7">
        <v>20000</v>
      </c>
      <c r="K531" s="7">
        <v>170000</v>
      </c>
      <c r="L531" t="s">
        <v>880</v>
      </c>
      <c r="M531" t="s">
        <v>874</v>
      </c>
      <c r="N531" t="s">
        <v>875</v>
      </c>
      <c r="O531" t="s">
        <v>891</v>
      </c>
      <c r="P531" t="s">
        <v>877</v>
      </c>
      <c r="Q531" s="7">
        <v>150000</v>
      </c>
    </row>
    <row r="532" spans="1:17">
      <c r="A532" t="s">
        <v>1427</v>
      </c>
      <c r="B532" s="6">
        <v>45690</v>
      </c>
      <c r="C532" t="s">
        <v>73</v>
      </c>
      <c r="D532" t="s">
        <v>853</v>
      </c>
      <c r="E532">
        <v>2</v>
      </c>
      <c r="F532" s="7">
        <v>75000</v>
      </c>
      <c r="G532" s="7">
        <v>150000</v>
      </c>
      <c r="H532" t="s">
        <v>883</v>
      </c>
      <c r="I532" s="7">
        <v>15000</v>
      </c>
      <c r="J532" s="7">
        <v>20000</v>
      </c>
      <c r="K532" s="7">
        <v>155000</v>
      </c>
      <c r="L532" t="s">
        <v>889</v>
      </c>
      <c r="M532" t="s">
        <v>903</v>
      </c>
      <c r="N532" t="s">
        <v>905</v>
      </c>
      <c r="O532" t="s">
        <v>887</v>
      </c>
      <c r="P532" t="s">
        <v>892</v>
      </c>
      <c r="Q532" s="7">
        <v>135000</v>
      </c>
    </row>
    <row r="533" spans="1:17">
      <c r="A533" t="s">
        <v>1428</v>
      </c>
      <c r="B533" s="6">
        <v>45825</v>
      </c>
      <c r="C533" t="s">
        <v>178</v>
      </c>
      <c r="D533" t="s">
        <v>811</v>
      </c>
      <c r="E533">
        <v>2</v>
      </c>
      <c r="F533" s="7">
        <v>35000</v>
      </c>
      <c r="G533" s="7">
        <v>70000</v>
      </c>
      <c r="H533" t="s">
        <v>872</v>
      </c>
      <c r="I533" s="7">
        <v>0</v>
      </c>
      <c r="J533" s="7">
        <v>20000</v>
      </c>
      <c r="K533" s="7">
        <v>90000</v>
      </c>
      <c r="L533" t="s">
        <v>884</v>
      </c>
      <c r="M533" t="s">
        <v>903</v>
      </c>
      <c r="N533" t="s">
        <v>875</v>
      </c>
      <c r="O533" t="s">
        <v>915</v>
      </c>
      <c r="P533" t="s">
        <v>877</v>
      </c>
      <c r="Q533" s="7">
        <v>70000</v>
      </c>
    </row>
    <row r="534" spans="1:17">
      <c r="A534" t="s">
        <v>1429</v>
      </c>
      <c r="B534" s="6">
        <v>45830</v>
      </c>
      <c r="C534" t="s">
        <v>109</v>
      </c>
      <c r="D534" t="s">
        <v>751</v>
      </c>
      <c r="E534">
        <v>2</v>
      </c>
      <c r="F534" s="7">
        <v>150000</v>
      </c>
      <c r="G534" s="7">
        <v>300000</v>
      </c>
      <c r="H534" t="s">
        <v>879</v>
      </c>
      <c r="I534" s="7">
        <v>60000</v>
      </c>
      <c r="J534" s="7">
        <v>10000</v>
      </c>
      <c r="K534" s="7">
        <v>250000</v>
      </c>
      <c r="L534" t="s">
        <v>884</v>
      </c>
      <c r="M534" t="s">
        <v>903</v>
      </c>
      <c r="N534" t="s">
        <v>890</v>
      </c>
      <c r="O534" t="s">
        <v>915</v>
      </c>
      <c r="P534" t="s">
        <v>892</v>
      </c>
      <c r="Q534" s="7">
        <v>240000</v>
      </c>
    </row>
    <row r="535" spans="1:17">
      <c r="A535" t="s">
        <v>1430</v>
      </c>
      <c r="B535" s="6">
        <v>45722</v>
      </c>
      <c r="C535" t="s">
        <v>286</v>
      </c>
      <c r="D535" t="s">
        <v>781</v>
      </c>
      <c r="E535">
        <v>1</v>
      </c>
      <c r="F535" s="7">
        <v>50000</v>
      </c>
      <c r="G535" s="7">
        <v>50000</v>
      </c>
      <c r="H535" t="s">
        <v>886</v>
      </c>
      <c r="I535" s="7">
        <v>5000</v>
      </c>
      <c r="J535" s="7">
        <v>30000</v>
      </c>
      <c r="K535" s="7">
        <v>75000</v>
      </c>
      <c r="L535" t="s">
        <v>884</v>
      </c>
      <c r="M535" t="s">
        <v>881</v>
      </c>
      <c r="N535" t="s">
        <v>875</v>
      </c>
      <c r="O535" t="s">
        <v>876</v>
      </c>
      <c r="P535" t="s">
        <v>877</v>
      </c>
      <c r="Q535" s="7">
        <v>45000</v>
      </c>
    </row>
    <row r="536" spans="1:17">
      <c r="A536" t="s">
        <v>1431</v>
      </c>
      <c r="B536" s="6">
        <v>45803</v>
      </c>
      <c r="C536" t="s">
        <v>704</v>
      </c>
      <c r="D536" t="s">
        <v>765</v>
      </c>
      <c r="E536">
        <v>1</v>
      </c>
      <c r="F536" s="7">
        <v>500000</v>
      </c>
      <c r="G536" s="7">
        <v>500000</v>
      </c>
      <c r="H536" t="s">
        <v>886</v>
      </c>
      <c r="I536" s="7">
        <v>50000</v>
      </c>
      <c r="J536" s="7">
        <v>15000</v>
      </c>
      <c r="K536" s="7">
        <v>465000</v>
      </c>
      <c r="L536" t="s">
        <v>889</v>
      </c>
      <c r="M536" t="s">
        <v>881</v>
      </c>
      <c r="N536" t="s">
        <v>875</v>
      </c>
      <c r="O536" t="s">
        <v>896</v>
      </c>
      <c r="P536" t="s">
        <v>877</v>
      </c>
      <c r="Q536" s="7">
        <v>450000</v>
      </c>
    </row>
    <row r="537" spans="1:17">
      <c r="A537" t="s">
        <v>1432</v>
      </c>
      <c r="B537" s="6">
        <v>45745</v>
      </c>
      <c r="C537" t="s">
        <v>624</v>
      </c>
      <c r="D537" t="s">
        <v>815</v>
      </c>
      <c r="E537">
        <v>1</v>
      </c>
      <c r="F537" s="7">
        <v>75000</v>
      </c>
      <c r="G537" s="7">
        <v>75000</v>
      </c>
      <c r="H537" t="s">
        <v>895</v>
      </c>
      <c r="I537" s="7">
        <v>11250</v>
      </c>
      <c r="J537" s="7">
        <v>20000</v>
      </c>
      <c r="K537" s="7">
        <v>83750</v>
      </c>
      <c r="L537" t="s">
        <v>873</v>
      </c>
      <c r="M537" t="s">
        <v>874</v>
      </c>
      <c r="N537" t="s">
        <v>875</v>
      </c>
      <c r="O537" t="s">
        <v>876</v>
      </c>
      <c r="P537" t="s">
        <v>877</v>
      </c>
      <c r="Q537" s="7">
        <v>63750</v>
      </c>
    </row>
    <row r="538" spans="1:17">
      <c r="A538" t="s">
        <v>1433</v>
      </c>
      <c r="B538" s="6">
        <v>45794</v>
      </c>
      <c r="C538" t="s">
        <v>508</v>
      </c>
      <c r="D538" t="s">
        <v>825</v>
      </c>
      <c r="E538">
        <v>1</v>
      </c>
      <c r="F538" s="7">
        <v>100000</v>
      </c>
      <c r="G538" s="7">
        <v>100000</v>
      </c>
      <c r="H538" t="s">
        <v>872</v>
      </c>
      <c r="I538" s="7">
        <v>0</v>
      </c>
      <c r="J538" s="7">
        <v>10000</v>
      </c>
      <c r="K538" s="7">
        <v>110000</v>
      </c>
      <c r="L538" t="s">
        <v>873</v>
      </c>
      <c r="M538" t="s">
        <v>874</v>
      </c>
      <c r="N538" t="s">
        <v>890</v>
      </c>
      <c r="O538" t="s">
        <v>896</v>
      </c>
      <c r="P538" t="s">
        <v>892</v>
      </c>
      <c r="Q538" s="7">
        <v>100000</v>
      </c>
    </row>
    <row r="539" spans="1:17">
      <c r="A539" t="s">
        <v>1434</v>
      </c>
      <c r="B539" s="6">
        <v>45744</v>
      </c>
      <c r="C539" t="s">
        <v>314</v>
      </c>
      <c r="D539" t="s">
        <v>809</v>
      </c>
      <c r="E539">
        <v>3</v>
      </c>
      <c r="F539" s="7">
        <v>100000</v>
      </c>
      <c r="G539" s="7">
        <v>300000</v>
      </c>
      <c r="H539" t="s">
        <v>872</v>
      </c>
      <c r="I539" s="7">
        <v>0</v>
      </c>
      <c r="J539" s="7">
        <v>15000</v>
      </c>
      <c r="K539" s="7">
        <v>315000</v>
      </c>
      <c r="L539" t="s">
        <v>884</v>
      </c>
      <c r="M539" t="s">
        <v>901</v>
      </c>
      <c r="N539" t="s">
        <v>875</v>
      </c>
      <c r="O539" t="s">
        <v>876</v>
      </c>
      <c r="P539" t="s">
        <v>877</v>
      </c>
      <c r="Q539" s="7">
        <v>300000</v>
      </c>
    </row>
    <row r="540" spans="1:17">
      <c r="A540" t="s">
        <v>1435</v>
      </c>
      <c r="B540" s="6">
        <v>45698</v>
      </c>
      <c r="C540" t="s">
        <v>286</v>
      </c>
      <c r="D540" t="s">
        <v>757</v>
      </c>
      <c r="E540">
        <v>1</v>
      </c>
      <c r="F540" s="7">
        <v>75000</v>
      </c>
      <c r="G540" s="7">
        <v>75000</v>
      </c>
      <c r="H540" t="s">
        <v>886</v>
      </c>
      <c r="I540" s="7">
        <v>7500</v>
      </c>
      <c r="J540" s="7">
        <v>20000</v>
      </c>
      <c r="K540" s="7">
        <v>87500</v>
      </c>
      <c r="L540" t="s">
        <v>889</v>
      </c>
      <c r="M540" t="s">
        <v>881</v>
      </c>
      <c r="N540" t="s">
        <v>875</v>
      </c>
      <c r="O540" t="s">
        <v>887</v>
      </c>
      <c r="P540" t="s">
        <v>877</v>
      </c>
      <c r="Q540" s="7">
        <v>67500</v>
      </c>
    </row>
    <row r="541" spans="1:17">
      <c r="A541" t="s">
        <v>1436</v>
      </c>
      <c r="B541" s="6">
        <v>45774</v>
      </c>
      <c r="C541" t="s">
        <v>468</v>
      </c>
      <c r="D541" t="s">
        <v>783</v>
      </c>
      <c r="E541">
        <v>1</v>
      </c>
      <c r="F541" s="7">
        <v>500000</v>
      </c>
      <c r="G541" s="7">
        <v>500000</v>
      </c>
      <c r="H541" t="s">
        <v>872</v>
      </c>
      <c r="I541" s="7">
        <v>0</v>
      </c>
      <c r="J541" s="7">
        <v>20000</v>
      </c>
      <c r="K541" s="7">
        <v>520000</v>
      </c>
      <c r="L541" t="s">
        <v>884</v>
      </c>
      <c r="M541" t="s">
        <v>901</v>
      </c>
      <c r="N541" t="s">
        <v>875</v>
      </c>
      <c r="O541" t="s">
        <v>891</v>
      </c>
      <c r="P541" t="s">
        <v>877</v>
      </c>
      <c r="Q541" s="7">
        <v>500000</v>
      </c>
    </row>
    <row r="542" spans="1:17">
      <c r="A542" t="s">
        <v>1437</v>
      </c>
      <c r="B542" s="6">
        <v>45658</v>
      </c>
      <c r="C542" t="s">
        <v>324</v>
      </c>
      <c r="D542" t="s">
        <v>825</v>
      </c>
      <c r="E542">
        <v>1</v>
      </c>
      <c r="F542" s="7">
        <v>100000</v>
      </c>
      <c r="G542" s="7">
        <v>100000</v>
      </c>
      <c r="H542" t="s">
        <v>872</v>
      </c>
      <c r="I542" s="7">
        <v>0</v>
      </c>
      <c r="J542" s="7">
        <v>30000</v>
      </c>
      <c r="K542" s="7">
        <v>130000</v>
      </c>
      <c r="L542" t="s">
        <v>884</v>
      </c>
      <c r="M542" t="s">
        <v>901</v>
      </c>
      <c r="N542" t="s">
        <v>905</v>
      </c>
      <c r="O542" t="s">
        <v>908</v>
      </c>
      <c r="P542" t="s">
        <v>892</v>
      </c>
      <c r="Q542" s="7">
        <v>100000</v>
      </c>
    </row>
    <row r="543" spans="1:17">
      <c r="A543" t="s">
        <v>1438</v>
      </c>
      <c r="B543" s="6">
        <v>45804</v>
      </c>
      <c r="C543" t="s">
        <v>440</v>
      </c>
      <c r="D543" t="s">
        <v>785</v>
      </c>
      <c r="E543">
        <v>3</v>
      </c>
      <c r="F543" s="7">
        <v>100000</v>
      </c>
      <c r="G543" s="7">
        <v>300000</v>
      </c>
      <c r="H543" t="s">
        <v>872</v>
      </c>
      <c r="I543" s="7">
        <v>0</v>
      </c>
      <c r="J543" s="7">
        <v>25000</v>
      </c>
      <c r="K543" s="7">
        <v>325000</v>
      </c>
      <c r="L543" t="s">
        <v>884</v>
      </c>
      <c r="M543" t="s">
        <v>881</v>
      </c>
      <c r="N543" t="s">
        <v>911</v>
      </c>
      <c r="O543" t="s">
        <v>896</v>
      </c>
      <c r="P543" t="s">
        <v>892</v>
      </c>
      <c r="Q543" s="7">
        <v>300000</v>
      </c>
    </row>
    <row r="544" spans="1:17">
      <c r="A544" t="s">
        <v>1439</v>
      </c>
      <c r="B544" s="6">
        <v>45761</v>
      </c>
      <c r="C544" t="s">
        <v>85</v>
      </c>
      <c r="D544" t="s">
        <v>785</v>
      </c>
      <c r="E544">
        <v>2</v>
      </c>
      <c r="F544" s="7">
        <v>100000</v>
      </c>
      <c r="G544" s="7">
        <v>200000</v>
      </c>
      <c r="H544" t="s">
        <v>886</v>
      </c>
      <c r="I544" s="7">
        <v>20000</v>
      </c>
      <c r="J544" s="7">
        <v>20000</v>
      </c>
      <c r="K544" s="7">
        <v>200000</v>
      </c>
      <c r="L544" t="s">
        <v>884</v>
      </c>
      <c r="M544" t="s">
        <v>903</v>
      </c>
      <c r="N544" t="s">
        <v>875</v>
      </c>
      <c r="O544" t="s">
        <v>891</v>
      </c>
      <c r="P544" t="s">
        <v>877</v>
      </c>
      <c r="Q544" s="7">
        <v>180000</v>
      </c>
    </row>
    <row r="545" spans="1:17">
      <c r="A545" t="s">
        <v>1440</v>
      </c>
      <c r="B545" s="6">
        <v>45696</v>
      </c>
      <c r="C545" t="s">
        <v>592</v>
      </c>
      <c r="D545" t="s">
        <v>819</v>
      </c>
      <c r="E545">
        <v>1</v>
      </c>
      <c r="F545" s="7">
        <v>300000</v>
      </c>
      <c r="G545" s="7">
        <v>300000</v>
      </c>
      <c r="H545" t="s">
        <v>872</v>
      </c>
      <c r="I545" s="7">
        <v>0</v>
      </c>
      <c r="J545" s="7">
        <v>30000</v>
      </c>
      <c r="K545" s="7">
        <v>330000</v>
      </c>
      <c r="L545" t="s">
        <v>889</v>
      </c>
      <c r="M545" t="s">
        <v>874</v>
      </c>
      <c r="N545" t="s">
        <v>875</v>
      </c>
      <c r="O545" t="s">
        <v>887</v>
      </c>
      <c r="P545" t="s">
        <v>877</v>
      </c>
      <c r="Q545" s="7">
        <v>300000</v>
      </c>
    </row>
    <row r="546" spans="1:17">
      <c r="A546" t="s">
        <v>1441</v>
      </c>
      <c r="B546" s="6">
        <v>45730</v>
      </c>
      <c r="C546" t="s">
        <v>44</v>
      </c>
      <c r="D546" t="s">
        <v>737</v>
      </c>
      <c r="E546">
        <v>4</v>
      </c>
      <c r="F546" s="7">
        <v>300000</v>
      </c>
      <c r="G546" s="7">
        <v>1200000</v>
      </c>
      <c r="H546" t="s">
        <v>879</v>
      </c>
      <c r="I546" s="7">
        <v>240000</v>
      </c>
      <c r="J546" s="7">
        <v>20000</v>
      </c>
      <c r="K546" s="7">
        <v>980000</v>
      </c>
      <c r="L546" t="s">
        <v>884</v>
      </c>
      <c r="M546" t="s">
        <v>903</v>
      </c>
      <c r="N546" t="s">
        <v>905</v>
      </c>
      <c r="O546" t="s">
        <v>876</v>
      </c>
      <c r="P546" t="s">
        <v>892</v>
      </c>
      <c r="Q546" s="7">
        <v>960000</v>
      </c>
    </row>
    <row r="547" spans="1:17">
      <c r="A547" t="s">
        <v>1442</v>
      </c>
      <c r="B547" s="6">
        <v>45778</v>
      </c>
      <c r="C547" t="s">
        <v>634</v>
      </c>
      <c r="D547" t="s">
        <v>741</v>
      </c>
      <c r="E547">
        <v>4</v>
      </c>
      <c r="F547" s="7">
        <v>75000</v>
      </c>
      <c r="G547" s="7">
        <v>300000</v>
      </c>
      <c r="H547" t="s">
        <v>895</v>
      </c>
      <c r="I547" s="7">
        <v>45000</v>
      </c>
      <c r="J547" s="7">
        <v>30000</v>
      </c>
      <c r="K547" s="7">
        <v>285000</v>
      </c>
      <c r="L547" t="s">
        <v>880</v>
      </c>
      <c r="M547" t="s">
        <v>881</v>
      </c>
      <c r="N547" t="s">
        <v>875</v>
      </c>
      <c r="O547" t="s">
        <v>896</v>
      </c>
      <c r="P547" t="s">
        <v>877</v>
      </c>
      <c r="Q547" s="7">
        <v>255000</v>
      </c>
    </row>
    <row r="548" spans="1:17">
      <c r="A548" t="s">
        <v>1443</v>
      </c>
      <c r="B548" s="6">
        <v>45661</v>
      </c>
      <c r="C548" t="s">
        <v>236</v>
      </c>
      <c r="D548" t="s">
        <v>755</v>
      </c>
      <c r="E548">
        <v>2</v>
      </c>
      <c r="F548" s="7">
        <v>50000</v>
      </c>
      <c r="G548" s="7">
        <v>100000</v>
      </c>
      <c r="H548" t="s">
        <v>872</v>
      </c>
      <c r="I548" s="7">
        <v>0</v>
      </c>
      <c r="J548" s="7">
        <v>10000</v>
      </c>
      <c r="K548" s="7">
        <v>110000</v>
      </c>
      <c r="L548" t="s">
        <v>880</v>
      </c>
      <c r="M548" t="s">
        <v>874</v>
      </c>
      <c r="N548" t="s">
        <v>875</v>
      </c>
      <c r="O548" t="s">
        <v>908</v>
      </c>
      <c r="P548" t="s">
        <v>877</v>
      </c>
      <c r="Q548" s="7">
        <v>100000</v>
      </c>
    </row>
    <row r="549" spans="1:17">
      <c r="A549" t="s">
        <v>1444</v>
      </c>
      <c r="B549" s="6">
        <v>45774</v>
      </c>
      <c r="C549" t="s">
        <v>552</v>
      </c>
      <c r="D549" t="s">
        <v>805</v>
      </c>
      <c r="E549">
        <v>2</v>
      </c>
      <c r="F549" s="7">
        <v>200000</v>
      </c>
      <c r="G549" s="7">
        <v>400000</v>
      </c>
      <c r="H549" t="s">
        <v>872</v>
      </c>
      <c r="I549" s="7">
        <v>0</v>
      </c>
      <c r="J549" s="7">
        <v>30000</v>
      </c>
      <c r="K549" s="7">
        <v>430000</v>
      </c>
      <c r="L549" t="s">
        <v>880</v>
      </c>
      <c r="M549" t="s">
        <v>874</v>
      </c>
      <c r="N549" t="s">
        <v>875</v>
      </c>
      <c r="O549" t="s">
        <v>891</v>
      </c>
      <c r="P549" t="s">
        <v>877</v>
      </c>
      <c r="Q549" s="7">
        <v>400000</v>
      </c>
    </row>
    <row r="550" spans="1:17">
      <c r="A550" t="s">
        <v>1445</v>
      </c>
      <c r="B550" s="6">
        <v>45731</v>
      </c>
      <c r="C550" t="s">
        <v>164</v>
      </c>
      <c r="D550" t="s">
        <v>839</v>
      </c>
      <c r="E550">
        <v>4</v>
      </c>
      <c r="F550" s="7">
        <v>200000</v>
      </c>
      <c r="G550" s="7">
        <v>800000</v>
      </c>
      <c r="H550" t="s">
        <v>886</v>
      </c>
      <c r="I550" s="7">
        <v>80000</v>
      </c>
      <c r="J550" s="7">
        <v>30000</v>
      </c>
      <c r="K550" s="7">
        <v>750000</v>
      </c>
      <c r="L550" t="s">
        <v>884</v>
      </c>
      <c r="M550" t="s">
        <v>881</v>
      </c>
      <c r="N550" t="s">
        <v>875</v>
      </c>
      <c r="O550" t="s">
        <v>876</v>
      </c>
      <c r="P550" t="s">
        <v>877</v>
      </c>
      <c r="Q550" s="7">
        <v>720000</v>
      </c>
    </row>
    <row r="551" spans="1:17">
      <c r="A551" t="s">
        <v>1446</v>
      </c>
      <c r="B551" s="6">
        <v>45808</v>
      </c>
      <c r="C551" t="s">
        <v>332</v>
      </c>
      <c r="D551" t="s">
        <v>763</v>
      </c>
      <c r="E551">
        <v>1</v>
      </c>
      <c r="F551" s="7">
        <v>75000</v>
      </c>
      <c r="G551" s="7">
        <v>75000</v>
      </c>
      <c r="H551" t="s">
        <v>872</v>
      </c>
      <c r="I551" s="7">
        <v>0</v>
      </c>
      <c r="J551" s="7">
        <v>25000</v>
      </c>
      <c r="K551" s="7">
        <v>100000</v>
      </c>
      <c r="L551" t="s">
        <v>873</v>
      </c>
      <c r="M551" t="s">
        <v>901</v>
      </c>
      <c r="N551" t="s">
        <v>890</v>
      </c>
      <c r="O551" t="s">
        <v>896</v>
      </c>
      <c r="P551" t="s">
        <v>892</v>
      </c>
      <c r="Q551" s="7">
        <v>75000</v>
      </c>
    </row>
    <row r="552" spans="1:17">
      <c r="A552" t="s">
        <v>1447</v>
      </c>
      <c r="B552" s="6">
        <v>45787</v>
      </c>
      <c r="C552" t="s">
        <v>324</v>
      </c>
      <c r="D552" t="s">
        <v>761</v>
      </c>
      <c r="E552">
        <v>1</v>
      </c>
      <c r="F552" s="7">
        <v>75000</v>
      </c>
      <c r="G552" s="7">
        <v>75000</v>
      </c>
      <c r="H552" t="s">
        <v>872</v>
      </c>
      <c r="I552" s="7">
        <v>0</v>
      </c>
      <c r="J552" s="7">
        <v>20000</v>
      </c>
      <c r="K552" s="7">
        <v>95000</v>
      </c>
      <c r="L552" t="s">
        <v>889</v>
      </c>
      <c r="M552" t="s">
        <v>903</v>
      </c>
      <c r="N552" t="s">
        <v>875</v>
      </c>
      <c r="O552" t="s">
        <v>896</v>
      </c>
      <c r="P552" t="s">
        <v>877</v>
      </c>
      <c r="Q552" s="7">
        <v>75000</v>
      </c>
    </row>
    <row r="553" spans="1:17">
      <c r="A553" t="s">
        <v>1448</v>
      </c>
      <c r="B553" s="6">
        <v>45739</v>
      </c>
      <c r="C553" t="s">
        <v>168</v>
      </c>
      <c r="D553" t="s">
        <v>843</v>
      </c>
      <c r="E553">
        <v>2</v>
      </c>
      <c r="F553" s="7">
        <v>100000</v>
      </c>
      <c r="G553" s="7">
        <v>200000</v>
      </c>
      <c r="H553" t="s">
        <v>872</v>
      </c>
      <c r="I553" s="7">
        <v>0</v>
      </c>
      <c r="J553" s="7">
        <v>10000</v>
      </c>
      <c r="K553" s="7">
        <v>210000</v>
      </c>
      <c r="L553" t="s">
        <v>889</v>
      </c>
      <c r="M553" t="s">
        <v>881</v>
      </c>
      <c r="N553" t="s">
        <v>890</v>
      </c>
      <c r="O553" t="s">
        <v>876</v>
      </c>
      <c r="P553" t="s">
        <v>892</v>
      </c>
      <c r="Q553" s="7">
        <v>200000</v>
      </c>
    </row>
    <row r="554" spans="1:17">
      <c r="A554" t="s">
        <v>1449</v>
      </c>
      <c r="B554" s="6">
        <v>45725</v>
      </c>
      <c r="C554" t="s">
        <v>44</v>
      </c>
      <c r="D554" t="s">
        <v>785</v>
      </c>
      <c r="E554">
        <v>2</v>
      </c>
      <c r="F554" s="7">
        <v>100000</v>
      </c>
      <c r="G554" s="7">
        <v>200000</v>
      </c>
      <c r="H554" t="s">
        <v>895</v>
      </c>
      <c r="I554" s="7">
        <v>30000</v>
      </c>
      <c r="J554" s="7">
        <v>25000</v>
      </c>
      <c r="K554" s="7">
        <v>195000</v>
      </c>
      <c r="L554" t="s">
        <v>880</v>
      </c>
      <c r="M554" t="s">
        <v>901</v>
      </c>
      <c r="N554" t="s">
        <v>911</v>
      </c>
      <c r="O554" t="s">
        <v>876</v>
      </c>
      <c r="P554" t="s">
        <v>892</v>
      </c>
      <c r="Q554" s="7">
        <v>170000</v>
      </c>
    </row>
    <row r="555" spans="1:17">
      <c r="A555" t="s">
        <v>1450</v>
      </c>
      <c r="B555" s="6">
        <v>45664</v>
      </c>
      <c r="C555" t="s">
        <v>77</v>
      </c>
      <c r="D555" t="s">
        <v>773</v>
      </c>
      <c r="E555">
        <v>1</v>
      </c>
      <c r="F555" s="7">
        <v>500000</v>
      </c>
      <c r="G555" s="7">
        <v>500000</v>
      </c>
      <c r="H555" t="s">
        <v>883</v>
      </c>
      <c r="I555" s="7">
        <v>50000</v>
      </c>
      <c r="J555" s="7">
        <v>15000</v>
      </c>
      <c r="K555" s="7">
        <v>465000</v>
      </c>
      <c r="L555" t="s">
        <v>884</v>
      </c>
      <c r="M555" t="s">
        <v>874</v>
      </c>
      <c r="N555" t="s">
        <v>875</v>
      </c>
      <c r="O555" t="s">
        <v>908</v>
      </c>
      <c r="P555" t="s">
        <v>877</v>
      </c>
      <c r="Q555" s="7">
        <v>450000</v>
      </c>
    </row>
    <row r="556" spans="1:17">
      <c r="A556" t="s">
        <v>1451</v>
      </c>
      <c r="B556" s="6">
        <v>45737</v>
      </c>
      <c r="C556" t="s">
        <v>184</v>
      </c>
      <c r="D556" t="s">
        <v>819</v>
      </c>
      <c r="E556">
        <v>1</v>
      </c>
      <c r="F556" s="7">
        <v>300000</v>
      </c>
      <c r="G556" s="7">
        <v>300000</v>
      </c>
      <c r="H556" t="s">
        <v>895</v>
      </c>
      <c r="I556" s="7">
        <v>45000</v>
      </c>
      <c r="J556" s="7">
        <v>25000</v>
      </c>
      <c r="K556" s="7">
        <v>280000</v>
      </c>
      <c r="L556" t="s">
        <v>880</v>
      </c>
      <c r="M556" t="s">
        <v>881</v>
      </c>
      <c r="N556" t="s">
        <v>875</v>
      </c>
      <c r="O556" t="s">
        <v>876</v>
      </c>
      <c r="P556" t="s">
        <v>877</v>
      </c>
      <c r="Q556" s="7">
        <v>255000</v>
      </c>
    </row>
    <row r="557" spans="1:17">
      <c r="A557" t="s">
        <v>1452</v>
      </c>
      <c r="B557" s="6">
        <v>45810</v>
      </c>
      <c r="C557" t="s">
        <v>21</v>
      </c>
      <c r="D557" t="s">
        <v>783</v>
      </c>
      <c r="E557">
        <v>1</v>
      </c>
      <c r="F557" s="7">
        <v>500000</v>
      </c>
      <c r="G557" s="7">
        <v>500000</v>
      </c>
      <c r="H557" t="s">
        <v>872</v>
      </c>
      <c r="I557" s="7">
        <v>0</v>
      </c>
      <c r="J557" s="7">
        <v>20000</v>
      </c>
      <c r="K557" s="7">
        <v>520000</v>
      </c>
      <c r="L557" t="s">
        <v>873</v>
      </c>
      <c r="M557" t="s">
        <v>901</v>
      </c>
      <c r="N557" t="s">
        <v>911</v>
      </c>
      <c r="O557" t="s">
        <v>915</v>
      </c>
      <c r="P557" t="s">
        <v>892</v>
      </c>
      <c r="Q557" s="7">
        <v>500000</v>
      </c>
    </row>
    <row r="558" spans="1:17">
      <c r="A558" t="s">
        <v>1453</v>
      </c>
      <c r="B558" s="6">
        <v>45683</v>
      </c>
      <c r="C558" t="s">
        <v>248</v>
      </c>
      <c r="D558" t="s">
        <v>803</v>
      </c>
      <c r="E558">
        <v>2</v>
      </c>
      <c r="F558" s="7">
        <v>50000</v>
      </c>
      <c r="G558" s="7">
        <v>100000</v>
      </c>
      <c r="H558" t="s">
        <v>872</v>
      </c>
      <c r="I558" s="7">
        <v>0</v>
      </c>
      <c r="J558" s="7">
        <v>30000</v>
      </c>
      <c r="K558" s="7">
        <v>130000</v>
      </c>
      <c r="L558" t="s">
        <v>880</v>
      </c>
      <c r="M558" t="s">
        <v>903</v>
      </c>
      <c r="N558" t="s">
        <v>905</v>
      </c>
      <c r="O558" t="s">
        <v>908</v>
      </c>
      <c r="P558" t="s">
        <v>892</v>
      </c>
      <c r="Q558" s="7">
        <v>100000</v>
      </c>
    </row>
    <row r="559" spans="1:17">
      <c r="A559" t="s">
        <v>1454</v>
      </c>
      <c r="B559" s="6">
        <v>45711</v>
      </c>
      <c r="C559" t="s">
        <v>386</v>
      </c>
      <c r="D559" t="s">
        <v>813</v>
      </c>
      <c r="E559">
        <v>3</v>
      </c>
      <c r="F559" s="7">
        <v>35000</v>
      </c>
      <c r="G559" s="7">
        <v>105000</v>
      </c>
      <c r="H559" t="s">
        <v>872</v>
      </c>
      <c r="I559" s="7">
        <v>0</v>
      </c>
      <c r="J559" s="7">
        <v>20000</v>
      </c>
      <c r="K559" s="7">
        <v>125000</v>
      </c>
      <c r="L559" t="s">
        <v>880</v>
      </c>
      <c r="M559" t="s">
        <v>874</v>
      </c>
      <c r="N559" t="s">
        <v>911</v>
      </c>
      <c r="O559" t="s">
        <v>887</v>
      </c>
      <c r="P559" t="s">
        <v>892</v>
      </c>
      <c r="Q559" s="7">
        <v>105000</v>
      </c>
    </row>
    <row r="560" spans="1:17">
      <c r="A560" t="s">
        <v>1455</v>
      </c>
      <c r="B560" s="6">
        <v>45728</v>
      </c>
      <c r="C560" t="s">
        <v>236</v>
      </c>
      <c r="D560" t="s">
        <v>725</v>
      </c>
      <c r="E560">
        <v>2</v>
      </c>
      <c r="F560" s="7">
        <v>300000</v>
      </c>
      <c r="G560" s="7">
        <v>600000</v>
      </c>
      <c r="H560" t="s">
        <v>886</v>
      </c>
      <c r="I560" s="7">
        <v>60000</v>
      </c>
      <c r="J560" s="7">
        <v>20000</v>
      </c>
      <c r="K560" s="7">
        <v>560000</v>
      </c>
      <c r="L560" t="s">
        <v>873</v>
      </c>
      <c r="M560" t="s">
        <v>874</v>
      </c>
      <c r="N560" t="s">
        <v>890</v>
      </c>
      <c r="O560" t="s">
        <v>876</v>
      </c>
      <c r="P560" t="s">
        <v>892</v>
      </c>
      <c r="Q560" s="7">
        <v>540000</v>
      </c>
    </row>
    <row r="561" spans="1:17">
      <c r="A561" t="s">
        <v>1456</v>
      </c>
      <c r="B561" s="6">
        <v>45761</v>
      </c>
      <c r="C561" t="s">
        <v>25</v>
      </c>
      <c r="D561" t="s">
        <v>789</v>
      </c>
      <c r="E561">
        <v>1</v>
      </c>
      <c r="F561" s="7">
        <v>200000</v>
      </c>
      <c r="G561" s="7">
        <v>200000</v>
      </c>
      <c r="H561" t="s">
        <v>872</v>
      </c>
      <c r="I561" s="7">
        <v>0</v>
      </c>
      <c r="J561" s="7">
        <v>20000</v>
      </c>
      <c r="K561" s="7">
        <v>220000</v>
      </c>
      <c r="L561" t="s">
        <v>880</v>
      </c>
      <c r="M561" t="s">
        <v>874</v>
      </c>
      <c r="N561" t="s">
        <v>875</v>
      </c>
      <c r="O561" t="s">
        <v>891</v>
      </c>
      <c r="P561" t="s">
        <v>877</v>
      </c>
      <c r="Q561" s="7">
        <v>200000</v>
      </c>
    </row>
    <row r="562" spans="1:17">
      <c r="A562" t="s">
        <v>1457</v>
      </c>
      <c r="B562" s="6">
        <v>45732</v>
      </c>
      <c r="C562" t="s">
        <v>614</v>
      </c>
      <c r="D562" t="s">
        <v>841</v>
      </c>
      <c r="E562">
        <v>1</v>
      </c>
      <c r="F562" s="7">
        <v>75000</v>
      </c>
      <c r="G562" s="7">
        <v>75000</v>
      </c>
      <c r="H562" t="s">
        <v>872</v>
      </c>
      <c r="I562" s="7">
        <v>0</v>
      </c>
      <c r="J562" s="7">
        <v>10000</v>
      </c>
      <c r="K562" s="7">
        <v>85000</v>
      </c>
      <c r="L562" t="s">
        <v>873</v>
      </c>
      <c r="M562" t="s">
        <v>901</v>
      </c>
      <c r="N562" t="s">
        <v>875</v>
      </c>
      <c r="O562" t="s">
        <v>876</v>
      </c>
      <c r="P562" t="s">
        <v>877</v>
      </c>
      <c r="Q562" s="7">
        <v>75000</v>
      </c>
    </row>
    <row r="563" spans="1:17">
      <c r="A563" t="s">
        <v>1458</v>
      </c>
      <c r="B563" s="6">
        <v>45833</v>
      </c>
      <c r="C563" t="s">
        <v>113</v>
      </c>
      <c r="D563" t="s">
        <v>799</v>
      </c>
      <c r="E563">
        <v>1</v>
      </c>
      <c r="F563" s="7">
        <v>35000</v>
      </c>
      <c r="G563" s="7">
        <v>35000</v>
      </c>
      <c r="H563" t="s">
        <v>886</v>
      </c>
      <c r="I563" s="7">
        <v>3500</v>
      </c>
      <c r="J563" s="7">
        <v>30000</v>
      </c>
      <c r="K563" s="7">
        <v>61500</v>
      </c>
      <c r="L563" t="s">
        <v>889</v>
      </c>
      <c r="N563" t="s">
        <v>890</v>
      </c>
      <c r="O563" t="s">
        <v>915</v>
      </c>
      <c r="P563" t="s">
        <v>892</v>
      </c>
      <c r="Q563" s="7">
        <v>31500</v>
      </c>
    </row>
    <row r="564" spans="1:17">
      <c r="A564" t="s">
        <v>1459</v>
      </c>
      <c r="B564" s="6">
        <v>45718</v>
      </c>
      <c r="C564" t="s">
        <v>208</v>
      </c>
      <c r="D564" t="s">
        <v>769</v>
      </c>
      <c r="E564">
        <v>2</v>
      </c>
      <c r="F564" s="7">
        <v>100000</v>
      </c>
      <c r="G564" s="7">
        <v>200000</v>
      </c>
      <c r="H564" t="s">
        <v>872</v>
      </c>
      <c r="I564" s="7">
        <v>0</v>
      </c>
      <c r="J564" s="7">
        <v>15000</v>
      </c>
      <c r="K564" s="7">
        <v>215000</v>
      </c>
      <c r="L564" t="s">
        <v>889</v>
      </c>
      <c r="M564" t="s">
        <v>903</v>
      </c>
      <c r="N564" t="s">
        <v>890</v>
      </c>
      <c r="O564" t="s">
        <v>876</v>
      </c>
      <c r="P564" t="s">
        <v>892</v>
      </c>
      <c r="Q564" s="7">
        <v>200000</v>
      </c>
    </row>
    <row r="565" spans="1:17">
      <c r="A565" t="s">
        <v>1460</v>
      </c>
      <c r="B565" s="6">
        <v>45736</v>
      </c>
      <c r="C565" t="s">
        <v>176</v>
      </c>
      <c r="D565" t="s">
        <v>745</v>
      </c>
      <c r="E565">
        <v>1</v>
      </c>
      <c r="F565" s="7">
        <v>500000</v>
      </c>
      <c r="G565" s="7">
        <v>500000</v>
      </c>
      <c r="H565" t="s">
        <v>895</v>
      </c>
      <c r="I565" s="7">
        <v>75000</v>
      </c>
      <c r="J565" s="7">
        <v>30000</v>
      </c>
      <c r="K565" s="7">
        <v>455000</v>
      </c>
      <c r="L565" t="s">
        <v>873</v>
      </c>
      <c r="M565" t="s">
        <v>874</v>
      </c>
      <c r="N565" t="s">
        <v>875</v>
      </c>
      <c r="O565" t="s">
        <v>876</v>
      </c>
      <c r="P565" t="s">
        <v>877</v>
      </c>
      <c r="Q565" s="7">
        <v>425000</v>
      </c>
    </row>
    <row r="566" spans="1:17">
      <c r="A566" t="s">
        <v>1461</v>
      </c>
      <c r="B566" s="6">
        <v>45762</v>
      </c>
      <c r="C566" t="s">
        <v>396</v>
      </c>
      <c r="D566" t="s">
        <v>799</v>
      </c>
      <c r="E566">
        <v>3</v>
      </c>
      <c r="F566" s="7">
        <v>35000</v>
      </c>
      <c r="G566" s="7">
        <v>105000</v>
      </c>
      <c r="H566" t="s">
        <v>872</v>
      </c>
      <c r="I566" s="7">
        <v>0</v>
      </c>
      <c r="J566" s="7">
        <v>25000</v>
      </c>
      <c r="K566" s="7">
        <v>130000</v>
      </c>
      <c r="L566" t="s">
        <v>889</v>
      </c>
      <c r="M566" t="s">
        <v>903</v>
      </c>
      <c r="N566" t="s">
        <v>911</v>
      </c>
      <c r="O566" t="s">
        <v>891</v>
      </c>
      <c r="P566" t="s">
        <v>892</v>
      </c>
      <c r="Q566" s="7">
        <v>105000</v>
      </c>
    </row>
    <row r="567" spans="1:17">
      <c r="A567" t="s">
        <v>1462</v>
      </c>
      <c r="B567" s="6">
        <v>45735</v>
      </c>
      <c r="C567" t="s">
        <v>716</v>
      </c>
      <c r="D567" t="s">
        <v>803</v>
      </c>
      <c r="E567">
        <v>1</v>
      </c>
      <c r="F567" s="7">
        <v>50000</v>
      </c>
      <c r="G567" s="7">
        <v>50000</v>
      </c>
      <c r="H567" t="s">
        <v>872</v>
      </c>
      <c r="I567" s="7">
        <v>0</v>
      </c>
      <c r="J567" s="7">
        <v>10000</v>
      </c>
      <c r="K567" s="7">
        <v>60000</v>
      </c>
      <c r="L567" t="s">
        <v>880</v>
      </c>
      <c r="M567" t="s">
        <v>881</v>
      </c>
      <c r="N567" t="s">
        <v>875</v>
      </c>
      <c r="O567" t="s">
        <v>876</v>
      </c>
      <c r="P567" t="s">
        <v>877</v>
      </c>
      <c r="Q567" s="7">
        <v>50000</v>
      </c>
    </row>
    <row r="568" spans="1:17">
      <c r="A568" t="s">
        <v>1463</v>
      </c>
      <c r="B568" s="6">
        <v>45695</v>
      </c>
      <c r="C568" t="s">
        <v>42</v>
      </c>
      <c r="D568" t="s">
        <v>751</v>
      </c>
      <c r="E568">
        <v>1</v>
      </c>
      <c r="F568" s="7">
        <v>150000</v>
      </c>
      <c r="G568" s="7">
        <v>150000</v>
      </c>
      <c r="H568" t="s">
        <v>883</v>
      </c>
      <c r="I568" s="7">
        <v>15000</v>
      </c>
      <c r="J568" s="7">
        <v>30000</v>
      </c>
      <c r="K568" s="7">
        <v>165000</v>
      </c>
      <c r="L568" t="s">
        <v>889</v>
      </c>
      <c r="M568" t="s">
        <v>903</v>
      </c>
      <c r="N568" t="s">
        <v>875</v>
      </c>
      <c r="O568" t="s">
        <v>887</v>
      </c>
      <c r="P568" t="s">
        <v>877</v>
      </c>
      <c r="Q568" s="7">
        <v>135000</v>
      </c>
    </row>
    <row r="569" spans="1:17">
      <c r="A569" t="s">
        <v>1464</v>
      </c>
      <c r="B569" s="6">
        <v>45741</v>
      </c>
      <c r="C569" t="s">
        <v>188</v>
      </c>
      <c r="D569" t="s">
        <v>841</v>
      </c>
      <c r="E569">
        <v>3</v>
      </c>
      <c r="F569" s="7">
        <v>75000</v>
      </c>
      <c r="G569" s="7">
        <v>225000</v>
      </c>
      <c r="H569" t="s">
        <v>895</v>
      </c>
      <c r="I569" s="7">
        <v>33750</v>
      </c>
      <c r="J569" s="7">
        <v>20000</v>
      </c>
      <c r="K569" s="7">
        <v>211250</v>
      </c>
      <c r="L569" t="s">
        <v>880</v>
      </c>
      <c r="M569" t="s">
        <v>903</v>
      </c>
      <c r="N569" t="s">
        <v>875</v>
      </c>
      <c r="O569" t="s">
        <v>876</v>
      </c>
      <c r="P569" t="s">
        <v>877</v>
      </c>
      <c r="Q569" s="7">
        <v>191250</v>
      </c>
    </row>
    <row r="570" spans="1:17">
      <c r="A570" t="s">
        <v>1465</v>
      </c>
      <c r="B570" s="6">
        <v>45674</v>
      </c>
      <c r="C570" t="s">
        <v>690</v>
      </c>
      <c r="D570" t="s">
        <v>851</v>
      </c>
      <c r="E570">
        <v>4</v>
      </c>
      <c r="F570" s="7">
        <v>35000</v>
      </c>
      <c r="G570" s="7">
        <v>140000</v>
      </c>
      <c r="H570" t="s">
        <v>895</v>
      </c>
      <c r="I570" s="7">
        <v>21000</v>
      </c>
      <c r="J570" s="7">
        <v>10000</v>
      </c>
      <c r="K570" s="7">
        <v>129000</v>
      </c>
      <c r="L570" t="s">
        <v>884</v>
      </c>
      <c r="M570" t="s">
        <v>903</v>
      </c>
      <c r="N570" t="s">
        <v>890</v>
      </c>
      <c r="O570" t="s">
        <v>908</v>
      </c>
      <c r="P570" t="s">
        <v>892</v>
      </c>
      <c r="Q570" s="7">
        <v>119000</v>
      </c>
    </row>
    <row r="571" spans="1:17">
      <c r="A571" t="s">
        <v>1466</v>
      </c>
      <c r="B571" s="6">
        <v>45726</v>
      </c>
      <c r="C571" t="s">
        <v>156</v>
      </c>
      <c r="D571" t="s">
        <v>775</v>
      </c>
      <c r="E571">
        <v>1</v>
      </c>
      <c r="F571" s="7">
        <v>75000</v>
      </c>
      <c r="G571" s="7">
        <v>75000</v>
      </c>
      <c r="H571" t="s">
        <v>883</v>
      </c>
      <c r="I571" s="7">
        <v>7500</v>
      </c>
      <c r="J571" s="7">
        <v>15000</v>
      </c>
      <c r="K571" s="7">
        <v>82500</v>
      </c>
      <c r="L571" t="s">
        <v>889</v>
      </c>
      <c r="M571" t="s">
        <v>901</v>
      </c>
      <c r="N571" t="s">
        <v>875</v>
      </c>
      <c r="O571" t="s">
        <v>876</v>
      </c>
      <c r="P571" t="s">
        <v>877</v>
      </c>
      <c r="Q571" s="7">
        <v>67500</v>
      </c>
    </row>
    <row r="572" spans="1:17">
      <c r="A572" t="s">
        <v>1467</v>
      </c>
      <c r="B572" s="6">
        <v>45666</v>
      </c>
      <c r="C572" t="s">
        <v>218</v>
      </c>
      <c r="D572" t="s">
        <v>779</v>
      </c>
      <c r="E572">
        <v>3</v>
      </c>
      <c r="F572" s="7">
        <v>150000</v>
      </c>
      <c r="G572" s="7">
        <v>450000</v>
      </c>
      <c r="H572" t="s">
        <v>895</v>
      </c>
      <c r="I572" s="7">
        <v>67500</v>
      </c>
      <c r="J572" s="7">
        <v>10000</v>
      </c>
      <c r="K572" s="7">
        <v>392500</v>
      </c>
      <c r="L572" t="s">
        <v>889</v>
      </c>
      <c r="M572" t="s">
        <v>903</v>
      </c>
      <c r="N572" t="s">
        <v>890</v>
      </c>
      <c r="O572" t="s">
        <v>908</v>
      </c>
      <c r="P572" t="s">
        <v>892</v>
      </c>
      <c r="Q572" s="7">
        <v>382500</v>
      </c>
    </row>
    <row r="573" spans="1:17">
      <c r="A573" t="s">
        <v>1468</v>
      </c>
      <c r="B573" s="6">
        <v>45675</v>
      </c>
      <c r="C573" t="s">
        <v>672</v>
      </c>
      <c r="D573" t="s">
        <v>725</v>
      </c>
      <c r="E573">
        <v>4</v>
      </c>
      <c r="F573" s="7">
        <v>300000</v>
      </c>
      <c r="G573" s="7">
        <v>1200000</v>
      </c>
      <c r="H573" t="s">
        <v>872</v>
      </c>
      <c r="I573" s="7">
        <v>0</v>
      </c>
      <c r="J573" s="7">
        <v>20000</v>
      </c>
      <c r="K573" s="7">
        <v>1220000</v>
      </c>
      <c r="L573" t="s">
        <v>889</v>
      </c>
      <c r="M573" t="s">
        <v>874</v>
      </c>
      <c r="N573" t="s">
        <v>875</v>
      </c>
      <c r="O573" t="s">
        <v>908</v>
      </c>
      <c r="P573" t="s">
        <v>877</v>
      </c>
      <c r="Q573" s="7">
        <v>1200000</v>
      </c>
    </row>
    <row r="574" spans="1:17">
      <c r="A574" t="s">
        <v>1469</v>
      </c>
      <c r="B574" s="6">
        <v>45828</v>
      </c>
      <c r="C574" t="s">
        <v>135</v>
      </c>
      <c r="D574" t="s">
        <v>799</v>
      </c>
      <c r="E574">
        <v>1</v>
      </c>
      <c r="F574" s="7">
        <v>35000</v>
      </c>
      <c r="G574" s="7">
        <v>35000</v>
      </c>
      <c r="H574" t="s">
        <v>879</v>
      </c>
      <c r="I574" s="7">
        <v>7000</v>
      </c>
      <c r="J574" s="7">
        <v>15000</v>
      </c>
      <c r="K574" s="7">
        <v>43000</v>
      </c>
      <c r="L574" t="s">
        <v>889</v>
      </c>
      <c r="M574" t="s">
        <v>874</v>
      </c>
      <c r="N574" t="s">
        <v>890</v>
      </c>
      <c r="O574" t="s">
        <v>915</v>
      </c>
      <c r="P574" t="s">
        <v>892</v>
      </c>
      <c r="Q574" s="7">
        <v>28000</v>
      </c>
    </row>
    <row r="575" spans="1:17">
      <c r="A575" t="s">
        <v>1470</v>
      </c>
      <c r="B575" s="6">
        <v>45744</v>
      </c>
      <c r="C575" t="s">
        <v>129</v>
      </c>
      <c r="D575" t="s">
        <v>833</v>
      </c>
      <c r="E575">
        <v>2</v>
      </c>
      <c r="F575" s="7">
        <v>200000</v>
      </c>
      <c r="G575" s="7">
        <v>400000</v>
      </c>
      <c r="H575" t="s">
        <v>872</v>
      </c>
      <c r="I575" s="7">
        <v>0</v>
      </c>
      <c r="J575" s="7">
        <v>30000</v>
      </c>
      <c r="K575" s="7">
        <v>430000</v>
      </c>
      <c r="L575" t="s">
        <v>884</v>
      </c>
      <c r="M575" t="s">
        <v>901</v>
      </c>
      <c r="N575" t="s">
        <v>875</v>
      </c>
      <c r="O575" t="s">
        <v>876</v>
      </c>
      <c r="P575" t="s">
        <v>877</v>
      </c>
      <c r="Q575" s="7">
        <v>400000</v>
      </c>
    </row>
    <row r="576" spans="1:17">
      <c r="A576" t="s">
        <v>1471</v>
      </c>
      <c r="B576" s="6">
        <v>45827</v>
      </c>
      <c r="C576" t="s">
        <v>176</v>
      </c>
      <c r="D576" t="s">
        <v>771</v>
      </c>
      <c r="E576">
        <v>4</v>
      </c>
      <c r="F576" s="7">
        <v>500000</v>
      </c>
      <c r="G576" s="7">
        <v>2000000</v>
      </c>
      <c r="H576" t="s">
        <v>886</v>
      </c>
      <c r="I576" s="7">
        <v>200000</v>
      </c>
      <c r="J576" s="7">
        <v>20000</v>
      </c>
      <c r="K576" s="7">
        <v>1820000</v>
      </c>
      <c r="L576" t="s">
        <v>889</v>
      </c>
      <c r="M576" t="s">
        <v>903</v>
      </c>
      <c r="N576" t="s">
        <v>875</v>
      </c>
      <c r="O576" t="s">
        <v>915</v>
      </c>
      <c r="P576" t="s">
        <v>877</v>
      </c>
      <c r="Q576" s="7">
        <v>1800000</v>
      </c>
    </row>
    <row r="577" spans="1:17">
      <c r="A577" t="s">
        <v>1472</v>
      </c>
      <c r="B577" s="6">
        <v>45728</v>
      </c>
      <c r="C577" t="s">
        <v>514</v>
      </c>
      <c r="D577" t="s">
        <v>771</v>
      </c>
      <c r="E577">
        <v>1</v>
      </c>
      <c r="F577" s="7">
        <v>500000</v>
      </c>
      <c r="G577" s="7">
        <v>500000</v>
      </c>
      <c r="H577" t="s">
        <v>886</v>
      </c>
      <c r="I577" s="7">
        <v>50000</v>
      </c>
      <c r="J577" s="7">
        <v>10000</v>
      </c>
      <c r="K577" s="7">
        <v>460000</v>
      </c>
      <c r="L577" t="s">
        <v>884</v>
      </c>
      <c r="M577" t="s">
        <v>903</v>
      </c>
      <c r="N577" t="s">
        <v>875</v>
      </c>
      <c r="O577" t="s">
        <v>876</v>
      </c>
      <c r="P577" t="s">
        <v>877</v>
      </c>
      <c r="Q577" s="7">
        <v>450000</v>
      </c>
    </row>
    <row r="578" spans="1:17">
      <c r="A578" t="s">
        <v>1473</v>
      </c>
      <c r="B578" s="6">
        <v>45709</v>
      </c>
      <c r="C578" t="s">
        <v>588</v>
      </c>
      <c r="D578" t="s">
        <v>777</v>
      </c>
      <c r="E578">
        <v>1</v>
      </c>
      <c r="F578" s="7">
        <v>200000</v>
      </c>
      <c r="G578" s="7">
        <v>200000</v>
      </c>
      <c r="H578" t="s">
        <v>879</v>
      </c>
      <c r="I578" s="7">
        <v>40000</v>
      </c>
      <c r="J578" s="7">
        <v>20000</v>
      </c>
      <c r="K578" s="7">
        <v>180000</v>
      </c>
      <c r="L578" t="s">
        <v>889</v>
      </c>
      <c r="N578" t="s">
        <v>875</v>
      </c>
      <c r="O578" t="s">
        <v>887</v>
      </c>
      <c r="P578" t="s">
        <v>877</v>
      </c>
      <c r="Q578" s="7">
        <v>160000</v>
      </c>
    </row>
    <row r="579" spans="1:17">
      <c r="A579" t="s">
        <v>1474</v>
      </c>
      <c r="B579" s="6">
        <v>45785</v>
      </c>
      <c r="C579" t="s">
        <v>57</v>
      </c>
      <c r="D579" t="s">
        <v>783</v>
      </c>
      <c r="E579">
        <v>1</v>
      </c>
      <c r="F579" s="7">
        <v>500000</v>
      </c>
      <c r="G579" s="7">
        <v>500000</v>
      </c>
      <c r="H579" t="s">
        <v>872</v>
      </c>
      <c r="I579" s="7">
        <v>0</v>
      </c>
      <c r="J579" s="7">
        <v>20000</v>
      </c>
      <c r="K579" s="7">
        <v>520000</v>
      </c>
      <c r="L579" t="s">
        <v>884</v>
      </c>
      <c r="M579" t="s">
        <v>901</v>
      </c>
      <c r="N579" t="s">
        <v>875</v>
      </c>
      <c r="O579" t="s">
        <v>896</v>
      </c>
      <c r="P579" t="s">
        <v>877</v>
      </c>
      <c r="Q579" s="7">
        <v>500000</v>
      </c>
    </row>
    <row r="580" spans="1:17">
      <c r="A580" t="s">
        <v>1475</v>
      </c>
      <c r="B580" s="6">
        <v>45720</v>
      </c>
      <c r="C580" t="s">
        <v>388</v>
      </c>
      <c r="D580" t="s">
        <v>845</v>
      </c>
      <c r="E580">
        <v>2</v>
      </c>
      <c r="F580" s="7">
        <v>300000</v>
      </c>
      <c r="G580" s="7">
        <v>600000</v>
      </c>
      <c r="H580" t="s">
        <v>879</v>
      </c>
      <c r="I580" s="7">
        <v>120000</v>
      </c>
      <c r="J580" s="7">
        <v>30000</v>
      </c>
      <c r="K580" s="7">
        <v>510000</v>
      </c>
      <c r="L580" t="s">
        <v>884</v>
      </c>
      <c r="M580" t="s">
        <v>903</v>
      </c>
      <c r="N580" t="s">
        <v>875</v>
      </c>
      <c r="O580" t="s">
        <v>876</v>
      </c>
      <c r="P580" t="s">
        <v>877</v>
      </c>
      <c r="Q580" s="7">
        <v>480000</v>
      </c>
    </row>
    <row r="581" spans="1:17">
      <c r="A581" t="s">
        <v>1476</v>
      </c>
      <c r="B581" s="6">
        <v>45826</v>
      </c>
      <c r="C581" t="s">
        <v>101</v>
      </c>
      <c r="D581" t="s">
        <v>803</v>
      </c>
      <c r="E581">
        <v>1</v>
      </c>
      <c r="F581" s="7">
        <v>50000</v>
      </c>
      <c r="G581" s="7">
        <v>50000</v>
      </c>
      <c r="H581" t="s">
        <v>879</v>
      </c>
      <c r="I581" s="7">
        <v>10000</v>
      </c>
      <c r="J581" s="7">
        <v>10000</v>
      </c>
      <c r="K581" s="7">
        <v>50000</v>
      </c>
      <c r="L581" t="s">
        <v>889</v>
      </c>
      <c r="M581" t="s">
        <v>881</v>
      </c>
      <c r="N581" t="s">
        <v>921</v>
      </c>
      <c r="O581" t="s">
        <v>915</v>
      </c>
      <c r="P581" t="s">
        <v>892</v>
      </c>
      <c r="Q581" s="7">
        <v>40000</v>
      </c>
    </row>
    <row r="582" spans="1:17">
      <c r="A582" t="s">
        <v>1477</v>
      </c>
      <c r="B582" s="6">
        <v>45767</v>
      </c>
      <c r="C582" t="s">
        <v>574</v>
      </c>
      <c r="D582" t="s">
        <v>733</v>
      </c>
      <c r="E582">
        <v>4</v>
      </c>
      <c r="F582" s="7">
        <v>150000</v>
      </c>
      <c r="G582" s="7">
        <v>600000</v>
      </c>
      <c r="H582" t="s">
        <v>895</v>
      </c>
      <c r="I582" s="7">
        <v>90000</v>
      </c>
      <c r="J582" s="7">
        <v>10000</v>
      </c>
      <c r="K582" s="7">
        <v>520000</v>
      </c>
      <c r="L582" t="s">
        <v>889</v>
      </c>
      <c r="M582" t="s">
        <v>881</v>
      </c>
      <c r="N582" t="s">
        <v>875</v>
      </c>
      <c r="O582" t="s">
        <v>891</v>
      </c>
      <c r="P582" t="s">
        <v>877</v>
      </c>
      <c r="Q582" s="7">
        <v>510000</v>
      </c>
    </row>
    <row r="583" spans="1:17">
      <c r="A583" t="s">
        <v>1478</v>
      </c>
      <c r="B583" s="6">
        <v>45709</v>
      </c>
      <c r="C583" t="s">
        <v>700</v>
      </c>
      <c r="D583" t="s">
        <v>793</v>
      </c>
      <c r="E583">
        <v>3</v>
      </c>
      <c r="F583" s="7">
        <v>500000</v>
      </c>
      <c r="G583" s="7">
        <v>1500000</v>
      </c>
      <c r="H583" t="s">
        <v>895</v>
      </c>
      <c r="I583" s="7">
        <v>225000</v>
      </c>
      <c r="J583" s="7">
        <v>25000</v>
      </c>
      <c r="K583" s="7">
        <v>1300000</v>
      </c>
      <c r="L583" t="s">
        <v>880</v>
      </c>
      <c r="M583" t="s">
        <v>881</v>
      </c>
      <c r="N583" t="s">
        <v>875</v>
      </c>
      <c r="O583" t="s">
        <v>887</v>
      </c>
      <c r="P583" t="s">
        <v>877</v>
      </c>
      <c r="Q583" s="7">
        <v>1275000</v>
      </c>
    </row>
    <row r="584" spans="1:17">
      <c r="A584" t="s">
        <v>1479</v>
      </c>
      <c r="B584" s="6">
        <v>45780</v>
      </c>
      <c r="C584" t="s">
        <v>140</v>
      </c>
      <c r="D584" t="s">
        <v>843</v>
      </c>
      <c r="E584">
        <v>1</v>
      </c>
      <c r="F584" s="7">
        <v>100000</v>
      </c>
      <c r="G584" s="7">
        <v>100000</v>
      </c>
      <c r="H584" t="s">
        <v>886</v>
      </c>
      <c r="I584" s="7">
        <v>10000</v>
      </c>
      <c r="J584" s="7">
        <v>10000</v>
      </c>
      <c r="K584" s="7">
        <v>100000</v>
      </c>
      <c r="L584" t="s">
        <v>873</v>
      </c>
      <c r="M584" t="s">
        <v>903</v>
      </c>
      <c r="N584" t="s">
        <v>875</v>
      </c>
      <c r="O584" t="s">
        <v>896</v>
      </c>
      <c r="P584" t="s">
        <v>877</v>
      </c>
      <c r="Q584" s="7">
        <v>90000</v>
      </c>
    </row>
    <row r="585" spans="1:17">
      <c r="A585" t="s">
        <v>1480</v>
      </c>
      <c r="B585" s="6">
        <v>45778</v>
      </c>
      <c r="C585" t="s">
        <v>392</v>
      </c>
      <c r="D585" t="s">
        <v>781</v>
      </c>
      <c r="E585">
        <v>4</v>
      </c>
      <c r="F585" s="7">
        <v>50000</v>
      </c>
      <c r="G585" s="7">
        <v>200000</v>
      </c>
      <c r="H585" t="s">
        <v>883</v>
      </c>
      <c r="I585" s="7">
        <v>20000</v>
      </c>
      <c r="J585" s="7">
        <v>30000</v>
      </c>
      <c r="K585" s="7">
        <v>210000</v>
      </c>
      <c r="L585" t="s">
        <v>884</v>
      </c>
      <c r="M585" t="s">
        <v>881</v>
      </c>
      <c r="N585" t="s">
        <v>875</v>
      </c>
      <c r="O585" t="s">
        <v>896</v>
      </c>
      <c r="P585" t="s">
        <v>877</v>
      </c>
      <c r="Q585" s="7">
        <v>180000</v>
      </c>
    </row>
    <row r="586" spans="1:17">
      <c r="A586" t="s">
        <v>1481</v>
      </c>
      <c r="B586" s="6">
        <v>45735</v>
      </c>
      <c r="C586" t="s">
        <v>47</v>
      </c>
      <c r="D586" t="s">
        <v>749</v>
      </c>
      <c r="E586">
        <v>1</v>
      </c>
      <c r="F586" s="7">
        <v>150000</v>
      </c>
      <c r="G586" s="7">
        <v>150000</v>
      </c>
      <c r="H586" t="s">
        <v>886</v>
      </c>
      <c r="I586" s="7">
        <v>15000</v>
      </c>
      <c r="J586" s="7">
        <v>10000</v>
      </c>
      <c r="K586" s="7">
        <v>145000</v>
      </c>
      <c r="L586" t="s">
        <v>889</v>
      </c>
      <c r="M586" t="s">
        <v>901</v>
      </c>
      <c r="N586" t="s">
        <v>890</v>
      </c>
      <c r="O586" t="s">
        <v>876</v>
      </c>
      <c r="P586" t="s">
        <v>892</v>
      </c>
      <c r="Q586" s="7">
        <v>135000</v>
      </c>
    </row>
    <row r="587" spans="1:17">
      <c r="A587" t="s">
        <v>1482</v>
      </c>
      <c r="B587" s="6">
        <v>45741</v>
      </c>
      <c r="C587" t="s">
        <v>276</v>
      </c>
      <c r="D587" t="s">
        <v>843</v>
      </c>
      <c r="E587">
        <v>4</v>
      </c>
      <c r="F587" s="7">
        <v>100000</v>
      </c>
      <c r="G587" s="7">
        <v>400000</v>
      </c>
      <c r="H587" t="s">
        <v>872</v>
      </c>
      <c r="I587" s="7">
        <v>0</v>
      </c>
      <c r="J587" s="7">
        <v>10000</v>
      </c>
      <c r="K587" s="7">
        <v>410000</v>
      </c>
      <c r="L587" t="s">
        <v>889</v>
      </c>
      <c r="M587" t="s">
        <v>903</v>
      </c>
      <c r="N587" t="s">
        <v>875</v>
      </c>
      <c r="O587" t="s">
        <v>876</v>
      </c>
      <c r="P587" t="s">
        <v>877</v>
      </c>
      <c r="Q587" s="7">
        <v>400000</v>
      </c>
    </row>
    <row r="588" spans="1:17">
      <c r="A588" t="s">
        <v>1483</v>
      </c>
      <c r="B588" s="6">
        <v>45680</v>
      </c>
      <c r="C588" t="s">
        <v>63</v>
      </c>
      <c r="D588" t="s">
        <v>787</v>
      </c>
      <c r="E588">
        <v>2</v>
      </c>
      <c r="F588" s="7">
        <v>200000</v>
      </c>
      <c r="G588" s="7">
        <v>400000</v>
      </c>
      <c r="H588" t="s">
        <v>895</v>
      </c>
      <c r="I588" s="7">
        <v>60000</v>
      </c>
      <c r="J588" s="7">
        <v>25000</v>
      </c>
      <c r="K588" s="7">
        <v>365000</v>
      </c>
      <c r="L588" t="s">
        <v>880</v>
      </c>
      <c r="M588" t="s">
        <v>903</v>
      </c>
      <c r="N588" t="s">
        <v>921</v>
      </c>
      <c r="O588" t="s">
        <v>908</v>
      </c>
      <c r="P588" t="s">
        <v>892</v>
      </c>
      <c r="Q588" s="7">
        <v>340000</v>
      </c>
    </row>
    <row r="589" spans="1:17">
      <c r="A589" t="s">
        <v>1484</v>
      </c>
      <c r="B589" s="6">
        <v>45766</v>
      </c>
      <c r="C589" t="s">
        <v>127</v>
      </c>
      <c r="D589" t="s">
        <v>789</v>
      </c>
      <c r="E589">
        <v>1</v>
      </c>
      <c r="F589" s="7">
        <v>200000</v>
      </c>
      <c r="G589" s="7">
        <v>200000</v>
      </c>
      <c r="H589" t="s">
        <v>872</v>
      </c>
      <c r="I589" s="7">
        <v>0</v>
      </c>
      <c r="J589" s="7">
        <v>30000</v>
      </c>
      <c r="K589" s="7">
        <v>230000</v>
      </c>
      <c r="L589" t="s">
        <v>884</v>
      </c>
      <c r="M589" t="s">
        <v>903</v>
      </c>
      <c r="N589" t="s">
        <v>890</v>
      </c>
      <c r="O589" t="s">
        <v>891</v>
      </c>
      <c r="P589" t="s">
        <v>892</v>
      </c>
      <c r="Q589" s="7">
        <v>200000</v>
      </c>
    </row>
    <row r="590" spans="1:17">
      <c r="A590" t="s">
        <v>1485</v>
      </c>
      <c r="B590" s="6">
        <v>45811</v>
      </c>
      <c r="C590" t="s">
        <v>87</v>
      </c>
      <c r="D590" t="s">
        <v>765</v>
      </c>
      <c r="E590">
        <v>1</v>
      </c>
      <c r="F590" s="7">
        <v>500000</v>
      </c>
      <c r="G590" s="7">
        <v>500000</v>
      </c>
      <c r="H590" t="s">
        <v>886</v>
      </c>
      <c r="I590" s="7">
        <v>50000</v>
      </c>
      <c r="J590" s="7">
        <v>20000</v>
      </c>
      <c r="K590" s="7">
        <v>470000</v>
      </c>
      <c r="L590" t="s">
        <v>889</v>
      </c>
      <c r="M590" t="s">
        <v>901</v>
      </c>
      <c r="N590" t="s">
        <v>875</v>
      </c>
      <c r="O590" t="s">
        <v>915</v>
      </c>
      <c r="P590" t="s">
        <v>877</v>
      </c>
      <c r="Q590" s="7">
        <v>450000</v>
      </c>
    </row>
    <row r="591" spans="1:17">
      <c r="A591" t="s">
        <v>1486</v>
      </c>
      <c r="B591" s="6">
        <v>45715</v>
      </c>
      <c r="C591" t="s">
        <v>81</v>
      </c>
      <c r="D591" t="s">
        <v>797</v>
      </c>
      <c r="E591">
        <v>1</v>
      </c>
      <c r="F591" s="7">
        <v>150000</v>
      </c>
      <c r="G591" s="7">
        <v>150000</v>
      </c>
      <c r="H591" t="s">
        <v>872</v>
      </c>
      <c r="I591" s="7">
        <v>0</v>
      </c>
      <c r="J591" s="7">
        <v>15000</v>
      </c>
      <c r="K591" s="7">
        <v>165000</v>
      </c>
      <c r="L591" t="s">
        <v>880</v>
      </c>
      <c r="M591" t="s">
        <v>901</v>
      </c>
      <c r="N591" t="s">
        <v>911</v>
      </c>
      <c r="O591" t="s">
        <v>887</v>
      </c>
      <c r="P591" t="s">
        <v>892</v>
      </c>
      <c r="Q591" s="7">
        <v>150000</v>
      </c>
    </row>
    <row r="592" spans="1:17">
      <c r="A592" t="s">
        <v>1487</v>
      </c>
      <c r="B592" s="6">
        <v>45728</v>
      </c>
      <c r="C592" t="s">
        <v>198</v>
      </c>
      <c r="D592" t="s">
        <v>803</v>
      </c>
      <c r="E592">
        <v>3</v>
      </c>
      <c r="F592" s="7">
        <v>50000</v>
      </c>
      <c r="G592" s="7">
        <v>150000</v>
      </c>
      <c r="H592" t="s">
        <v>872</v>
      </c>
      <c r="I592" s="7">
        <v>0</v>
      </c>
      <c r="J592" s="7">
        <v>20000</v>
      </c>
      <c r="K592" s="7">
        <v>170000</v>
      </c>
      <c r="L592" t="s">
        <v>884</v>
      </c>
      <c r="M592" t="s">
        <v>901</v>
      </c>
      <c r="N592" t="s">
        <v>905</v>
      </c>
      <c r="O592" t="s">
        <v>876</v>
      </c>
      <c r="P592" t="s">
        <v>892</v>
      </c>
      <c r="Q592" s="7">
        <v>150000</v>
      </c>
    </row>
    <row r="593" spans="1:17">
      <c r="A593" t="s">
        <v>1488</v>
      </c>
      <c r="B593" s="6">
        <v>45827</v>
      </c>
      <c r="C593" t="s">
        <v>632</v>
      </c>
      <c r="D593" t="s">
        <v>759</v>
      </c>
      <c r="E593">
        <v>1</v>
      </c>
      <c r="F593" s="7">
        <v>300000</v>
      </c>
      <c r="G593" s="7">
        <v>300000</v>
      </c>
      <c r="H593" t="s">
        <v>872</v>
      </c>
      <c r="I593" s="7">
        <v>0</v>
      </c>
      <c r="J593" s="7">
        <v>20000</v>
      </c>
      <c r="K593" s="7">
        <v>320000</v>
      </c>
      <c r="L593" t="s">
        <v>873</v>
      </c>
      <c r="M593" t="s">
        <v>874</v>
      </c>
      <c r="N593" t="s">
        <v>875</v>
      </c>
      <c r="O593" t="s">
        <v>915</v>
      </c>
      <c r="P593" t="s">
        <v>877</v>
      </c>
      <c r="Q593" s="7">
        <v>300000</v>
      </c>
    </row>
    <row r="594" spans="1:17">
      <c r="A594" t="s">
        <v>1489</v>
      </c>
      <c r="B594" s="6">
        <v>45787</v>
      </c>
      <c r="C594" t="s">
        <v>272</v>
      </c>
      <c r="D594" t="s">
        <v>807</v>
      </c>
      <c r="E594">
        <v>1</v>
      </c>
      <c r="F594" s="7">
        <v>150000</v>
      </c>
      <c r="G594" s="7">
        <v>150000</v>
      </c>
      <c r="H594" t="s">
        <v>872</v>
      </c>
      <c r="I594" s="7">
        <v>0</v>
      </c>
      <c r="J594" s="7">
        <v>15000</v>
      </c>
      <c r="K594" s="7">
        <v>165000</v>
      </c>
      <c r="L594" t="s">
        <v>884</v>
      </c>
      <c r="M594" t="s">
        <v>881</v>
      </c>
      <c r="N594" t="s">
        <v>911</v>
      </c>
      <c r="O594" t="s">
        <v>896</v>
      </c>
      <c r="P594" t="s">
        <v>892</v>
      </c>
      <c r="Q594" s="7">
        <v>150000</v>
      </c>
    </row>
    <row r="595" spans="1:17">
      <c r="A595" t="s">
        <v>1490</v>
      </c>
      <c r="B595" s="6">
        <v>45731</v>
      </c>
      <c r="C595" t="s">
        <v>67</v>
      </c>
      <c r="D595" t="s">
        <v>809</v>
      </c>
      <c r="E595">
        <v>1</v>
      </c>
      <c r="F595" s="7">
        <v>100000</v>
      </c>
      <c r="G595" s="7">
        <v>100000</v>
      </c>
      <c r="H595" t="s">
        <v>872</v>
      </c>
      <c r="I595" s="7">
        <v>0</v>
      </c>
      <c r="J595" s="7">
        <v>10000</v>
      </c>
      <c r="K595" s="7">
        <v>110000</v>
      </c>
      <c r="L595" t="s">
        <v>889</v>
      </c>
      <c r="M595" t="s">
        <v>874</v>
      </c>
      <c r="N595" t="s">
        <v>875</v>
      </c>
      <c r="O595" t="s">
        <v>876</v>
      </c>
      <c r="P595" t="s">
        <v>877</v>
      </c>
      <c r="Q595" s="7">
        <v>100000</v>
      </c>
    </row>
    <row r="596" spans="1:17">
      <c r="A596" t="s">
        <v>1491</v>
      </c>
      <c r="B596" s="6">
        <v>45802</v>
      </c>
      <c r="C596" t="s">
        <v>450</v>
      </c>
      <c r="D596" t="s">
        <v>809</v>
      </c>
      <c r="E596">
        <v>1</v>
      </c>
      <c r="F596" s="7">
        <v>100000</v>
      </c>
      <c r="G596" s="7">
        <v>100000</v>
      </c>
      <c r="H596" t="s">
        <v>883</v>
      </c>
      <c r="I596" s="7">
        <v>10000</v>
      </c>
      <c r="J596" s="7">
        <v>25000</v>
      </c>
      <c r="K596" s="7">
        <v>115000</v>
      </c>
      <c r="L596" t="s">
        <v>884</v>
      </c>
      <c r="M596" t="s">
        <v>903</v>
      </c>
      <c r="N596" t="s">
        <v>875</v>
      </c>
      <c r="O596" t="s">
        <v>896</v>
      </c>
      <c r="P596" t="s">
        <v>877</v>
      </c>
      <c r="Q596" s="7">
        <v>90000</v>
      </c>
    </row>
    <row r="597" spans="1:17">
      <c r="A597" t="s">
        <v>1492</v>
      </c>
      <c r="B597" s="6">
        <v>45738</v>
      </c>
      <c r="C597" t="s">
        <v>564</v>
      </c>
      <c r="D597" t="s">
        <v>841</v>
      </c>
      <c r="E597">
        <v>1</v>
      </c>
      <c r="F597" s="7">
        <v>75000</v>
      </c>
      <c r="G597" s="7">
        <v>75000</v>
      </c>
      <c r="H597" t="s">
        <v>872</v>
      </c>
      <c r="I597" s="7">
        <v>0</v>
      </c>
      <c r="J597" s="7">
        <v>15000</v>
      </c>
      <c r="K597" s="7">
        <v>90000</v>
      </c>
      <c r="L597" t="s">
        <v>889</v>
      </c>
      <c r="M597" t="s">
        <v>881</v>
      </c>
      <c r="N597" t="s">
        <v>921</v>
      </c>
      <c r="O597" t="s">
        <v>876</v>
      </c>
      <c r="P597" t="s">
        <v>892</v>
      </c>
      <c r="Q597" s="7">
        <v>75000</v>
      </c>
    </row>
    <row r="598" spans="1:17">
      <c r="A598" t="s">
        <v>1493</v>
      </c>
      <c r="B598" s="6">
        <v>45814</v>
      </c>
      <c r="C598" t="s">
        <v>322</v>
      </c>
      <c r="D598" t="s">
        <v>755</v>
      </c>
      <c r="E598">
        <v>2</v>
      </c>
      <c r="F598" s="7">
        <v>50000</v>
      </c>
      <c r="G598" s="7">
        <v>100000</v>
      </c>
      <c r="H598" t="s">
        <v>879</v>
      </c>
      <c r="I598" s="7">
        <v>20000</v>
      </c>
      <c r="J598" s="7">
        <v>15000</v>
      </c>
      <c r="K598" s="7">
        <v>95000</v>
      </c>
      <c r="L598" t="s">
        <v>873</v>
      </c>
      <c r="M598" t="s">
        <v>874</v>
      </c>
      <c r="N598" t="s">
        <v>905</v>
      </c>
      <c r="O598" t="s">
        <v>915</v>
      </c>
      <c r="P598" t="s">
        <v>892</v>
      </c>
      <c r="Q598" s="7">
        <v>80000</v>
      </c>
    </row>
    <row r="599" spans="1:17">
      <c r="A599" t="s">
        <v>1494</v>
      </c>
      <c r="B599" s="6">
        <v>45674</v>
      </c>
      <c r="C599" t="s">
        <v>164</v>
      </c>
      <c r="D599" t="s">
        <v>763</v>
      </c>
      <c r="E599">
        <v>1</v>
      </c>
      <c r="F599" s="7">
        <v>75000</v>
      </c>
      <c r="G599" s="7">
        <v>75000</v>
      </c>
      <c r="H599" t="s">
        <v>895</v>
      </c>
      <c r="I599" s="7">
        <v>11250</v>
      </c>
      <c r="J599" s="7">
        <v>20000</v>
      </c>
      <c r="K599" s="7">
        <v>83750</v>
      </c>
      <c r="L599" t="s">
        <v>889</v>
      </c>
      <c r="M599" t="s">
        <v>881</v>
      </c>
      <c r="N599" t="s">
        <v>875</v>
      </c>
      <c r="O599" t="s">
        <v>908</v>
      </c>
      <c r="P599" t="s">
        <v>877</v>
      </c>
      <c r="Q599" s="7">
        <v>63750</v>
      </c>
    </row>
    <row r="600" spans="1:17">
      <c r="A600" t="s">
        <v>1495</v>
      </c>
      <c r="B600" s="6">
        <v>45765</v>
      </c>
      <c r="C600" t="s">
        <v>548</v>
      </c>
      <c r="D600" t="s">
        <v>761</v>
      </c>
      <c r="E600">
        <v>4</v>
      </c>
      <c r="F600" s="7">
        <v>75000</v>
      </c>
      <c r="G600" s="7">
        <v>300000</v>
      </c>
      <c r="H600" t="s">
        <v>895</v>
      </c>
      <c r="I600" s="7">
        <v>45000</v>
      </c>
      <c r="J600" s="7">
        <v>25000</v>
      </c>
      <c r="K600" s="7">
        <v>280000</v>
      </c>
      <c r="L600" t="s">
        <v>889</v>
      </c>
      <c r="M600" t="s">
        <v>881</v>
      </c>
      <c r="N600" t="s">
        <v>875</v>
      </c>
      <c r="O600" t="s">
        <v>891</v>
      </c>
      <c r="P600" t="s">
        <v>877</v>
      </c>
      <c r="Q600" s="7">
        <v>255000</v>
      </c>
    </row>
    <row r="601" spans="1:17">
      <c r="A601" t="s">
        <v>1496</v>
      </c>
      <c r="B601" s="6">
        <v>45683</v>
      </c>
      <c r="C601" t="s">
        <v>452</v>
      </c>
      <c r="D601" t="s">
        <v>787</v>
      </c>
      <c r="E601">
        <v>1</v>
      </c>
      <c r="F601" s="7">
        <v>200000</v>
      </c>
      <c r="G601" s="7">
        <v>200000</v>
      </c>
      <c r="H601" t="s">
        <v>886</v>
      </c>
      <c r="I601" s="7">
        <v>20000</v>
      </c>
      <c r="J601" s="7">
        <v>15000</v>
      </c>
      <c r="K601" s="7">
        <v>195000</v>
      </c>
      <c r="L601" t="s">
        <v>873</v>
      </c>
      <c r="M601" t="s">
        <v>874</v>
      </c>
      <c r="N601" t="s">
        <v>875</v>
      </c>
      <c r="O601" t="s">
        <v>908</v>
      </c>
      <c r="P601" t="s">
        <v>877</v>
      </c>
      <c r="Q601" s="7">
        <v>180000</v>
      </c>
    </row>
    <row r="602" spans="1:17">
      <c r="A602" t="s">
        <v>1497</v>
      </c>
      <c r="B602" s="6">
        <v>45699</v>
      </c>
      <c r="C602" t="s">
        <v>568</v>
      </c>
      <c r="D602" t="s">
        <v>769</v>
      </c>
      <c r="E602">
        <v>2</v>
      </c>
      <c r="F602" s="7">
        <v>100000</v>
      </c>
      <c r="G602" s="7">
        <v>200000</v>
      </c>
      <c r="H602" t="s">
        <v>895</v>
      </c>
      <c r="I602" s="7">
        <v>30000</v>
      </c>
      <c r="J602" s="7">
        <v>10000</v>
      </c>
      <c r="K602" s="7">
        <v>180000</v>
      </c>
      <c r="L602" t="s">
        <v>880</v>
      </c>
      <c r="M602" t="s">
        <v>881</v>
      </c>
      <c r="N602" t="s">
        <v>890</v>
      </c>
      <c r="O602" t="s">
        <v>887</v>
      </c>
      <c r="P602" t="s">
        <v>892</v>
      </c>
      <c r="Q602" s="7">
        <v>170000</v>
      </c>
    </row>
    <row r="603" spans="1:17">
      <c r="A603" t="s">
        <v>1498</v>
      </c>
      <c r="B603" s="6">
        <v>45712</v>
      </c>
      <c r="C603" t="s">
        <v>326</v>
      </c>
      <c r="D603" t="s">
        <v>805</v>
      </c>
      <c r="E603">
        <v>2</v>
      </c>
      <c r="F603" s="7">
        <v>200000</v>
      </c>
      <c r="G603" s="7">
        <v>400000</v>
      </c>
      <c r="H603" t="s">
        <v>895</v>
      </c>
      <c r="I603" s="7">
        <v>60000</v>
      </c>
      <c r="J603" s="7">
        <v>30000</v>
      </c>
      <c r="K603" s="7">
        <v>370000</v>
      </c>
      <c r="L603" t="s">
        <v>873</v>
      </c>
      <c r="M603" t="s">
        <v>903</v>
      </c>
      <c r="N603" t="s">
        <v>890</v>
      </c>
      <c r="O603" t="s">
        <v>887</v>
      </c>
      <c r="P603" t="s">
        <v>892</v>
      </c>
      <c r="Q603" s="7">
        <v>340000</v>
      </c>
    </row>
    <row r="604" spans="1:17">
      <c r="A604" t="s">
        <v>1499</v>
      </c>
      <c r="B604" s="6">
        <v>45711</v>
      </c>
      <c r="C604" t="s">
        <v>654</v>
      </c>
      <c r="D604" t="s">
        <v>725</v>
      </c>
      <c r="E604">
        <v>1</v>
      </c>
      <c r="F604" s="7">
        <v>300000</v>
      </c>
      <c r="G604" s="7">
        <v>300000</v>
      </c>
      <c r="H604" t="s">
        <v>886</v>
      </c>
      <c r="I604" s="7">
        <v>30000</v>
      </c>
      <c r="J604" s="7">
        <v>30000</v>
      </c>
      <c r="K604" s="7">
        <v>300000</v>
      </c>
      <c r="L604" t="s">
        <v>889</v>
      </c>
      <c r="M604" t="s">
        <v>874</v>
      </c>
      <c r="N604" t="s">
        <v>875</v>
      </c>
      <c r="O604" t="s">
        <v>887</v>
      </c>
      <c r="P604" t="s">
        <v>877</v>
      </c>
      <c r="Q604" s="7">
        <v>270000</v>
      </c>
    </row>
    <row r="605" spans="1:17">
      <c r="A605" t="s">
        <v>1500</v>
      </c>
      <c r="B605" s="6">
        <v>45749</v>
      </c>
      <c r="C605" t="s">
        <v>286</v>
      </c>
      <c r="D605" t="s">
        <v>767</v>
      </c>
      <c r="E605">
        <v>2</v>
      </c>
      <c r="F605" s="7">
        <v>150000</v>
      </c>
      <c r="G605" s="7">
        <v>300000</v>
      </c>
      <c r="H605" t="s">
        <v>872</v>
      </c>
      <c r="I605" s="7">
        <v>0</v>
      </c>
      <c r="J605" s="7">
        <v>10000</v>
      </c>
      <c r="K605" s="7">
        <v>310000</v>
      </c>
      <c r="L605" t="s">
        <v>873</v>
      </c>
      <c r="M605" t="s">
        <v>881</v>
      </c>
      <c r="N605" t="s">
        <v>875</v>
      </c>
      <c r="O605" t="s">
        <v>891</v>
      </c>
      <c r="P605" t="s">
        <v>877</v>
      </c>
      <c r="Q605" s="7">
        <v>300000</v>
      </c>
    </row>
    <row r="606" spans="1:17">
      <c r="A606" t="s">
        <v>1501</v>
      </c>
      <c r="B606" s="6">
        <v>45683</v>
      </c>
      <c r="C606" t="s">
        <v>260</v>
      </c>
      <c r="D606" t="s">
        <v>825</v>
      </c>
      <c r="E606">
        <v>2</v>
      </c>
      <c r="F606" s="7">
        <v>100000</v>
      </c>
      <c r="G606" s="7">
        <v>200000</v>
      </c>
      <c r="H606" t="s">
        <v>872</v>
      </c>
      <c r="I606" s="7">
        <v>0</v>
      </c>
      <c r="J606" s="7">
        <v>15000</v>
      </c>
      <c r="K606" s="7">
        <v>215000</v>
      </c>
      <c r="L606" t="s">
        <v>880</v>
      </c>
      <c r="M606" t="s">
        <v>901</v>
      </c>
      <c r="N606" t="s">
        <v>875</v>
      </c>
      <c r="O606" t="s">
        <v>908</v>
      </c>
      <c r="P606" t="s">
        <v>877</v>
      </c>
      <c r="Q606" s="7">
        <v>200000</v>
      </c>
    </row>
    <row r="607" spans="1:17">
      <c r="A607" t="s">
        <v>1502</v>
      </c>
      <c r="B607" s="6">
        <v>45799</v>
      </c>
      <c r="C607" t="s">
        <v>234</v>
      </c>
      <c r="D607" t="s">
        <v>795</v>
      </c>
      <c r="E607">
        <v>1</v>
      </c>
      <c r="F607" s="7">
        <v>100000</v>
      </c>
      <c r="G607" s="7">
        <v>100000</v>
      </c>
      <c r="H607" t="s">
        <v>886</v>
      </c>
      <c r="I607" s="7">
        <v>10000</v>
      </c>
      <c r="J607" s="7">
        <v>15000</v>
      </c>
      <c r="K607" s="7">
        <v>105000</v>
      </c>
      <c r="L607" t="s">
        <v>884</v>
      </c>
      <c r="M607" t="s">
        <v>901</v>
      </c>
      <c r="N607" t="s">
        <v>911</v>
      </c>
      <c r="O607" t="s">
        <v>896</v>
      </c>
      <c r="P607" t="s">
        <v>892</v>
      </c>
      <c r="Q607" s="7">
        <v>90000</v>
      </c>
    </row>
    <row r="608" spans="1:17">
      <c r="A608" t="s">
        <v>1503</v>
      </c>
      <c r="B608" s="6">
        <v>45683</v>
      </c>
      <c r="C608" t="s">
        <v>316</v>
      </c>
      <c r="D608" t="s">
        <v>791</v>
      </c>
      <c r="E608">
        <v>2</v>
      </c>
      <c r="F608" s="7">
        <v>50000</v>
      </c>
      <c r="G608" s="7">
        <v>100000</v>
      </c>
      <c r="H608" t="s">
        <v>872</v>
      </c>
      <c r="I608" s="7">
        <v>0</v>
      </c>
      <c r="J608" s="7">
        <v>10000</v>
      </c>
      <c r="K608" s="7">
        <v>110000</v>
      </c>
      <c r="L608" t="s">
        <v>889</v>
      </c>
      <c r="M608" t="s">
        <v>881</v>
      </c>
      <c r="N608" t="s">
        <v>875</v>
      </c>
      <c r="O608" t="s">
        <v>908</v>
      </c>
      <c r="P608" t="s">
        <v>877</v>
      </c>
      <c r="Q608" s="7">
        <v>100000</v>
      </c>
    </row>
    <row r="609" spans="1:17">
      <c r="A609" t="s">
        <v>1504</v>
      </c>
      <c r="B609" s="6">
        <v>45705</v>
      </c>
      <c r="C609" t="s">
        <v>278</v>
      </c>
      <c r="D609" t="s">
        <v>775</v>
      </c>
      <c r="E609">
        <v>2</v>
      </c>
      <c r="F609" s="7">
        <v>75000</v>
      </c>
      <c r="G609" s="7">
        <v>150000</v>
      </c>
      <c r="H609" t="s">
        <v>895</v>
      </c>
      <c r="I609" s="7">
        <v>22500</v>
      </c>
      <c r="J609" s="7">
        <v>25000</v>
      </c>
      <c r="K609" s="7">
        <v>152500</v>
      </c>
      <c r="L609" t="s">
        <v>873</v>
      </c>
      <c r="M609" t="s">
        <v>874</v>
      </c>
      <c r="N609" t="s">
        <v>890</v>
      </c>
      <c r="O609" t="s">
        <v>887</v>
      </c>
      <c r="P609" t="s">
        <v>892</v>
      </c>
      <c r="Q609" s="7">
        <v>127500</v>
      </c>
    </row>
    <row r="610" spans="1:17">
      <c r="A610" t="s">
        <v>1505</v>
      </c>
      <c r="B610" s="6">
        <v>45735</v>
      </c>
      <c r="C610" t="s">
        <v>562</v>
      </c>
      <c r="D610" t="s">
        <v>773</v>
      </c>
      <c r="E610">
        <v>1</v>
      </c>
      <c r="F610" s="7">
        <v>500000</v>
      </c>
      <c r="G610" s="7">
        <v>500000</v>
      </c>
      <c r="H610" t="s">
        <v>883</v>
      </c>
      <c r="I610" s="7">
        <v>50000</v>
      </c>
      <c r="J610" s="7">
        <v>15000</v>
      </c>
      <c r="K610" s="7">
        <v>465000</v>
      </c>
      <c r="L610" t="s">
        <v>884</v>
      </c>
      <c r="M610" t="s">
        <v>901</v>
      </c>
      <c r="N610" t="s">
        <v>911</v>
      </c>
      <c r="O610" t="s">
        <v>876</v>
      </c>
      <c r="P610" t="s">
        <v>892</v>
      </c>
      <c r="Q610" s="7">
        <v>450000</v>
      </c>
    </row>
    <row r="611" spans="1:17">
      <c r="A611" t="s">
        <v>1506</v>
      </c>
      <c r="B611" s="6">
        <v>45669</v>
      </c>
      <c r="C611" t="s">
        <v>378</v>
      </c>
      <c r="D611" t="s">
        <v>853</v>
      </c>
      <c r="E611">
        <v>3</v>
      </c>
      <c r="F611" s="7">
        <v>75000</v>
      </c>
      <c r="G611" s="7">
        <v>225000</v>
      </c>
      <c r="H611" t="s">
        <v>886</v>
      </c>
      <c r="I611" s="7">
        <v>22500</v>
      </c>
      <c r="J611" s="7">
        <v>20000</v>
      </c>
      <c r="K611" s="7">
        <v>222500</v>
      </c>
      <c r="L611" t="s">
        <v>884</v>
      </c>
      <c r="M611" t="s">
        <v>881</v>
      </c>
      <c r="N611" t="s">
        <v>875</v>
      </c>
      <c r="O611" t="s">
        <v>908</v>
      </c>
      <c r="P611" t="s">
        <v>877</v>
      </c>
      <c r="Q611" s="7">
        <v>202500</v>
      </c>
    </row>
    <row r="612" spans="1:17">
      <c r="A612" t="s">
        <v>1507</v>
      </c>
      <c r="B612" s="6">
        <v>45663</v>
      </c>
      <c r="C612" t="s">
        <v>186</v>
      </c>
      <c r="D612" t="s">
        <v>789</v>
      </c>
      <c r="E612">
        <v>2</v>
      </c>
      <c r="F612" s="7">
        <v>200000</v>
      </c>
      <c r="G612" s="7">
        <v>400000</v>
      </c>
      <c r="H612" t="s">
        <v>895</v>
      </c>
      <c r="I612" s="7">
        <v>60000</v>
      </c>
      <c r="J612" s="7">
        <v>20000</v>
      </c>
      <c r="K612" s="7">
        <v>360000</v>
      </c>
      <c r="L612" t="s">
        <v>873</v>
      </c>
      <c r="M612" t="s">
        <v>881</v>
      </c>
      <c r="N612" t="s">
        <v>875</v>
      </c>
      <c r="O612" t="s">
        <v>908</v>
      </c>
      <c r="P612" t="s">
        <v>877</v>
      </c>
      <c r="Q612" s="7">
        <v>340000</v>
      </c>
    </row>
    <row r="613" spans="1:17">
      <c r="A613" t="s">
        <v>1508</v>
      </c>
      <c r="B613" s="6">
        <v>45779</v>
      </c>
      <c r="C613" t="s">
        <v>156</v>
      </c>
      <c r="D613" t="s">
        <v>781</v>
      </c>
      <c r="E613">
        <v>2</v>
      </c>
      <c r="F613" s="7">
        <v>50000</v>
      </c>
      <c r="G613" s="7">
        <v>100000</v>
      </c>
      <c r="H613" t="s">
        <v>872</v>
      </c>
      <c r="I613" s="7">
        <v>0</v>
      </c>
      <c r="J613" s="7">
        <v>15000</v>
      </c>
      <c r="K613" s="7">
        <v>115000</v>
      </c>
      <c r="L613" t="s">
        <v>873</v>
      </c>
      <c r="M613" t="s">
        <v>901</v>
      </c>
      <c r="N613" t="s">
        <v>875</v>
      </c>
      <c r="O613" t="s">
        <v>896</v>
      </c>
      <c r="P613" t="s">
        <v>877</v>
      </c>
      <c r="Q613" s="7">
        <v>100000</v>
      </c>
    </row>
    <row r="614" spans="1:17">
      <c r="A614" t="s">
        <v>1509</v>
      </c>
      <c r="B614" s="6">
        <v>45806</v>
      </c>
      <c r="C614" t="s">
        <v>674</v>
      </c>
      <c r="D614" t="s">
        <v>777</v>
      </c>
      <c r="E614">
        <v>1</v>
      </c>
      <c r="F614" s="7">
        <v>200000</v>
      </c>
      <c r="G614" s="7">
        <v>200000</v>
      </c>
      <c r="H614" t="s">
        <v>895</v>
      </c>
      <c r="I614" s="7">
        <v>30000</v>
      </c>
      <c r="J614" s="7">
        <v>15000</v>
      </c>
      <c r="K614" s="7">
        <v>185000</v>
      </c>
      <c r="L614" t="s">
        <v>880</v>
      </c>
      <c r="M614" t="s">
        <v>874</v>
      </c>
      <c r="N614" t="s">
        <v>875</v>
      </c>
      <c r="O614" t="s">
        <v>896</v>
      </c>
      <c r="P614" t="s">
        <v>877</v>
      </c>
      <c r="Q614" s="7">
        <v>170000</v>
      </c>
    </row>
    <row r="615" spans="1:17">
      <c r="A615" t="s">
        <v>1510</v>
      </c>
      <c r="B615" s="6">
        <v>45797</v>
      </c>
      <c r="C615" t="s">
        <v>606</v>
      </c>
      <c r="D615" t="s">
        <v>823</v>
      </c>
      <c r="E615">
        <v>4</v>
      </c>
      <c r="F615" s="7">
        <v>500000</v>
      </c>
      <c r="G615" s="7">
        <v>2000000</v>
      </c>
      <c r="H615" t="s">
        <v>872</v>
      </c>
      <c r="I615" s="7">
        <v>0</v>
      </c>
      <c r="J615" s="7">
        <v>20000</v>
      </c>
      <c r="K615" s="7">
        <v>2020000</v>
      </c>
      <c r="L615" t="s">
        <v>889</v>
      </c>
      <c r="M615" t="s">
        <v>903</v>
      </c>
      <c r="N615" t="s">
        <v>875</v>
      </c>
      <c r="O615" t="s">
        <v>896</v>
      </c>
      <c r="P615" t="s">
        <v>877</v>
      </c>
      <c r="Q615" s="7">
        <v>2000000</v>
      </c>
    </row>
    <row r="616" spans="1:17">
      <c r="A616" t="s">
        <v>1511</v>
      </c>
      <c r="B616" s="6">
        <v>45772</v>
      </c>
      <c r="C616" t="s">
        <v>532</v>
      </c>
      <c r="D616" t="s">
        <v>759</v>
      </c>
      <c r="E616">
        <v>4</v>
      </c>
      <c r="F616" s="7">
        <v>300000</v>
      </c>
      <c r="G616" s="7">
        <v>1200000</v>
      </c>
      <c r="H616" t="s">
        <v>895</v>
      </c>
      <c r="I616" s="7">
        <v>180000</v>
      </c>
      <c r="J616" s="7">
        <v>10000</v>
      </c>
      <c r="K616" s="7">
        <v>1030000</v>
      </c>
      <c r="L616" t="s">
        <v>889</v>
      </c>
      <c r="M616" t="s">
        <v>903</v>
      </c>
      <c r="N616" t="s">
        <v>875</v>
      </c>
      <c r="O616" t="s">
        <v>891</v>
      </c>
      <c r="P616" t="s">
        <v>877</v>
      </c>
      <c r="Q616" s="7">
        <v>1020000</v>
      </c>
    </row>
    <row r="617" spans="1:17">
      <c r="A617" t="s">
        <v>1512</v>
      </c>
      <c r="B617" s="6">
        <v>45789</v>
      </c>
      <c r="C617" t="s">
        <v>694</v>
      </c>
      <c r="D617" t="s">
        <v>741</v>
      </c>
      <c r="E617">
        <v>1</v>
      </c>
      <c r="F617" s="7">
        <v>75000</v>
      </c>
      <c r="G617" s="7">
        <v>75000</v>
      </c>
      <c r="H617" t="s">
        <v>872</v>
      </c>
      <c r="I617" s="7">
        <v>0</v>
      </c>
      <c r="J617" s="7">
        <v>30000</v>
      </c>
      <c r="K617" s="7">
        <v>105000</v>
      </c>
      <c r="L617" t="s">
        <v>873</v>
      </c>
      <c r="M617" t="s">
        <v>903</v>
      </c>
      <c r="N617" t="s">
        <v>911</v>
      </c>
      <c r="O617" t="s">
        <v>896</v>
      </c>
      <c r="P617" t="s">
        <v>892</v>
      </c>
      <c r="Q617" s="7">
        <v>75000</v>
      </c>
    </row>
    <row r="618" spans="1:17">
      <c r="A618" t="s">
        <v>1513</v>
      </c>
      <c r="B618" s="6">
        <v>45708</v>
      </c>
      <c r="C618" t="s">
        <v>552</v>
      </c>
      <c r="D618" t="s">
        <v>849</v>
      </c>
      <c r="E618">
        <v>4</v>
      </c>
      <c r="F618" s="7">
        <v>500000</v>
      </c>
      <c r="G618" s="7">
        <v>2000000</v>
      </c>
      <c r="H618" t="s">
        <v>872</v>
      </c>
      <c r="I618" s="7">
        <v>0</v>
      </c>
      <c r="J618" s="7">
        <v>30000</v>
      </c>
      <c r="K618" s="7">
        <v>2030000</v>
      </c>
      <c r="L618" t="s">
        <v>884</v>
      </c>
      <c r="M618" t="s">
        <v>903</v>
      </c>
      <c r="N618" t="s">
        <v>875</v>
      </c>
      <c r="O618" t="s">
        <v>887</v>
      </c>
      <c r="P618" t="s">
        <v>877</v>
      </c>
      <c r="Q618" s="7">
        <v>2000000</v>
      </c>
    </row>
    <row r="619" spans="1:17">
      <c r="A619" t="s">
        <v>1514</v>
      </c>
      <c r="B619" s="6">
        <v>45667</v>
      </c>
      <c r="C619" t="s">
        <v>442</v>
      </c>
      <c r="D619" t="s">
        <v>831</v>
      </c>
      <c r="E619">
        <v>2</v>
      </c>
      <c r="F619" s="7">
        <v>300000</v>
      </c>
      <c r="G619" s="7">
        <v>600000</v>
      </c>
      <c r="H619" t="s">
        <v>883</v>
      </c>
      <c r="I619" s="7">
        <v>60000</v>
      </c>
      <c r="J619" s="7">
        <v>15000</v>
      </c>
      <c r="K619" s="7">
        <v>555000</v>
      </c>
      <c r="L619" t="s">
        <v>884</v>
      </c>
      <c r="M619" t="s">
        <v>903</v>
      </c>
      <c r="N619" t="s">
        <v>875</v>
      </c>
      <c r="O619" t="s">
        <v>908</v>
      </c>
      <c r="P619" t="s">
        <v>877</v>
      </c>
      <c r="Q619" s="7">
        <v>540000</v>
      </c>
    </row>
    <row r="620" spans="1:17">
      <c r="A620" t="s">
        <v>1515</v>
      </c>
      <c r="B620" s="6">
        <v>45743</v>
      </c>
      <c r="C620" t="s">
        <v>316</v>
      </c>
      <c r="D620" t="s">
        <v>823</v>
      </c>
      <c r="E620">
        <v>1</v>
      </c>
      <c r="F620" s="7">
        <v>500000</v>
      </c>
      <c r="G620" s="7">
        <v>500000</v>
      </c>
      <c r="H620" t="s">
        <v>886</v>
      </c>
      <c r="I620" s="7">
        <v>50000</v>
      </c>
      <c r="J620" s="7">
        <v>10000</v>
      </c>
      <c r="K620" s="7">
        <v>460000</v>
      </c>
      <c r="L620" t="s">
        <v>880</v>
      </c>
      <c r="M620" t="s">
        <v>881</v>
      </c>
      <c r="N620" t="s">
        <v>875</v>
      </c>
      <c r="O620" t="s">
        <v>876</v>
      </c>
      <c r="P620" t="s">
        <v>877</v>
      </c>
      <c r="Q620" s="7">
        <v>450000</v>
      </c>
    </row>
    <row r="621" spans="1:17">
      <c r="A621" t="s">
        <v>1516</v>
      </c>
      <c r="B621" s="6">
        <v>45811</v>
      </c>
      <c r="C621" t="s">
        <v>606</v>
      </c>
      <c r="D621" t="s">
        <v>843</v>
      </c>
      <c r="E621">
        <v>2</v>
      </c>
      <c r="F621" s="7">
        <v>100000</v>
      </c>
      <c r="G621" s="7">
        <v>200000</v>
      </c>
      <c r="H621" t="s">
        <v>872</v>
      </c>
      <c r="I621" s="7">
        <v>0</v>
      </c>
      <c r="J621" s="7">
        <v>10000</v>
      </c>
      <c r="K621" s="7">
        <v>210000</v>
      </c>
      <c r="L621" t="s">
        <v>884</v>
      </c>
      <c r="M621" t="s">
        <v>881</v>
      </c>
      <c r="N621" t="s">
        <v>875</v>
      </c>
      <c r="O621" t="s">
        <v>915</v>
      </c>
      <c r="P621" t="s">
        <v>877</v>
      </c>
      <c r="Q621" s="7">
        <v>200000</v>
      </c>
    </row>
    <row r="622" spans="1:17">
      <c r="A622" t="s">
        <v>1517</v>
      </c>
      <c r="B622" s="6">
        <v>45708</v>
      </c>
      <c r="C622" t="s">
        <v>502</v>
      </c>
      <c r="D622" t="s">
        <v>811</v>
      </c>
      <c r="E622">
        <v>1</v>
      </c>
      <c r="F622" s="7">
        <v>35000</v>
      </c>
      <c r="G622" s="7">
        <v>35000</v>
      </c>
      <c r="H622" t="s">
        <v>872</v>
      </c>
      <c r="I622" s="7">
        <v>0</v>
      </c>
      <c r="J622" s="7">
        <v>10000</v>
      </c>
      <c r="K622" s="7">
        <v>45000</v>
      </c>
      <c r="L622" t="s">
        <v>880</v>
      </c>
      <c r="M622" t="s">
        <v>874</v>
      </c>
      <c r="N622" t="s">
        <v>875</v>
      </c>
      <c r="O622" t="s">
        <v>887</v>
      </c>
      <c r="P622" t="s">
        <v>877</v>
      </c>
      <c r="Q622" s="7">
        <v>35000</v>
      </c>
    </row>
    <row r="623" spans="1:17">
      <c r="A623" t="s">
        <v>1518</v>
      </c>
      <c r="B623" s="6">
        <v>45783</v>
      </c>
      <c r="C623" t="s">
        <v>95</v>
      </c>
      <c r="D623" t="s">
        <v>783</v>
      </c>
      <c r="E623">
        <v>1</v>
      </c>
      <c r="F623" s="7">
        <v>500000</v>
      </c>
      <c r="G623" s="7">
        <v>500000</v>
      </c>
      <c r="H623" t="s">
        <v>886</v>
      </c>
      <c r="I623" s="7">
        <v>50000</v>
      </c>
      <c r="J623" s="7">
        <v>25000</v>
      </c>
      <c r="K623" s="7">
        <v>475000</v>
      </c>
      <c r="L623" t="s">
        <v>889</v>
      </c>
      <c r="M623" t="s">
        <v>901</v>
      </c>
      <c r="N623" t="s">
        <v>875</v>
      </c>
      <c r="O623" t="s">
        <v>896</v>
      </c>
      <c r="P623" t="s">
        <v>877</v>
      </c>
      <c r="Q623" s="7">
        <v>450000</v>
      </c>
    </row>
    <row r="624" spans="1:17">
      <c r="A624" t="s">
        <v>1519</v>
      </c>
      <c r="B624" s="6">
        <v>45705</v>
      </c>
      <c r="C624" t="s">
        <v>614</v>
      </c>
      <c r="D624" t="s">
        <v>789</v>
      </c>
      <c r="E624">
        <v>1</v>
      </c>
      <c r="F624" s="7">
        <v>200000</v>
      </c>
      <c r="G624" s="7">
        <v>200000</v>
      </c>
      <c r="H624" t="s">
        <v>879</v>
      </c>
      <c r="I624" s="7">
        <v>40000</v>
      </c>
      <c r="J624" s="7">
        <v>10000</v>
      </c>
      <c r="K624" s="7">
        <v>170000</v>
      </c>
      <c r="L624" t="s">
        <v>873</v>
      </c>
      <c r="M624" t="s">
        <v>874</v>
      </c>
      <c r="N624" t="s">
        <v>875</v>
      </c>
      <c r="O624" t="s">
        <v>887</v>
      </c>
      <c r="P624" t="s">
        <v>877</v>
      </c>
      <c r="Q624" s="7">
        <v>160000</v>
      </c>
    </row>
    <row r="625" spans="1:17">
      <c r="A625" t="s">
        <v>1520</v>
      </c>
      <c r="B625" s="6">
        <v>45732</v>
      </c>
      <c r="C625" t="s">
        <v>576</v>
      </c>
      <c r="D625" t="s">
        <v>803</v>
      </c>
      <c r="E625">
        <v>1</v>
      </c>
      <c r="F625" s="7">
        <v>50000</v>
      </c>
      <c r="G625" s="7">
        <v>50000</v>
      </c>
      <c r="H625" t="s">
        <v>895</v>
      </c>
      <c r="I625" s="7">
        <v>7500</v>
      </c>
      <c r="J625" s="7">
        <v>10000</v>
      </c>
      <c r="K625" s="7">
        <v>52500</v>
      </c>
      <c r="L625" t="s">
        <v>880</v>
      </c>
      <c r="M625" t="s">
        <v>901</v>
      </c>
      <c r="N625" t="s">
        <v>875</v>
      </c>
      <c r="O625" t="s">
        <v>876</v>
      </c>
      <c r="P625" t="s">
        <v>877</v>
      </c>
      <c r="Q625" s="7">
        <v>42500</v>
      </c>
    </row>
    <row r="626" spans="1:17">
      <c r="A626" t="s">
        <v>1521</v>
      </c>
      <c r="B626" s="6">
        <v>45659</v>
      </c>
      <c r="C626" t="s">
        <v>52</v>
      </c>
      <c r="D626" t="s">
        <v>829</v>
      </c>
      <c r="E626">
        <v>1</v>
      </c>
      <c r="F626" s="7">
        <v>500000</v>
      </c>
      <c r="G626" s="7">
        <v>500000</v>
      </c>
      <c r="H626" t="s">
        <v>886</v>
      </c>
      <c r="I626" s="7">
        <v>50000</v>
      </c>
      <c r="J626" s="7">
        <v>15000</v>
      </c>
      <c r="K626" s="7">
        <v>465000</v>
      </c>
      <c r="L626" t="s">
        <v>873</v>
      </c>
      <c r="M626" t="s">
        <v>881</v>
      </c>
      <c r="N626" t="s">
        <v>875</v>
      </c>
      <c r="O626" t="s">
        <v>908</v>
      </c>
      <c r="P626" t="s">
        <v>877</v>
      </c>
      <c r="Q626" s="7">
        <v>450000</v>
      </c>
    </row>
    <row r="627" spans="1:17">
      <c r="A627" t="s">
        <v>1522</v>
      </c>
      <c r="B627" s="6">
        <v>45767</v>
      </c>
      <c r="C627" t="s">
        <v>526</v>
      </c>
      <c r="D627" t="s">
        <v>783</v>
      </c>
      <c r="E627">
        <v>2</v>
      </c>
      <c r="F627" s="7">
        <v>500000</v>
      </c>
      <c r="G627" s="7">
        <v>1000000</v>
      </c>
      <c r="H627" t="s">
        <v>895</v>
      </c>
      <c r="I627" s="7">
        <v>150000</v>
      </c>
      <c r="J627" s="7">
        <v>20000</v>
      </c>
      <c r="K627" s="7">
        <v>870000</v>
      </c>
      <c r="L627" t="s">
        <v>889</v>
      </c>
      <c r="M627" t="s">
        <v>881</v>
      </c>
      <c r="N627" t="s">
        <v>911</v>
      </c>
      <c r="O627" t="s">
        <v>891</v>
      </c>
      <c r="P627" t="s">
        <v>892</v>
      </c>
      <c r="Q627" s="7">
        <v>850000</v>
      </c>
    </row>
    <row r="628" spans="1:17">
      <c r="A628" t="s">
        <v>1523</v>
      </c>
      <c r="B628" s="6">
        <v>45821</v>
      </c>
      <c r="C628" t="s">
        <v>340</v>
      </c>
      <c r="D628" t="s">
        <v>829</v>
      </c>
      <c r="E628">
        <v>2</v>
      </c>
      <c r="F628" s="7">
        <v>500000</v>
      </c>
      <c r="G628" s="7">
        <v>1000000</v>
      </c>
      <c r="H628" t="s">
        <v>895</v>
      </c>
      <c r="I628" s="7">
        <v>150000</v>
      </c>
      <c r="J628" s="7">
        <v>20000</v>
      </c>
      <c r="K628" s="7">
        <v>870000</v>
      </c>
      <c r="L628" t="s">
        <v>884</v>
      </c>
      <c r="M628" t="s">
        <v>881</v>
      </c>
      <c r="N628" t="s">
        <v>890</v>
      </c>
      <c r="O628" t="s">
        <v>915</v>
      </c>
      <c r="P628" t="s">
        <v>892</v>
      </c>
      <c r="Q628" s="7">
        <v>850000</v>
      </c>
    </row>
    <row r="629" spans="1:17">
      <c r="A629" t="s">
        <v>1524</v>
      </c>
      <c r="B629" s="6">
        <v>45680</v>
      </c>
      <c r="C629" t="s">
        <v>520</v>
      </c>
      <c r="D629" t="s">
        <v>843</v>
      </c>
      <c r="E629">
        <v>1</v>
      </c>
      <c r="F629" s="7">
        <v>100000</v>
      </c>
      <c r="G629" s="7">
        <v>100000</v>
      </c>
      <c r="H629" t="s">
        <v>886</v>
      </c>
      <c r="I629" s="7">
        <v>10000</v>
      </c>
      <c r="J629" s="7">
        <v>10000</v>
      </c>
      <c r="K629" s="7">
        <v>100000</v>
      </c>
      <c r="L629" t="s">
        <v>884</v>
      </c>
      <c r="M629" t="s">
        <v>901</v>
      </c>
      <c r="N629" t="s">
        <v>875</v>
      </c>
      <c r="O629" t="s">
        <v>908</v>
      </c>
      <c r="P629" t="s">
        <v>877</v>
      </c>
      <c r="Q629" s="7">
        <v>90000</v>
      </c>
    </row>
    <row r="630" spans="1:17">
      <c r="A630" t="s">
        <v>1525</v>
      </c>
      <c r="B630" s="6">
        <v>45769</v>
      </c>
      <c r="C630" t="s">
        <v>18</v>
      </c>
      <c r="D630" t="s">
        <v>787</v>
      </c>
      <c r="E630">
        <v>3</v>
      </c>
      <c r="F630" s="7">
        <v>200000</v>
      </c>
      <c r="G630" s="7">
        <v>600000</v>
      </c>
      <c r="H630" t="s">
        <v>883</v>
      </c>
      <c r="I630" s="7">
        <v>60000</v>
      </c>
      <c r="J630" s="7">
        <v>20000</v>
      </c>
      <c r="K630" s="7">
        <v>560000</v>
      </c>
      <c r="L630" t="s">
        <v>884</v>
      </c>
      <c r="M630" t="s">
        <v>881</v>
      </c>
      <c r="N630" t="s">
        <v>875</v>
      </c>
      <c r="O630" t="s">
        <v>891</v>
      </c>
      <c r="P630" t="s">
        <v>877</v>
      </c>
      <c r="Q630" s="7">
        <v>540000</v>
      </c>
    </row>
    <row r="631" spans="1:17">
      <c r="A631" t="s">
        <v>1526</v>
      </c>
      <c r="B631" s="6">
        <v>45733</v>
      </c>
      <c r="C631" t="s">
        <v>234</v>
      </c>
      <c r="D631" t="s">
        <v>791</v>
      </c>
      <c r="E631">
        <v>1</v>
      </c>
      <c r="F631" s="7">
        <v>50000</v>
      </c>
      <c r="G631" s="7">
        <v>50000</v>
      </c>
      <c r="H631" t="s">
        <v>872</v>
      </c>
      <c r="I631" s="7">
        <v>0</v>
      </c>
      <c r="J631" s="7">
        <v>15000</v>
      </c>
      <c r="K631" s="7">
        <v>65000</v>
      </c>
      <c r="L631" t="s">
        <v>873</v>
      </c>
      <c r="M631" t="s">
        <v>903</v>
      </c>
      <c r="N631" t="s">
        <v>875</v>
      </c>
      <c r="O631" t="s">
        <v>876</v>
      </c>
      <c r="P631" t="s">
        <v>877</v>
      </c>
      <c r="Q631" s="7">
        <v>50000</v>
      </c>
    </row>
    <row r="632" spans="1:17">
      <c r="A632" t="s">
        <v>1527</v>
      </c>
      <c r="B632" s="6">
        <v>45745</v>
      </c>
      <c r="C632" t="s">
        <v>426</v>
      </c>
      <c r="D632" t="s">
        <v>767</v>
      </c>
      <c r="E632">
        <v>4</v>
      </c>
      <c r="F632" s="7">
        <v>150000</v>
      </c>
      <c r="G632" s="7">
        <v>600000</v>
      </c>
      <c r="H632" t="s">
        <v>872</v>
      </c>
      <c r="I632" s="7">
        <v>0</v>
      </c>
      <c r="J632" s="7">
        <v>30000</v>
      </c>
      <c r="K632" s="7">
        <v>630000</v>
      </c>
      <c r="L632" t="s">
        <v>873</v>
      </c>
      <c r="M632" t="s">
        <v>874</v>
      </c>
      <c r="N632" t="s">
        <v>875</v>
      </c>
      <c r="O632" t="s">
        <v>876</v>
      </c>
      <c r="P632" t="s">
        <v>877</v>
      </c>
      <c r="Q632" s="7">
        <v>600000</v>
      </c>
    </row>
    <row r="633" spans="1:17">
      <c r="A633" t="s">
        <v>1528</v>
      </c>
      <c r="B633" s="6">
        <v>45662</v>
      </c>
      <c r="C633" t="s">
        <v>678</v>
      </c>
      <c r="D633" t="s">
        <v>839</v>
      </c>
      <c r="E633">
        <v>2</v>
      </c>
      <c r="F633" s="7">
        <v>200000</v>
      </c>
      <c r="G633" s="7">
        <v>400000</v>
      </c>
      <c r="H633" t="s">
        <v>872</v>
      </c>
      <c r="I633" s="7">
        <v>0</v>
      </c>
      <c r="J633" s="7">
        <v>25000</v>
      </c>
      <c r="K633" s="7">
        <v>425000</v>
      </c>
      <c r="L633" t="s">
        <v>884</v>
      </c>
      <c r="M633" t="s">
        <v>881</v>
      </c>
      <c r="N633" t="s">
        <v>875</v>
      </c>
      <c r="O633" t="s">
        <v>908</v>
      </c>
      <c r="P633" t="s">
        <v>877</v>
      </c>
      <c r="Q633" s="7">
        <v>400000</v>
      </c>
    </row>
    <row r="634" spans="1:17">
      <c r="A634" t="s">
        <v>1529</v>
      </c>
      <c r="B634" s="6">
        <v>45817</v>
      </c>
      <c r="C634" t="s">
        <v>528</v>
      </c>
      <c r="D634" t="s">
        <v>765</v>
      </c>
      <c r="E634">
        <v>2</v>
      </c>
      <c r="F634" s="7">
        <v>500000</v>
      </c>
      <c r="G634" s="7">
        <v>1000000</v>
      </c>
      <c r="H634" t="s">
        <v>895</v>
      </c>
      <c r="I634" s="7">
        <v>150000</v>
      </c>
      <c r="J634" s="7">
        <v>30000</v>
      </c>
      <c r="K634" s="7">
        <v>880000</v>
      </c>
      <c r="L634" t="s">
        <v>884</v>
      </c>
      <c r="M634" t="s">
        <v>881</v>
      </c>
      <c r="N634" t="s">
        <v>890</v>
      </c>
      <c r="O634" t="s">
        <v>915</v>
      </c>
      <c r="P634" t="s">
        <v>892</v>
      </c>
      <c r="Q634" s="7">
        <v>850000</v>
      </c>
    </row>
    <row r="635" spans="1:17">
      <c r="A635" t="s">
        <v>1530</v>
      </c>
      <c r="B635" s="6">
        <v>45822</v>
      </c>
      <c r="C635" t="s">
        <v>320</v>
      </c>
      <c r="D635" t="s">
        <v>793</v>
      </c>
      <c r="E635">
        <v>2</v>
      </c>
      <c r="F635" s="7">
        <v>500000</v>
      </c>
      <c r="G635" s="7">
        <v>1000000</v>
      </c>
      <c r="H635" t="s">
        <v>883</v>
      </c>
      <c r="I635" s="7">
        <v>100000</v>
      </c>
      <c r="J635" s="7">
        <v>30000</v>
      </c>
      <c r="K635" s="7">
        <v>930000</v>
      </c>
      <c r="L635" t="s">
        <v>889</v>
      </c>
      <c r="M635" t="s">
        <v>881</v>
      </c>
      <c r="N635" t="s">
        <v>875</v>
      </c>
      <c r="O635" t="s">
        <v>915</v>
      </c>
      <c r="P635" t="s">
        <v>877</v>
      </c>
      <c r="Q635" s="7">
        <v>900000</v>
      </c>
    </row>
    <row r="636" spans="1:17">
      <c r="A636" t="s">
        <v>1531</v>
      </c>
      <c r="B636" s="6">
        <v>45808</v>
      </c>
      <c r="C636" t="s">
        <v>264</v>
      </c>
      <c r="D636" t="s">
        <v>767</v>
      </c>
      <c r="E636">
        <v>3</v>
      </c>
      <c r="F636" s="7">
        <v>150000</v>
      </c>
      <c r="G636" s="7">
        <v>450000</v>
      </c>
      <c r="H636" t="s">
        <v>883</v>
      </c>
      <c r="I636" s="7">
        <v>45000</v>
      </c>
      <c r="J636" s="7">
        <v>15000</v>
      </c>
      <c r="K636" s="7">
        <v>420000</v>
      </c>
      <c r="L636" t="s">
        <v>884</v>
      </c>
      <c r="M636" t="s">
        <v>874</v>
      </c>
      <c r="N636" t="s">
        <v>890</v>
      </c>
      <c r="O636" t="s">
        <v>896</v>
      </c>
      <c r="P636" t="s">
        <v>892</v>
      </c>
      <c r="Q636" s="7">
        <v>405000</v>
      </c>
    </row>
    <row r="637" spans="1:17">
      <c r="A637" t="s">
        <v>1532</v>
      </c>
      <c r="B637" s="6">
        <v>45810</v>
      </c>
      <c r="C637" t="s">
        <v>618</v>
      </c>
      <c r="D637" t="s">
        <v>759</v>
      </c>
      <c r="E637">
        <v>1</v>
      </c>
      <c r="F637" s="7">
        <v>300000</v>
      </c>
      <c r="G637" s="7">
        <v>300000</v>
      </c>
      <c r="H637" t="s">
        <v>886</v>
      </c>
      <c r="I637" s="7">
        <v>30000</v>
      </c>
      <c r="J637" s="7">
        <v>30000</v>
      </c>
      <c r="K637" s="7">
        <v>300000</v>
      </c>
      <c r="L637" t="s">
        <v>880</v>
      </c>
      <c r="M637" t="s">
        <v>874</v>
      </c>
      <c r="N637" t="s">
        <v>905</v>
      </c>
      <c r="O637" t="s">
        <v>915</v>
      </c>
      <c r="P637" t="s">
        <v>892</v>
      </c>
      <c r="Q637" s="7">
        <v>270000</v>
      </c>
    </row>
    <row r="638" spans="1:17">
      <c r="A638" t="s">
        <v>1533</v>
      </c>
      <c r="B638" s="6">
        <v>45685</v>
      </c>
      <c r="C638" t="s">
        <v>642</v>
      </c>
      <c r="D638" t="s">
        <v>805</v>
      </c>
      <c r="E638">
        <v>2</v>
      </c>
      <c r="F638" s="7">
        <v>200000</v>
      </c>
      <c r="G638" s="7">
        <v>400000</v>
      </c>
      <c r="H638" t="s">
        <v>879</v>
      </c>
      <c r="I638" s="7">
        <v>80000</v>
      </c>
      <c r="J638" s="7">
        <v>15000</v>
      </c>
      <c r="K638" s="7">
        <v>335000</v>
      </c>
      <c r="L638" t="s">
        <v>889</v>
      </c>
      <c r="M638" t="s">
        <v>881</v>
      </c>
      <c r="N638" t="s">
        <v>921</v>
      </c>
      <c r="O638" t="s">
        <v>908</v>
      </c>
      <c r="P638" t="s">
        <v>892</v>
      </c>
      <c r="Q638" s="7">
        <v>320000</v>
      </c>
    </row>
    <row r="639" spans="1:17">
      <c r="A639" t="s">
        <v>1534</v>
      </c>
      <c r="B639" s="6">
        <v>45735</v>
      </c>
      <c r="C639" t="s">
        <v>168</v>
      </c>
      <c r="D639" t="s">
        <v>819</v>
      </c>
      <c r="E639">
        <v>3</v>
      </c>
      <c r="F639" s="7">
        <v>300000</v>
      </c>
      <c r="G639" s="7">
        <v>900000</v>
      </c>
      <c r="H639" t="s">
        <v>886</v>
      </c>
      <c r="I639" s="7">
        <v>90000</v>
      </c>
      <c r="J639" s="7">
        <v>30000</v>
      </c>
      <c r="K639" s="7">
        <v>840000</v>
      </c>
      <c r="L639" t="s">
        <v>884</v>
      </c>
      <c r="M639" t="s">
        <v>874</v>
      </c>
      <c r="N639" t="s">
        <v>875</v>
      </c>
      <c r="O639" t="s">
        <v>876</v>
      </c>
      <c r="P639" t="s">
        <v>877</v>
      </c>
      <c r="Q639" s="7">
        <v>810000</v>
      </c>
    </row>
    <row r="640" spans="1:17">
      <c r="A640" t="s">
        <v>1535</v>
      </c>
      <c r="B640" s="6">
        <v>45708</v>
      </c>
      <c r="C640" t="s">
        <v>166</v>
      </c>
      <c r="D640" t="s">
        <v>821</v>
      </c>
      <c r="E640">
        <v>1</v>
      </c>
      <c r="F640" s="7">
        <v>50000</v>
      </c>
      <c r="G640" s="7">
        <v>50000</v>
      </c>
      <c r="H640" t="s">
        <v>872</v>
      </c>
      <c r="I640" s="7">
        <v>0</v>
      </c>
      <c r="J640" s="7">
        <v>20000</v>
      </c>
      <c r="K640" s="7">
        <v>70000</v>
      </c>
      <c r="L640" t="s">
        <v>884</v>
      </c>
      <c r="M640" t="s">
        <v>901</v>
      </c>
      <c r="N640" t="s">
        <v>875</v>
      </c>
      <c r="O640" t="s">
        <v>887</v>
      </c>
      <c r="P640" t="s">
        <v>877</v>
      </c>
      <c r="Q640" s="7">
        <v>50000</v>
      </c>
    </row>
    <row r="641" spans="1:17">
      <c r="A641" t="s">
        <v>1536</v>
      </c>
      <c r="B641" s="6">
        <v>45667</v>
      </c>
      <c r="C641" t="s">
        <v>16</v>
      </c>
      <c r="D641" t="s">
        <v>797</v>
      </c>
      <c r="E641">
        <v>1</v>
      </c>
      <c r="F641" s="7">
        <v>150000</v>
      </c>
      <c r="G641" s="7">
        <v>150000</v>
      </c>
      <c r="H641" t="s">
        <v>872</v>
      </c>
      <c r="I641" s="7">
        <v>0</v>
      </c>
      <c r="J641" s="7">
        <v>25000</v>
      </c>
      <c r="K641" s="7">
        <v>175000</v>
      </c>
      <c r="L641" t="s">
        <v>884</v>
      </c>
      <c r="M641" t="s">
        <v>881</v>
      </c>
      <c r="N641" t="s">
        <v>875</v>
      </c>
      <c r="O641" t="s">
        <v>908</v>
      </c>
      <c r="P641" t="s">
        <v>877</v>
      </c>
      <c r="Q641" s="7">
        <v>150000</v>
      </c>
    </row>
    <row r="642" spans="1:17">
      <c r="A642" t="s">
        <v>1537</v>
      </c>
      <c r="B642" s="6">
        <v>45758</v>
      </c>
      <c r="C642" t="s">
        <v>30</v>
      </c>
      <c r="D642" t="s">
        <v>841</v>
      </c>
      <c r="E642">
        <v>1</v>
      </c>
      <c r="F642" s="7">
        <v>75000</v>
      </c>
      <c r="G642" s="7">
        <v>75000</v>
      </c>
      <c r="H642" t="s">
        <v>872</v>
      </c>
      <c r="I642" s="7">
        <v>0</v>
      </c>
      <c r="J642" s="7">
        <v>10000</v>
      </c>
      <c r="K642" s="7">
        <v>85000</v>
      </c>
      <c r="L642" t="s">
        <v>884</v>
      </c>
      <c r="M642" t="s">
        <v>901</v>
      </c>
      <c r="N642" t="s">
        <v>890</v>
      </c>
      <c r="O642" t="s">
        <v>891</v>
      </c>
      <c r="P642" t="s">
        <v>892</v>
      </c>
      <c r="Q642" s="7">
        <v>75000</v>
      </c>
    </row>
    <row r="643" spans="1:17">
      <c r="A643" t="s">
        <v>1538</v>
      </c>
      <c r="B643" s="6">
        <v>45661</v>
      </c>
      <c r="C643" t="s">
        <v>716</v>
      </c>
      <c r="D643" t="s">
        <v>817</v>
      </c>
      <c r="E643">
        <v>4</v>
      </c>
      <c r="F643" s="7">
        <v>75000</v>
      </c>
      <c r="G643" s="7">
        <v>300000</v>
      </c>
      <c r="H643" t="s">
        <v>879</v>
      </c>
      <c r="I643" s="7">
        <v>60000</v>
      </c>
      <c r="J643" s="7">
        <v>25000</v>
      </c>
      <c r="K643" s="7">
        <v>265000</v>
      </c>
      <c r="L643" t="s">
        <v>873</v>
      </c>
      <c r="M643" t="s">
        <v>903</v>
      </c>
      <c r="N643" t="s">
        <v>875</v>
      </c>
      <c r="O643" t="s">
        <v>908</v>
      </c>
      <c r="P643" t="s">
        <v>877</v>
      </c>
      <c r="Q643" s="7">
        <v>240000</v>
      </c>
    </row>
    <row r="644" spans="1:17">
      <c r="A644" t="s">
        <v>1539</v>
      </c>
      <c r="B644" s="6">
        <v>45726</v>
      </c>
      <c r="C644" t="s">
        <v>486</v>
      </c>
      <c r="D644" t="s">
        <v>725</v>
      </c>
      <c r="E644">
        <v>4</v>
      </c>
      <c r="F644" s="7">
        <v>300000</v>
      </c>
      <c r="G644" s="7">
        <v>1200000</v>
      </c>
      <c r="H644" t="s">
        <v>872</v>
      </c>
      <c r="I644" s="7">
        <v>0</v>
      </c>
      <c r="J644" s="7">
        <v>20000</v>
      </c>
      <c r="K644" s="7">
        <v>1220000</v>
      </c>
      <c r="L644" t="s">
        <v>889</v>
      </c>
      <c r="M644" t="s">
        <v>881</v>
      </c>
      <c r="N644" t="s">
        <v>875</v>
      </c>
      <c r="O644" t="s">
        <v>876</v>
      </c>
      <c r="P644" t="s">
        <v>877</v>
      </c>
      <c r="Q644" s="7">
        <v>1200000</v>
      </c>
    </row>
    <row r="645" spans="1:17">
      <c r="A645" t="s">
        <v>1540</v>
      </c>
      <c r="B645" s="6">
        <v>45831</v>
      </c>
      <c r="C645" t="s">
        <v>358</v>
      </c>
      <c r="D645" t="s">
        <v>843</v>
      </c>
      <c r="E645">
        <v>4</v>
      </c>
      <c r="F645" s="7">
        <v>100000</v>
      </c>
      <c r="G645" s="7">
        <v>400000</v>
      </c>
      <c r="H645" t="s">
        <v>872</v>
      </c>
      <c r="I645" s="7">
        <v>0</v>
      </c>
      <c r="J645" s="7">
        <v>10000</v>
      </c>
      <c r="K645" s="7">
        <v>410000</v>
      </c>
      <c r="L645" t="s">
        <v>884</v>
      </c>
      <c r="M645" t="s">
        <v>881</v>
      </c>
      <c r="N645" t="s">
        <v>875</v>
      </c>
      <c r="O645" t="s">
        <v>915</v>
      </c>
      <c r="P645" t="s">
        <v>877</v>
      </c>
      <c r="Q645" s="7">
        <v>400000</v>
      </c>
    </row>
    <row r="646" spans="1:17">
      <c r="A646" t="s">
        <v>1541</v>
      </c>
      <c r="B646" s="6">
        <v>45716</v>
      </c>
      <c r="C646" t="s">
        <v>666</v>
      </c>
      <c r="D646" t="s">
        <v>749</v>
      </c>
      <c r="E646">
        <v>4</v>
      </c>
      <c r="F646" s="7">
        <v>150000</v>
      </c>
      <c r="G646" s="7">
        <v>600000</v>
      </c>
      <c r="H646" t="s">
        <v>895</v>
      </c>
      <c r="I646" s="7">
        <v>90000</v>
      </c>
      <c r="J646" s="7">
        <v>20000</v>
      </c>
      <c r="K646" s="7">
        <v>530000</v>
      </c>
      <c r="L646" t="s">
        <v>873</v>
      </c>
      <c r="M646" t="s">
        <v>881</v>
      </c>
      <c r="N646" t="s">
        <v>875</v>
      </c>
      <c r="O646" t="s">
        <v>887</v>
      </c>
      <c r="P646" t="s">
        <v>877</v>
      </c>
      <c r="Q646" s="7">
        <v>510000</v>
      </c>
    </row>
    <row r="647" spans="1:17">
      <c r="A647" t="s">
        <v>1542</v>
      </c>
      <c r="B647" s="6">
        <v>45700</v>
      </c>
      <c r="C647" t="s">
        <v>214</v>
      </c>
      <c r="D647" t="s">
        <v>845</v>
      </c>
      <c r="E647">
        <v>1</v>
      </c>
      <c r="F647" s="7">
        <v>300000</v>
      </c>
      <c r="G647" s="7">
        <v>300000</v>
      </c>
      <c r="H647" t="s">
        <v>895</v>
      </c>
      <c r="I647" s="7">
        <v>45000</v>
      </c>
      <c r="J647" s="7">
        <v>20000</v>
      </c>
      <c r="K647" s="7">
        <v>275000</v>
      </c>
      <c r="L647" t="s">
        <v>884</v>
      </c>
      <c r="M647" t="s">
        <v>881</v>
      </c>
      <c r="N647" t="s">
        <v>890</v>
      </c>
      <c r="O647" t="s">
        <v>887</v>
      </c>
      <c r="P647" t="s">
        <v>892</v>
      </c>
      <c r="Q647" s="7">
        <v>255000</v>
      </c>
    </row>
    <row r="648" spans="1:17">
      <c r="A648" t="s">
        <v>1543</v>
      </c>
      <c r="B648" s="6">
        <v>45815</v>
      </c>
      <c r="C648" t="s">
        <v>408</v>
      </c>
      <c r="D648" t="s">
        <v>779</v>
      </c>
      <c r="E648">
        <v>1</v>
      </c>
      <c r="F648" s="7">
        <v>150000</v>
      </c>
      <c r="G648" s="7">
        <v>150000</v>
      </c>
      <c r="H648" t="s">
        <v>872</v>
      </c>
      <c r="I648" s="7">
        <v>0</v>
      </c>
      <c r="J648" s="7">
        <v>25000</v>
      </c>
      <c r="K648" s="7">
        <v>175000</v>
      </c>
      <c r="L648" t="s">
        <v>880</v>
      </c>
      <c r="M648" t="s">
        <v>881</v>
      </c>
      <c r="N648" t="s">
        <v>875</v>
      </c>
      <c r="O648" t="s">
        <v>915</v>
      </c>
      <c r="P648" t="s">
        <v>877</v>
      </c>
      <c r="Q648" s="7">
        <v>150000</v>
      </c>
    </row>
    <row r="649" spans="1:17">
      <c r="A649" t="s">
        <v>1544</v>
      </c>
      <c r="B649" s="6">
        <v>45712</v>
      </c>
      <c r="C649" t="s">
        <v>642</v>
      </c>
      <c r="D649" t="s">
        <v>737</v>
      </c>
      <c r="E649">
        <v>4</v>
      </c>
      <c r="F649" s="7">
        <v>300000</v>
      </c>
      <c r="G649" s="7">
        <v>1200000</v>
      </c>
      <c r="H649" t="s">
        <v>886</v>
      </c>
      <c r="I649" s="7">
        <v>120000</v>
      </c>
      <c r="J649" s="7">
        <v>25000</v>
      </c>
      <c r="K649" s="7">
        <v>1105000</v>
      </c>
      <c r="L649" t="s">
        <v>889</v>
      </c>
      <c r="M649" t="s">
        <v>903</v>
      </c>
      <c r="N649" t="s">
        <v>905</v>
      </c>
      <c r="O649" t="s">
        <v>887</v>
      </c>
      <c r="P649" t="s">
        <v>892</v>
      </c>
      <c r="Q649" s="7">
        <v>1080000</v>
      </c>
    </row>
    <row r="650" spans="1:17">
      <c r="A650" t="s">
        <v>1545</v>
      </c>
      <c r="B650" s="6">
        <v>45673</v>
      </c>
      <c r="C650" t="s">
        <v>348</v>
      </c>
      <c r="D650" t="s">
        <v>777</v>
      </c>
      <c r="E650">
        <v>4</v>
      </c>
      <c r="F650" s="7">
        <v>200000</v>
      </c>
      <c r="G650" s="7">
        <v>800000</v>
      </c>
      <c r="H650" t="s">
        <v>872</v>
      </c>
      <c r="I650" s="7">
        <v>0</v>
      </c>
      <c r="J650" s="7">
        <v>15000</v>
      </c>
      <c r="K650" s="7">
        <v>815000</v>
      </c>
      <c r="L650" t="s">
        <v>880</v>
      </c>
      <c r="M650" t="s">
        <v>881</v>
      </c>
      <c r="N650" t="s">
        <v>875</v>
      </c>
      <c r="O650" t="s">
        <v>908</v>
      </c>
      <c r="P650" t="s">
        <v>877</v>
      </c>
      <c r="Q650" s="7">
        <v>800000</v>
      </c>
    </row>
    <row r="651" spans="1:17">
      <c r="A651" t="s">
        <v>1546</v>
      </c>
      <c r="B651" s="6">
        <v>45719</v>
      </c>
      <c r="C651" t="s">
        <v>634</v>
      </c>
      <c r="D651" t="s">
        <v>773</v>
      </c>
      <c r="E651">
        <v>2</v>
      </c>
      <c r="F651" s="7">
        <v>500000</v>
      </c>
      <c r="G651" s="7">
        <v>1000000</v>
      </c>
      <c r="H651" t="s">
        <v>872</v>
      </c>
      <c r="I651" s="7">
        <v>0</v>
      </c>
      <c r="J651" s="7">
        <v>15000</v>
      </c>
      <c r="K651" s="7">
        <v>1015000</v>
      </c>
      <c r="L651" t="s">
        <v>889</v>
      </c>
      <c r="M651" t="s">
        <v>901</v>
      </c>
      <c r="N651" t="s">
        <v>875</v>
      </c>
      <c r="O651" t="s">
        <v>876</v>
      </c>
      <c r="P651" t="s">
        <v>877</v>
      </c>
      <c r="Q651" s="7">
        <v>1000000</v>
      </c>
    </row>
    <row r="652" spans="1:17">
      <c r="A652" t="s">
        <v>1547</v>
      </c>
      <c r="B652" s="6">
        <v>45726</v>
      </c>
      <c r="C652" t="s">
        <v>127</v>
      </c>
      <c r="D652" t="s">
        <v>755</v>
      </c>
      <c r="E652">
        <v>1</v>
      </c>
      <c r="F652" s="7">
        <v>50000</v>
      </c>
      <c r="G652" s="7">
        <v>50000</v>
      </c>
      <c r="H652" t="s">
        <v>886</v>
      </c>
      <c r="I652" s="7">
        <v>5000</v>
      </c>
      <c r="J652" s="7">
        <v>20000</v>
      </c>
      <c r="K652" s="7">
        <v>65000</v>
      </c>
      <c r="L652" t="s">
        <v>889</v>
      </c>
      <c r="M652" t="s">
        <v>903</v>
      </c>
      <c r="N652" t="s">
        <v>875</v>
      </c>
      <c r="O652" t="s">
        <v>876</v>
      </c>
      <c r="P652" t="s">
        <v>877</v>
      </c>
      <c r="Q652" s="7">
        <v>45000</v>
      </c>
    </row>
    <row r="653" spans="1:17">
      <c r="A653" t="s">
        <v>1548</v>
      </c>
      <c r="B653" s="6">
        <v>45785</v>
      </c>
      <c r="C653" t="s">
        <v>376</v>
      </c>
      <c r="D653" t="s">
        <v>777</v>
      </c>
      <c r="E653">
        <v>1</v>
      </c>
      <c r="F653" s="7">
        <v>200000</v>
      </c>
      <c r="G653" s="7">
        <v>200000</v>
      </c>
      <c r="H653" t="s">
        <v>895</v>
      </c>
      <c r="I653" s="7">
        <v>30000</v>
      </c>
      <c r="J653" s="7">
        <v>10000</v>
      </c>
      <c r="K653" s="7">
        <v>180000</v>
      </c>
      <c r="L653" t="s">
        <v>884</v>
      </c>
      <c r="M653" t="s">
        <v>901</v>
      </c>
      <c r="N653" t="s">
        <v>890</v>
      </c>
      <c r="O653" t="s">
        <v>896</v>
      </c>
      <c r="P653" t="s">
        <v>892</v>
      </c>
      <c r="Q653" s="7">
        <v>170000</v>
      </c>
    </row>
    <row r="654" spans="1:17">
      <c r="A654" t="s">
        <v>1549</v>
      </c>
      <c r="B654" s="6">
        <v>45666</v>
      </c>
      <c r="C654" t="s">
        <v>308</v>
      </c>
      <c r="D654" t="s">
        <v>741</v>
      </c>
      <c r="E654">
        <v>1</v>
      </c>
      <c r="F654" s="7">
        <v>75000</v>
      </c>
      <c r="G654" s="7">
        <v>75000</v>
      </c>
      <c r="H654" t="s">
        <v>879</v>
      </c>
      <c r="I654" s="7">
        <v>15000</v>
      </c>
      <c r="J654" s="7">
        <v>20000</v>
      </c>
      <c r="K654" s="7">
        <v>80000</v>
      </c>
      <c r="L654" t="s">
        <v>884</v>
      </c>
      <c r="M654" t="s">
        <v>901</v>
      </c>
      <c r="N654" t="s">
        <v>875</v>
      </c>
      <c r="O654" t="s">
        <v>908</v>
      </c>
      <c r="P654" t="s">
        <v>877</v>
      </c>
      <c r="Q654" s="7">
        <v>60000</v>
      </c>
    </row>
    <row r="655" spans="1:17">
      <c r="A655" t="s">
        <v>1550</v>
      </c>
      <c r="B655" s="6">
        <v>45720</v>
      </c>
      <c r="C655" t="s">
        <v>312</v>
      </c>
      <c r="D655" t="s">
        <v>807</v>
      </c>
      <c r="E655">
        <v>1</v>
      </c>
      <c r="F655" s="7">
        <v>150000</v>
      </c>
      <c r="G655" s="7">
        <v>150000</v>
      </c>
      <c r="H655" t="s">
        <v>886</v>
      </c>
      <c r="I655" s="7">
        <v>15000</v>
      </c>
      <c r="J655" s="7">
        <v>20000</v>
      </c>
      <c r="K655" s="7">
        <v>155000</v>
      </c>
      <c r="L655" t="s">
        <v>873</v>
      </c>
      <c r="M655" t="s">
        <v>901</v>
      </c>
      <c r="N655" t="s">
        <v>875</v>
      </c>
      <c r="O655" t="s">
        <v>876</v>
      </c>
      <c r="P655" t="s">
        <v>877</v>
      </c>
      <c r="Q655" s="7">
        <v>135000</v>
      </c>
    </row>
    <row r="656" spans="1:17">
      <c r="A656" t="s">
        <v>1551</v>
      </c>
      <c r="B656" s="6">
        <v>45834</v>
      </c>
      <c r="C656" t="s">
        <v>602</v>
      </c>
      <c r="D656" t="s">
        <v>851</v>
      </c>
      <c r="E656">
        <v>2</v>
      </c>
      <c r="F656" s="7">
        <v>35000</v>
      </c>
      <c r="G656" s="7">
        <v>70000</v>
      </c>
      <c r="H656" t="s">
        <v>895</v>
      </c>
      <c r="I656" s="7">
        <v>10500</v>
      </c>
      <c r="J656" s="7">
        <v>20000</v>
      </c>
      <c r="K656" s="7">
        <v>79500</v>
      </c>
      <c r="L656" t="s">
        <v>880</v>
      </c>
      <c r="M656" t="s">
        <v>901</v>
      </c>
      <c r="N656" t="s">
        <v>875</v>
      </c>
      <c r="O656" t="s">
        <v>915</v>
      </c>
      <c r="P656" t="s">
        <v>877</v>
      </c>
      <c r="Q656" s="7">
        <v>59500</v>
      </c>
    </row>
    <row r="657" spans="1:17">
      <c r="A657" t="s">
        <v>1552</v>
      </c>
      <c r="B657" s="6">
        <v>45678</v>
      </c>
      <c r="C657" t="s">
        <v>202</v>
      </c>
      <c r="D657" t="s">
        <v>767</v>
      </c>
      <c r="E657">
        <v>3</v>
      </c>
      <c r="F657" s="7">
        <v>150000</v>
      </c>
      <c r="G657" s="7">
        <v>450000</v>
      </c>
      <c r="I657" s="7">
        <v>45000</v>
      </c>
      <c r="J657" s="7">
        <v>30000</v>
      </c>
      <c r="K657" s="7">
        <v>435000</v>
      </c>
      <c r="L657" t="s">
        <v>884</v>
      </c>
      <c r="M657" t="s">
        <v>903</v>
      </c>
      <c r="N657" t="s">
        <v>875</v>
      </c>
      <c r="O657" t="s">
        <v>908</v>
      </c>
      <c r="P657" t="s">
        <v>877</v>
      </c>
      <c r="Q657" s="7">
        <v>405000</v>
      </c>
    </row>
    <row r="658" spans="1:17">
      <c r="A658" t="s">
        <v>1553</v>
      </c>
      <c r="B658" s="6">
        <v>45777</v>
      </c>
      <c r="C658" t="s">
        <v>572</v>
      </c>
      <c r="D658" t="s">
        <v>771</v>
      </c>
      <c r="E658">
        <v>4</v>
      </c>
      <c r="F658" s="7">
        <v>500000</v>
      </c>
      <c r="G658" s="7">
        <v>2000000</v>
      </c>
      <c r="H658" t="s">
        <v>895</v>
      </c>
      <c r="I658" s="7">
        <v>300000</v>
      </c>
      <c r="J658" s="7">
        <v>30000</v>
      </c>
      <c r="K658" s="7">
        <v>1730000</v>
      </c>
      <c r="L658" t="s">
        <v>884</v>
      </c>
      <c r="M658" t="s">
        <v>874</v>
      </c>
      <c r="N658" t="s">
        <v>875</v>
      </c>
      <c r="O658" t="s">
        <v>891</v>
      </c>
      <c r="P658" t="s">
        <v>877</v>
      </c>
      <c r="Q658" s="7">
        <v>1700000</v>
      </c>
    </row>
    <row r="659" spans="1:17">
      <c r="A659" t="s">
        <v>1554</v>
      </c>
      <c r="B659" s="6">
        <v>45788</v>
      </c>
      <c r="C659" t="s">
        <v>572</v>
      </c>
      <c r="D659" t="s">
        <v>805</v>
      </c>
      <c r="E659">
        <v>1</v>
      </c>
      <c r="F659" s="7">
        <v>200000</v>
      </c>
      <c r="G659" s="7">
        <v>200000</v>
      </c>
      <c r="H659" t="s">
        <v>886</v>
      </c>
      <c r="I659" s="7">
        <v>20000</v>
      </c>
      <c r="J659" s="7">
        <v>25000</v>
      </c>
      <c r="K659" s="7">
        <v>205000</v>
      </c>
      <c r="L659" t="s">
        <v>873</v>
      </c>
      <c r="M659" t="s">
        <v>901</v>
      </c>
      <c r="N659" t="s">
        <v>875</v>
      </c>
      <c r="O659" t="s">
        <v>896</v>
      </c>
      <c r="P659" t="s">
        <v>877</v>
      </c>
      <c r="Q659" s="7">
        <v>180000</v>
      </c>
    </row>
    <row r="660" spans="1:17">
      <c r="A660" t="s">
        <v>1555</v>
      </c>
      <c r="B660" s="6">
        <v>45837</v>
      </c>
      <c r="C660" t="s">
        <v>362</v>
      </c>
      <c r="D660" t="s">
        <v>825</v>
      </c>
      <c r="E660">
        <v>1</v>
      </c>
      <c r="F660" s="7">
        <v>100000</v>
      </c>
      <c r="G660" s="7">
        <v>100000</v>
      </c>
      <c r="H660" t="s">
        <v>872</v>
      </c>
      <c r="I660" s="7">
        <v>0</v>
      </c>
      <c r="J660" s="7">
        <v>30000</v>
      </c>
      <c r="K660" s="7">
        <v>130000</v>
      </c>
      <c r="L660" t="s">
        <v>880</v>
      </c>
      <c r="M660" t="s">
        <v>881</v>
      </c>
      <c r="N660" t="s">
        <v>875</v>
      </c>
      <c r="O660" t="s">
        <v>915</v>
      </c>
      <c r="P660" t="s">
        <v>877</v>
      </c>
      <c r="Q660" s="7">
        <v>100000</v>
      </c>
    </row>
    <row r="661" spans="1:17">
      <c r="A661" t="s">
        <v>1556</v>
      </c>
      <c r="B661" s="6">
        <v>45744</v>
      </c>
      <c r="C661" t="s">
        <v>420</v>
      </c>
      <c r="D661" t="s">
        <v>769</v>
      </c>
      <c r="E661">
        <v>2</v>
      </c>
      <c r="F661" s="7">
        <v>100000</v>
      </c>
      <c r="G661" s="7">
        <v>200000</v>
      </c>
      <c r="H661" t="s">
        <v>886</v>
      </c>
      <c r="I661" s="7">
        <v>20000</v>
      </c>
      <c r="J661" s="7">
        <v>15000</v>
      </c>
      <c r="K661" s="7">
        <v>195000</v>
      </c>
      <c r="L661" t="s">
        <v>880</v>
      </c>
      <c r="M661" t="s">
        <v>881</v>
      </c>
      <c r="N661" t="s">
        <v>905</v>
      </c>
      <c r="O661" t="s">
        <v>876</v>
      </c>
      <c r="P661" t="s">
        <v>892</v>
      </c>
      <c r="Q661" s="7">
        <v>180000</v>
      </c>
    </row>
    <row r="662" spans="1:17">
      <c r="A662" t="s">
        <v>1557</v>
      </c>
      <c r="B662" s="6">
        <v>45699</v>
      </c>
      <c r="C662" t="s">
        <v>648</v>
      </c>
      <c r="D662" t="s">
        <v>775</v>
      </c>
      <c r="E662">
        <v>1</v>
      </c>
      <c r="F662" s="7">
        <v>75000</v>
      </c>
      <c r="G662" s="7">
        <v>75000</v>
      </c>
      <c r="H662" t="s">
        <v>895</v>
      </c>
      <c r="I662" s="7">
        <v>11250</v>
      </c>
      <c r="J662" s="7">
        <v>20000</v>
      </c>
      <c r="K662" s="7">
        <v>83750</v>
      </c>
      <c r="L662" t="s">
        <v>884</v>
      </c>
      <c r="M662" t="s">
        <v>881</v>
      </c>
      <c r="N662" t="s">
        <v>875</v>
      </c>
      <c r="O662" t="s">
        <v>887</v>
      </c>
      <c r="P662" t="s">
        <v>877</v>
      </c>
      <c r="Q662" s="7">
        <v>63750</v>
      </c>
    </row>
    <row r="663" spans="1:17">
      <c r="A663" t="s">
        <v>1558</v>
      </c>
      <c r="B663" s="6">
        <v>45674</v>
      </c>
      <c r="C663" t="s">
        <v>668</v>
      </c>
      <c r="D663" t="s">
        <v>813</v>
      </c>
      <c r="E663">
        <v>1</v>
      </c>
      <c r="F663" s="7">
        <v>35000</v>
      </c>
      <c r="G663" s="7">
        <v>35000</v>
      </c>
      <c r="H663" t="s">
        <v>883</v>
      </c>
      <c r="I663" s="7">
        <v>3500</v>
      </c>
      <c r="J663" s="7">
        <v>30000</v>
      </c>
      <c r="K663" s="7">
        <v>61500</v>
      </c>
      <c r="L663" t="s">
        <v>884</v>
      </c>
      <c r="M663" t="s">
        <v>901</v>
      </c>
      <c r="N663" t="s">
        <v>875</v>
      </c>
      <c r="O663" t="s">
        <v>908</v>
      </c>
      <c r="P663" t="s">
        <v>877</v>
      </c>
      <c r="Q663" s="7">
        <v>31500</v>
      </c>
    </row>
    <row r="664" spans="1:17">
      <c r="A664" t="s">
        <v>1559</v>
      </c>
      <c r="B664" s="6">
        <v>45789</v>
      </c>
      <c r="C664" t="s">
        <v>412</v>
      </c>
      <c r="D664" t="s">
        <v>795</v>
      </c>
      <c r="E664">
        <v>2</v>
      </c>
      <c r="F664" s="7">
        <v>100000</v>
      </c>
      <c r="G664" s="7">
        <v>200000</v>
      </c>
      <c r="H664" t="s">
        <v>886</v>
      </c>
      <c r="I664" s="7">
        <v>20000</v>
      </c>
      <c r="J664" s="7">
        <v>30000</v>
      </c>
      <c r="K664" s="7">
        <v>210000</v>
      </c>
      <c r="L664" t="s">
        <v>889</v>
      </c>
      <c r="M664" t="s">
        <v>874</v>
      </c>
      <c r="N664" t="s">
        <v>905</v>
      </c>
      <c r="O664" t="s">
        <v>896</v>
      </c>
      <c r="P664" t="s">
        <v>892</v>
      </c>
      <c r="Q664" s="7">
        <v>180000</v>
      </c>
    </row>
    <row r="665" spans="1:17">
      <c r="A665" t="s">
        <v>1560</v>
      </c>
      <c r="B665" s="6">
        <v>45803</v>
      </c>
      <c r="C665" t="s">
        <v>131</v>
      </c>
      <c r="D665" t="s">
        <v>773</v>
      </c>
      <c r="E665">
        <v>2</v>
      </c>
      <c r="F665" s="7">
        <v>500000</v>
      </c>
      <c r="G665" s="7">
        <v>1000000</v>
      </c>
      <c r="H665" t="s">
        <v>872</v>
      </c>
      <c r="I665" s="7">
        <v>0</v>
      </c>
      <c r="J665" s="7">
        <v>10000</v>
      </c>
      <c r="K665" s="7">
        <v>1010000</v>
      </c>
      <c r="L665" t="s">
        <v>880</v>
      </c>
      <c r="N665" t="s">
        <v>875</v>
      </c>
      <c r="O665" t="s">
        <v>896</v>
      </c>
      <c r="P665" t="s">
        <v>877</v>
      </c>
      <c r="Q665" s="7">
        <v>1000000</v>
      </c>
    </row>
    <row r="666" spans="1:17">
      <c r="A666" t="s">
        <v>1561</v>
      </c>
      <c r="B666" s="6">
        <v>45786</v>
      </c>
      <c r="C666" t="s">
        <v>688</v>
      </c>
      <c r="D666" t="s">
        <v>799</v>
      </c>
      <c r="E666">
        <v>2</v>
      </c>
      <c r="F666" s="7">
        <v>35000</v>
      </c>
      <c r="G666" s="7">
        <v>70000</v>
      </c>
      <c r="H666" t="s">
        <v>895</v>
      </c>
      <c r="I666" s="7">
        <v>10500</v>
      </c>
      <c r="J666" s="7">
        <v>20000</v>
      </c>
      <c r="K666" s="7">
        <v>79500</v>
      </c>
      <c r="L666" t="s">
        <v>889</v>
      </c>
      <c r="M666" t="s">
        <v>874</v>
      </c>
      <c r="N666" t="s">
        <v>875</v>
      </c>
      <c r="O666" t="s">
        <v>896</v>
      </c>
      <c r="P666" t="s">
        <v>877</v>
      </c>
      <c r="Q666" s="7">
        <v>59500</v>
      </c>
    </row>
    <row r="667" spans="1:17">
      <c r="A667" t="s">
        <v>1562</v>
      </c>
      <c r="B667" s="6">
        <v>45766</v>
      </c>
      <c r="C667" t="s">
        <v>170</v>
      </c>
      <c r="D667" t="s">
        <v>775</v>
      </c>
      <c r="E667">
        <v>1</v>
      </c>
      <c r="F667" s="7">
        <v>75000</v>
      </c>
      <c r="G667" s="7">
        <v>75000</v>
      </c>
      <c r="H667" t="s">
        <v>872</v>
      </c>
      <c r="I667" s="7">
        <v>0</v>
      </c>
      <c r="J667" s="7">
        <v>20000</v>
      </c>
      <c r="K667" s="7">
        <v>95000</v>
      </c>
      <c r="L667" t="s">
        <v>873</v>
      </c>
      <c r="M667" t="s">
        <v>903</v>
      </c>
      <c r="N667" t="s">
        <v>875</v>
      </c>
      <c r="O667" t="s">
        <v>891</v>
      </c>
      <c r="P667" t="s">
        <v>877</v>
      </c>
      <c r="Q667" s="7">
        <v>75000</v>
      </c>
    </row>
    <row r="668" spans="1:17">
      <c r="A668" t="s">
        <v>1563</v>
      </c>
      <c r="B668" s="6">
        <v>45753</v>
      </c>
      <c r="C668" t="s">
        <v>224</v>
      </c>
      <c r="D668" t="s">
        <v>855</v>
      </c>
      <c r="E668">
        <v>3</v>
      </c>
      <c r="F668" s="7">
        <v>150000</v>
      </c>
      <c r="G668" s="7">
        <v>450000</v>
      </c>
      <c r="H668" t="s">
        <v>895</v>
      </c>
      <c r="I668" s="7">
        <v>67500</v>
      </c>
      <c r="J668" s="7">
        <v>20000</v>
      </c>
      <c r="K668" s="7">
        <v>402500</v>
      </c>
      <c r="L668" t="s">
        <v>880</v>
      </c>
      <c r="M668" t="s">
        <v>881</v>
      </c>
      <c r="N668" t="s">
        <v>875</v>
      </c>
      <c r="O668" t="s">
        <v>891</v>
      </c>
      <c r="P668" t="s">
        <v>877</v>
      </c>
      <c r="Q668" s="7">
        <v>382500</v>
      </c>
    </row>
    <row r="669" spans="1:17">
      <c r="A669" t="s">
        <v>1564</v>
      </c>
      <c r="B669" s="6">
        <v>45824</v>
      </c>
      <c r="C669" t="s">
        <v>182</v>
      </c>
      <c r="D669" t="s">
        <v>823</v>
      </c>
      <c r="E669">
        <v>3</v>
      </c>
      <c r="F669" s="7">
        <v>500000</v>
      </c>
      <c r="G669" s="7">
        <v>1500000</v>
      </c>
      <c r="H669" t="s">
        <v>872</v>
      </c>
      <c r="I669" s="7">
        <v>0</v>
      </c>
      <c r="J669" s="7">
        <v>20000</v>
      </c>
      <c r="K669" s="7">
        <v>1520000</v>
      </c>
      <c r="L669" t="s">
        <v>873</v>
      </c>
      <c r="M669" t="s">
        <v>874</v>
      </c>
      <c r="N669" t="s">
        <v>911</v>
      </c>
      <c r="O669" t="s">
        <v>915</v>
      </c>
      <c r="P669" t="s">
        <v>892</v>
      </c>
      <c r="Q669" s="7">
        <v>1500000</v>
      </c>
    </row>
    <row r="670" spans="1:17">
      <c r="A670" t="s">
        <v>1565</v>
      </c>
      <c r="B670" s="6">
        <v>45794</v>
      </c>
      <c r="C670" t="s">
        <v>420</v>
      </c>
      <c r="D670" t="s">
        <v>827</v>
      </c>
      <c r="E670">
        <v>4</v>
      </c>
      <c r="F670" s="7">
        <v>100000</v>
      </c>
      <c r="G670" s="7">
        <v>400000</v>
      </c>
      <c r="H670" t="s">
        <v>872</v>
      </c>
      <c r="I670" s="7">
        <v>0</v>
      </c>
      <c r="J670" s="7">
        <v>25000</v>
      </c>
      <c r="K670" s="7">
        <v>425000</v>
      </c>
      <c r="L670" t="s">
        <v>884</v>
      </c>
      <c r="M670" t="s">
        <v>903</v>
      </c>
      <c r="N670" t="s">
        <v>875</v>
      </c>
      <c r="O670" t="s">
        <v>896</v>
      </c>
      <c r="P670" t="s">
        <v>877</v>
      </c>
      <c r="Q670" s="7">
        <v>400000</v>
      </c>
    </row>
    <row r="671" spans="1:17">
      <c r="A671" t="s">
        <v>1566</v>
      </c>
      <c r="B671" s="6">
        <v>45824</v>
      </c>
      <c r="C671" t="s">
        <v>426</v>
      </c>
      <c r="D671" t="s">
        <v>729</v>
      </c>
      <c r="E671">
        <v>1</v>
      </c>
      <c r="F671" s="7">
        <v>100000</v>
      </c>
      <c r="G671" s="7">
        <v>100000</v>
      </c>
      <c r="H671" t="s">
        <v>895</v>
      </c>
      <c r="I671" s="7">
        <v>15000</v>
      </c>
      <c r="J671" s="7">
        <v>25000</v>
      </c>
      <c r="K671" s="7">
        <v>110000</v>
      </c>
      <c r="L671" t="s">
        <v>884</v>
      </c>
      <c r="M671" t="s">
        <v>874</v>
      </c>
      <c r="N671" t="s">
        <v>875</v>
      </c>
      <c r="O671" t="s">
        <v>915</v>
      </c>
      <c r="P671" t="s">
        <v>877</v>
      </c>
      <c r="Q671" s="7">
        <v>85000</v>
      </c>
    </row>
    <row r="672" spans="1:17">
      <c r="A672" t="s">
        <v>1567</v>
      </c>
      <c r="B672" s="6">
        <v>45745</v>
      </c>
      <c r="C672" t="s">
        <v>452</v>
      </c>
      <c r="D672" t="s">
        <v>725</v>
      </c>
      <c r="E672">
        <v>4</v>
      </c>
      <c r="F672" s="7">
        <v>300000</v>
      </c>
      <c r="G672" s="7">
        <v>1200000</v>
      </c>
      <c r="H672" t="s">
        <v>895</v>
      </c>
      <c r="I672" s="7">
        <v>180000</v>
      </c>
      <c r="J672" s="7">
        <v>15000</v>
      </c>
      <c r="K672" s="7">
        <v>1035000</v>
      </c>
      <c r="L672" t="s">
        <v>884</v>
      </c>
      <c r="M672" t="s">
        <v>901</v>
      </c>
      <c r="N672" t="s">
        <v>875</v>
      </c>
      <c r="O672" t="s">
        <v>876</v>
      </c>
      <c r="P672" t="s">
        <v>877</v>
      </c>
      <c r="Q672" s="7">
        <v>1020000</v>
      </c>
    </row>
    <row r="673" spans="1:17">
      <c r="A673" t="s">
        <v>1568</v>
      </c>
      <c r="B673" s="6">
        <v>45759</v>
      </c>
      <c r="C673" t="s">
        <v>310</v>
      </c>
      <c r="D673" t="s">
        <v>729</v>
      </c>
      <c r="E673">
        <v>1</v>
      </c>
      <c r="F673" s="7">
        <v>100000</v>
      </c>
      <c r="G673" s="7">
        <v>100000</v>
      </c>
      <c r="H673" t="s">
        <v>872</v>
      </c>
      <c r="I673" s="7">
        <v>0</v>
      </c>
      <c r="J673" s="7">
        <v>10000</v>
      </c>
      <c r="K673" s="7">
        <v>110000</v>
      </c>
      <c r="L673" t="s">
        <v>873</v>
      </c>
      <c r="M673" t="s">
        <v>901</v>
      </c>
      <c r="N673" t="s">
        <v>875</v>
      </c>
      <c r="O673" t="s">
        <v>891</v>
      </c>
      <c r="P673" t="s">
        <v>877</v>
      </c>
      <c r="Q673" s="7">
        <v>100000</v>
      </c>
    </row>
    <row r="674" spans="1:17">
      <c r="A674" t="s">
        <v>1569</v>
      </c>
      <c r="B674" s="6">
        <v>45776</v>
      </c>
      <c r="C674" t="s">
        <v>342</v>
      </c>
      <c r="D674" t="s">
        <v>745</v>
      </c>
      <c r="E674">
        <v>1</v>
      </c>
      <c r="F674" s="7">
        <v>500000</v>
      </c>
      <c r="G674" s="7">
        <v>500000</v>
      </c>
      <c r="H674" t="s">
        <v>872</v>
      </c>
      <c r="I674" s="7">
        <v>0</v>
      </c>
      <c r="J674" s="7">
        <v>15000</v>
      </c>
      <c r="K674" s="7">
        <v>515000</v>
      </c>
      <c r="L674" t="s">
        <v>873</v>
      </c>
      <c r="M674" t="s">
        <v>903</v>
      </c>
      <c r="N674" t="s">
        <v>875</v>
      </c>
      <c r="O674" t="s">
        <v>891</v>
      </c>
      <c r="P674" t="s">
        <v>877</v>
      </c>
      <c r="Q674" s="7">
        <v>500000</v>
      </c>
    </row>
    <row r="675" spans="1:17">
      <c r="A675" t="s">
        <v>1570</v>
      </c>
      <c r="B675" s="6">
        <v>45758</v>
      </c>
      <c r="C675" t="s">
        <v>13</v>
      </c>
      <c r="D675" t="s">
        <v>779</v>
      </c>
      <c r="E675">
        <v>3</v>
      </c>
      <c r="F675" s="7">
        <v>150000</v>
      </c>
      <c r="G675" s="7">
        <v>450000</v>
      </c>
      <c r="H675" t="s">
        <v>886</v>
      </c>
      <c r="I675" s="7">
        <v>45000</v>
      </c>
      <c r="J675" s="7">
        <v>10000</v>
      </c>
      <c r="K675" s="7">
        <v>415000</v>
      </c>
      <c r="L675" t="s">
        <v>889</v>
      </c>
      <c r="M675" t="s">
        <v>874</v>
      </c>
      <c r="N675" t="s">
        <v>921</v>
      </c>
      <c r="O675" t="s">
        <v>891</v>
      </c>
      <c r="P675" t="s">
        <v>892</v>
      </c>
      <c r="Q675" s="7">
        <v>405000</v>
      </c>
    </row>
    <row r="676" spans="1:17">
      <c r="A676" t="s">
        <v>1571</v>
      </c>
      <c r="B676" s="6">
        <v>45664</v>
      </c>
      <c r="C676" t="s">
        <v>556</v>
      </c>
      <c r="D676" t="s">
        <v>847</v>
      </c>
      <c r="E676">
        <v>1</v>
      </c>
      <c r="F676" s="7">
        <v>100000</v>
      </c>
      <c r="G676" s="7">
        <v>100000</v>
      </c>
      <c r="H676" t="s">
        <v>872</v>
      </c>
      <c r="I676" s="7">
        <v>0</v>
      </c>
      <c r="J676" s="7">
        <v>20000</v>
      </c>
      <c r="K676" s="7">
        <v>120000</v>
      </c>
      <c r="L676" t="s">
        <v>884</v>
      </c>
      <c r="M676" t="s">
        <v>901</v>
      </c>
      <c r="N676" t="s">
        <v>875</v>
      </c>
      <c r="O676" t="s">
        <v>908</v>
      </c>
      <c r="P676" t="s">
        <v>877</v>
      </c>
      <c r="Q676" s="7">
        <v>100000</v>
      </c>
    </row>
    <row r="677" spans="1:17">
      <c r="A677" t="s">
        <v>1572</v>
      </c>
      <c r="B677" s="6">
        <v>45726</v>
      </c>
      <c r="C677" t="s">
        <v>456</v>
      </c>
      <c r="D677" t="s">
        <v>761</v>
      </c>
      <c r="E677">
        <v>1</v>
      </c>
      <c r="F677" s="7">
        <v>75000</v>
      </c>
      <c r="G677" s="7">
        <v>75000</v>
      </c>
      <c r="H677" t="s">
        <v>879</v>
      </c>
      <c r="I677" s="7">
        <v>15000</v>
      </c>
      <c r="J677" s="7">
        <v>20000</v>
      </c>
      <c r="K677" s="7">
        <v>80000</v>
      </c>
      <c r="L677" t="s">
        <v>880</v>
      </c>
      <c r="M677" t="s">
        <v>874</v>
      </c>
      <c r="N677" t="s">
        <v>875</v>
      </c>
      <c r="O677" t="s">
        <v>876</v>
      </c>
      <c r="P677" t="s">
        <v>877</v>
      </c>
      <c r="Q677" s="7">
        <v>60000</v>
      </c>
    </row>
    <row r="678" spans="1:17">
      <c r="A678" t="s">
        <v>1573</v>
      </c>
      <c r="B678" s="6">
        <v>45725</v>
      </c>
      <c r="C678" t="s">
        <v>354</v>
      </c>
      <c r="D678" t="s">
        <v>831</v>
      </c>
      <c r="E678">
        <v>3</v>
      </c>
      <c r="F678" s="7">
        <v>300000</v>
      </c>
      <c r="G678" s="7">
        <v>900000</v>
      </c>
      <c r="H678" t="s">
        <v>895</v>
      </c>
      <c r="I678" s="7">
        <v>135000</v>
      </c>
      <c r="J678" s="7">
        <v>25000</v>
      </c>
      <c r="K678" s="7">
        <v>790000</v>
      </c>
      <c r="L678" t="s">
        <v>884</v>
      </c>
      <c r="M678" t="s">
        <v>901</v>
      </c>
      <c r="N678" t="s">
        <v>875</v>
      </c>
      <c r="O678" t="s">
        <v>876</v>
      </c>
      <c r="P678" t="s">
        <v>877</v>
      </c>
      <c r="Q678" s="7">
        <v>765000</v>
      </c>
    </row>
    <row r="679" spans="1:17">
      <c r="A679" t="s">
        <v>1574</v>
      </c>
      <c r="B679" s="6">
        <v>45703</v>
      </c>
      <c r="C679" t="s">
        <v>686</v>
      </c>
      <c r="D679" t="s">
        <v>761</v>
      </c>
      <c r="E679">
        <v>1</v>
      </c>
      <c r="F679" s="7">
        <v>75000</v>
      </c>
      <c r="G679" s="7">
        <v>75000</v>
      </c>
      <c r="H679" t="s">
        <v>872</v>
      </c>
      <c r="I679" s="7">
        <v>0</v>
      </c>
      <c r="J679" s="7">
        <v>10000</v>
      </c>
      <c r="K679" s="7">
        <v>85000</v>
      </c>
      <c r="L679" t="s">
        <v>889</v>
      </c>
      <c r="M679" t="s">
        <v>901</v>
      </c>
      <c r="N679" t="s">
        <v>875</v>
      </c>
      <c r="O679" t="s">
        <v>887</v>
      </c>
      <c r="P679" t="s">
        <v>877</v>
      </c>
      <c r="Q679" s="7">
        <v>75000</v>
      </c>
    </row>
    <row r="680" spans="1:17">
      <c r="A680" t="s">
        <v>1575</v>
      </c>
      <c r="B680" s="6">
        <v>45659</v>
      </c>
      <c r="C680" t="s">
        <v>516</v>
      </c>
      <c r="D680" t="s">
        <v>761</v>
      </c>
      <c r="E680">
        <v>2</v>
      </c>
      <c r="F680" s="7">
        <v>75000</v>
      </c>
      <c r="G680" s="7">
        <v>150000</v>
      </c>
      <c r="H680" t="s">
        <v>895</v>
      </c>
      <c r="I680" s="7">
        <v>22500</v>
      </c>
      <c r="J680" s="7">
        <v>20000</v>
      </c>
      <c r="K680" s="7">
        <v>147500</v>
      </c>
      <c r="L680" t="s">
        <v>889</v>
      </c>
      <c r="M680" t="s">
        <v>881</v>
      </c>
      <c r="N680" t="s">
        <v>875</v>
      </c>
      <c r="O680" t="s">
        <v>908</v>
      </c>
      <c r="P680" t="s">
        <v>877</v>
      </c>
      <c r="Q680" s="7">
        <v>127500</v>
      </c>
    </row>
    <row r="681" spans="1:17">
      <c r="A681" t="s">
        <v>1576</v>
      </c>
      <c r="B681" s="6">
        <v>45724</v>
      </c>
      <c r="C681" t="s">
        <v>472</v>
      </c>
      <c r="D681" t="s">
        <v>855</v>
      </c>
      <c r="E681">
        <v>1</v>
      </c>
      <c r="F681" s="7">
        <v>150000</v>
      </c>
      <c r="G681" s="7">
        <v>150000</v>
      </c>
      <c r="H681" t="s">
        <v>879</v>
      </c>
      <c r="I681" s="7">
        <v>30000</v>
      </c>
      <c r="J681" s="7">
        <v>10000</v>
      </c>
      <c r="K681" s="7">
        <v>130000</v>
      </c>
      <c r="L681" t="s">
        <v>880</v>
      </c>
      <c r="M681" t="s">
        <v>881</v>
      </c>
      <c r="N681" t="s">
        <v>921</v>
      </c>
      <c r="O681" t="s">
        <v>876</v>
      </c>
      <c r="P681" t="s">
        <v>892</v>
      </c>
      <c r="Q681" s="7">
        <v>120000</v>
      </c>
    </row>
    <row r="682" spans="1:17">
      <c r="A682" t="s">
        <v>1577</v>
      </c>
      <c r="B682" s="6">
        <v>45714</v>
      </c>
      <c r="C682" t="s">
        <v>380</v>
      </c>
      <c r="D682" t="s">
        <v>825</v>
      </c>
      <c r="E682">
        <v>2</v>
      </c>
      <c r="F682" s="7">
        <v>100000</v>
      </c>
      <c r="G682" s="7">
        <v>200000</v>
      </c>
      <c r="H682" t="s">
        <v>895</v>
      </c>
      <c r="I682" s="7">
        <v>30000</v>
      </c>
      <c r="J682" s="7">
        <v>30000</v>
      </c>
      <c r="K682" s="7">
        <v>200000</v>
      </c>
      <c r="L682" t="s">
        <v>884</v>
      </c>
      <c r="M682" t="s">
        <v>901</v>
      </c>
      <c r="N682" t="s">
        <v>875</v>
      </c>
      <c r="O682" t="s">
        <v>887</v>
      </c>
      <c r="P682" t="s">
        <v>877</v>
      </c>
      <c r="Q682" s="7">
        <v>170000</v>
      </c>
    </row>
    <row r="683" spans="1:17">
      <c r="A683" t="s">
        <v>1578</v>
      </c>
      <c r="B683" s="6">
        <v>45692</v>
      </c>
      <c r="C683" t="s">
        <v>536</v>
      </c>
      <c r="D683" t="s">
        <v>847</v>
      </c>
      <c r="E683">
        <v>2</v>
      </c>
      <c r="F683" s="7">
        <v>100000</v>
      </c>
      <c r="G683" s="7">
        <v>200000</v>
      </c>
      <c r="H683" t="s">
        <v>886</v>
      </c>
      <c r="I683" s="7">
        <v>20000</v>
      </c>
      <c r="J683" s="7">
        <v>15000</v>
      </c>
      <c r="K683" s="7">
        <v>195000</v>
      </c>
      <c r="L683" t="s">
        <v>873</v>
      </c>
      <c r="M683" t="s">
        <v>901</v>
      </c>
      <c r="N683" t="s">
        <v>875</v>
      </c>
      <c r="O683" t="s">
        <v>887</v>
      </c>
      <c r="P683" t="s">
        <v>877</v>
      </c>
      <c r="Q683" s="7">
        <v>180000</v>
      </c>
    </row>
    <row r="684" spans="1:17">
      <c r="A684" t="s">
        <v>1579</v>
      </c>
      <c r="B684" s="6">
        <v>45773</v>
      </c>
      <c r="C684" t="s">
        <v>342</v>
      </c>
      <c r="D684" t="s">
        <v>733</v>
      </c>
      <c r="E684">
        <v>4</v>
      </c>
      <c r="F684" s="7">
        <v>150000</v>
      </c>
      <c r="G684" s="7">
        <v>600000</v>
      </c>
      <c r="H684" t="s">
        <v>879</v>
      </c>
      <c r="I684" s="7">
        <v>120000</v>
      </c>
      <c r="J684" s="7">
        <v>25000</v>
      </c>
      <c r="K684" s="7">
        <v>505000</v>
      </c>
      <c r="L684" t="s">
        <v>884</v>
      </c>
      <c r="M684" t="s">
        <v>903</v>
      </c>
      <c r="N684" t="s">
        <v>875</v>
      </c>
      <c r="O684" t="s">
        <v>891</v>
      </c>
      <c r="P684" t="s">
        <v>877</v>
      </c>
      <c r="Q684" s="7">
        <v>480000</v>
      </c>
    </row>
    <row r="685" spans="1:17">
      <c r="A685" t="s">
        <v>1580</v>
      </c>
      <c r="B685" s="6">
        <v>45835</v>
      </c>
      <c r="C685" t="s">
        <v>416</v>
      </c>
      <c r="D685" t="s">
        <v>813</v>
      </c>
      <c r="E685">
        <v>1</v>
      </c>
      <c r="F685" s="7">
        <v>35000</v>
      </c>
      <c r="G685" s="7">
        <v>35000</v>
      </c>
      <c r="H685" t="s">
        <v>872</v>
      </c>
      <c r="I685" s="7">
        <v>0</v>
      </c>
      <c r="J685" s="7">
        <v>15000</v>
      </c>
      <c r="K685" s="7">
        <v>50000</v>
      </c>
      <c r="L685" t="s">
        <v>889</v>
      </c>
      <c r="M685" t="s">
        <v>881</v>
      </c>
      <c r="N685" t="s">
        <v>875</v>
      </c>
      <c r="O685" t="s">
        <v>915</v>
      </c>
      <c r="P685" t="s">
        <v>877</v>
      </c>
      <c r="Q685" s="7">
        <v>35000</v>
      </c>
    </row>
    <row r="686" spans="1:17">
      <c r="A686" t="s">
        <v>1581</v>
      </c>
      <c r="B686" s="6">
        <v>45741</v>
      </c>
      <c r="C686" t="s">
        <v>196</v>
      </c>
      <c r="D686" t="s">
        <v>765</v>
      </c>
      <c r="E686">
        <v>2</v>
      </c>
      <c r="F686" s="7">
        <v>500000</v>
      </c>
      <c r="G686" s="7">
        <v>1000000</v>
      </c>
      <c r="H686" t="s">
        <v>886</v>
      </c>
      <c r="I686" s="7">
        <v>100000</v>
      </c>
      <c r="J686" s="7">
        <v>15000</v>
      </c>
      <c r="K686" s="7">
        <v>915000</v>
      </c>
      <c r="L686" t="s">
        <v>884</v>
      </c>
      <c r="M686" t="s">
        <v>901</v>
      </c>
      <c r="N686" t="s">
        <v>875</v>
      </c>
      <c r="O686" t="s">
        <v>876</v>
      </c>
      <c r="P686" t="s">
        <v>877</v>
      </c>
      <c r="Q686" s="7">
        <v>900000</v>
      </c>
    </row>
    <row r="687" spans="1:17">
      <c r="A687" t="s">
        <v>1582</v>
      </c>
      <c r="B687" s="6">
        <v>45790</v>
      </c>
      <c r="C687" t="s">
        <v>566</v>
      </c>
      <c r="D687" t="s">
        <v>811</v>
      </c>
      <c r="E687">
        <v>3</v>
      </c>
      <c r="F687" s="7">
        <v>35000</v>
      </c>
      <c r="G687" s="7">
        <v>105000</v>
      </c>
      <c r="H687" t="s">
        <v>872</v>
      </c>
      <c r="I687" s="7">
        <v>0</v>
      </c>
      <c r="J687" s="7">
        <v>15000</v>
      </c>
      <c r="K687" s="7">
        <v>120000</v>
      </c>
      <c r="L687" t="s">
        <v>884</v>
      </c>
      <c r="M687" t="s">
        <v>881</v>
      </c>
      <c r="N687" t="s">
        <v>875</v>
      </c>
      <c r="O687" t="s">
        <v>896</v>
      </c>
      <c r="P687" t="s">
        <v>877</v>
      </c>
      <c r="Q687" s="7">
        <v>105000</v>
      </c>
    </row>
    <row r="688" spans="1:17">
      <c r="A688" t="s">
        <v>1583</v>
      </c>
      <c r="B688" s="6">
        <v>45780</v>
      </c>
      <c r="C688" t="s">
        <v>370</v>
      </c>
      <c r="D688" t="s">
        <v>823</v>
      </c>
      <c r="E688">
        <v>1</v>
      </c>
      <c r="F688" s="7">
        <v>500000</v>
      </c>
      <c r="G688" s="7">
        <v>500000</v>
      </c>
      <c r="H688" t="s">
        <v>872</v>
      </c>
      <c r="I688" s="7">
        <v>0</v>
      </c>
      <c r="J688" s="7">
        <v>25000</v>
      </c>
      <c r="K688" s="7">
        <v>525000</v>
      </c>
      <c r="L688" t="s">
        <v>889</v>
      </c>
      <c r="M688" t="s">
        <v>903</v>
      </c>
      <c r="N688" t="s">
        <v>875</v>
      </c>
      <c r="O688" t="s">
        <v>896</v>
      </c>
      <c r="P688" t="s">
        <v>877</v>
      </c>
      <c r="Q688" s="7">
        <v>500000</v>
      </c>
    </row>
    <row r="689" spans="1:17">
      <c r="A689" t="s">
        <v>1584</v>
      </c>
      <c r="B689" s="6">
        <v>45659</v>
      </c>
      <c r="C689" t="s">
        <v>718</v>
      </c>
      <c r="D689" t="s">
        <v>761</v>
      </c>
      <c r="E689">
        <v>1</v>
      </c>
      <c r="F689" s="7">
        <v>75000</v>
      </c>
      <c r="G689" s="7">
        <v>75000</v>
      </c>
      <c r="H689" t="s">
        <v>883</v>
      </c>
      <c r="I689" s="7">
        <v>7500</v>
      </c>
      <c r="J689" s="7">
        <v>30000</v>
      </c>
      <c r="K689" s="7">
        <v>97500</v>
      </c>
      <c r="L689" t="s">
        <v>880</v>
      </c>
      <c r="M689" t="s">
        <v>874</v>
      </c>
      <c r="N689" t="s">
        <v>875</v>
      </c>
      <c r="O689" t="s">
        <v>908</v>
      </c>
      <c r="P689" t="s">
        <v>877</v>
      </c>
      <c r="Q689" s="7">
        <v>67500</v>
      </c>
    </row>
    <row r="690" spans="1:17">
      <c r="A690" t="s">
        <v>1585</v>
      </c>
      <c r="B690" s="6">
        <v>45805</v>
      </c>
      <c r="C690" t="s">
        <v>578</v>
      </c>
      <c r="D690" t="s">
        <v>789</v>
      </c>
      <c r="E690">
        <v>3</v>
      </c>
      <c r="F690" s="7">
        <v>200000</v>
      </c>
      <c r="G690" s="7">
        <v>600000</v>
      </c>
      <c r="H690" t="s">
        <v>872</v>
      </c>
      <c r="I690" s="7">
        <v>0</v>
      </c>
      <c r="J690" s="7">
        <v>30000</v>
      </c>
      <c r="K690" s="7">
        <v>630000</v>
      </c>
      <c r="L690" t="s">
        <v>889</v>
      </c>
      <c r="M690" t="s">
        <v>874</v>
      </c>
      <c r="N690" t="s">
        <v>875</v>
      </c>
      <c r="O690" t="s">
        <v>896</v>
      </c>
      <c r="P690" t="s">
        <v>877</v>
      </c>
      <c r="Q690" s="7">
        <v>600000</v>
      </c>
    </row>
    <row r="691" spans="1:17">
      <c r="A691" t="s">
        <v>1586</v>
      </c>
      <c r="B691" s="6">
        <v>45695</v>
      </c>
      <c r="C691" t="s">
        <v>470</v>
      </c>
      <c r="D691" t="s">
        <v>841</v>
      </c>
      <c r="E691">
        <v>4</v>
      </c>
      <c r="F691" s="7">
        <v>75000</v>
      </c>
      <c r="G691" s="7">
        <v>300000</v>
      </c>
      <c r="H691" t="s">
        <v>895</v>
      </c>
      <c r="I691" s="7">
        <v>45000</v>
      </c>
      <c r="J691" s="7">
        <v>30000</v>
      </c>
      <c r="K691" s="7">
        <v>285000</v>
      </c>
      <c r="L691" t="s">
        <v>884</v>
      </c>
      <c r="M691" t="s">
        <v>881</v>
      </c>
      <c r="N691" t="s">
        <v>875</v>
      </c>
      <c r="O691" t="s">
        <v>887</v>
      </c>
      <c r="P691" t="s">
        <v>877</v>
      </c>
      <c r="Q691" s="7">
        <v>255000</v>
      </c>
    </row>
    <row r="692" spans="1:17">
      <c r="A692" t="s">
        <v>1587</v>
      </c>
      <c r="B692" s="6">
        <v>45782</v>
      </c>
      <c r="C692" t="s">
        <v>376</v>
      </c>
      <c r="D692" t="s">
        <v>813</v>
      </c>
      <c r="E692">
        <v>2</v>
      </c>
      <c r="F692" s="7">
        <v>35000</v>
      </c>
      <c r="G692" s="7">
        <v>70000</v>
      </c>
      <c r="H692" t="s">
        <v>879</v>
      </c>
      <c r="I692" s="7">
        <v>14000</v>
      </c>
      <c r="J692" s="7">
        <v>10000</v>
      </c>
      <c r="K692" s="7">
        <v>66000</v>
      </c>
      <c r="L692" t="s">
        <v>873</v>
      </c>
      <c r="M692" t="s">
        <v>901</v>
      </c>
      <c r="N692" t="s">
        <v>875</v>
      </c>
      <c r="O692" t="s">
        <v>896</v>
      </c>
      <c r="P692" t="s">
        <v>877</v>
      </c>
      <c r="Q692" s="7">
        <v>56000</v>
      </c>
    </row>
    <row r="693" spans="1:17">
      <c r="A693" t="s">
        <v>1588</v>
      </c>
      <c r="B693" s="6">
        <v>45759</v>
      </c>
      <c r="C693" t="s">
        <v>424</v>
      </c>
      <c r="D693" t="s">
        <v>789</v>
      </c>
      <c r="E693">
        <v>1</v>
      </c>
      <c r="F693" s="7">
        <v>200000</v>
      </c>
      <c r="G693" s="7">
        <v>200000</v>
      </c>
      <c r="H693" t="s">
        <v>872</v>
      </c>
      <c r="I693" s="7">
        <v>0</v>
      </c>
      <c r="J693" s="7">
        <v>25000</v>
      </c>
      <c r="K693" s="7">
        <v>225000</v>
      </c>
      <c r="L693" t="s">
        <v>880</v>
      </c>
      <c r="M693" t="s">
        <v>903</v>
      </c>
      <c r="N693" t="s">
        <v>905</v>
      </c>
      <c r="O693" t="s">
        <v>891</v>
      </c>
      <c r="P693" t="s">
        <v>892</v>
      </c>
      <c r="Q693" s="7">
        <v>200000</v>
      </c>
    </row>
    <row r="694" spans="1:17">
      <c r="A694" t="s">
        <v>1589</v>
      </c>
      <c r="B694" s="6">
        <v>45768</v>
      </c>
      <c r="C694" t="s">
        <v>694</v>
      </c>
      <c r="D694" t="s">
        <v>853</v>
      </c>
      <c r="E694">
        <v>1</v>
      </c>
      <c r="F694" s="7">
        <v>75000</v>
      </c>
      <c r="G694" s="7">
        <v>75000</v>
      </c>
      <c r="H694" t="s">
        <v>879</v>
      </c>
      <c r="I694" s="7">
        <v>15000</v>
      </c>
      <c r="J694" s="7">
        <v>10000</v>
      </c>
      <c r="K694" s="7">
        <v>70000</v>
      </c>
      <c r="L694" t="s">
        <v>884</v>
      </c>
      <c r="M694" t="s">
        <v>874</v>
      </c>
      <c r="N694" t="s">
        <v>875</v>
      </c>
      <c r="O694" t="s">
        <v>891</v>
      </c>
      <c r="P694" t="s">
        <v>877</v>
      </c>
      <c r="Q694" s="7">
        <v>60000</v>
      </c>
    </row>
    <row r="695" spans="1:17">
      <c r="A695" t="s">
        <v>1590</v>
      </c>
      <c r="B695" s="6">
        <v>45700</v>
      </c>
      <c r="C695" t="s">
        <v>186</v>
      </c>
      <c r="D695" t="s">
        <v>733</v>
      </c>
      <c r="E695">
        <v>4</v>
      </c>
      <c r="F695" s="7">
        <v>150000</v>
      </c>
      <c r="G695" s="7">
        <v>600000</v>
      </c>
      <c r="H695" t="s">
        <v>886</v>
      </c>
      <c r="I695" s="7">
        <v>60000</v>
      </c>
      <c r="J695" s="7">
        <v>15000</v>
      </c>
      <c r="K695" s="7">
        <v>555000</v>
      </c>
      <c r="L695" t="s">
        <v>880</v>
      </c>
      <c r="M695" t="s">
        <v>874</v>
      </c>
      <c r="N695" t="s">
        <v>875</v>
      </c>
      <c r="O695" t="s">
        <v>887</v>
      </c>
      <c r="P695" t="s">
        <v>877</v>
      </c>
      <c r="Q695" s="7">
        <v>540000</v>
      </c>
    </row>
    <row r="696" spans="1:17">
      <c r="A696" t="s">
        <v>1591</v>
      </c>
      <c r="B696" s="6">
        <v>45726</v>
      </c>
      <c r="C696" t="s">
        <v>548</v>
      </c>
      <c r="D696" t="s">
        <v>729</v>
      </c>
      <c r="E696">
        <v>1</v>
      </c>
      <c r="F696" s="7">
        <v>100000</v>
      </c>
      <c r="G696" s="7">
        <v>100000</v>
      </c>
      <c r="H696" t="s">
        <v>872</v>
      </c>
      <c r="I696" s="7">
        <v>0</v>
      </c>
      <c r="J696" s="7">
        <v>25000</v>
      </c>
      <c r="K696" s="7">
        <v>125000</v>
      </c>
      <c r="L696" t="s">
        <v>880</v>
      </c>
      <c r="M696" t="s">
        <v>903</v>
      </c>
      <c r="N696" t="s">
        <v>875</v>
      </c>
      <c r="O696" t="s">
        <v>876</v>
      </c>
      <c r="P696" t="s">
        <v>877</v>
      </c>
      <c r="Q696" s="7">
        <v>100000</v>
      </c>
    </row>
    <row r="697" spans="1:17">
      <c r="A697" t="s">
        <v>1592</v>
      </c>
      <c r="B697" s="6">
        <v>45742</v>
      </c>
      <c r="C697" t="s">
        <v>115</v>
      </c>
      <c r="D697" t="s">
        <v>829</v>
      </c>
      <c r="E697">
        <v>3</v>
      </c>
      <c r="F697" s="7">
        <v>500000</v>
      </c>
      <c r="G697" s="7">
        <v>1500000</v>
      </c>
      <c r="H697" t="s">
        <v>872</v>
      </c>
      <c r="I697" s="7">
        <v>0</v>
      </c>
      <c r="J697" s="7">
        <v>30000</v>
      </c>
      <c r="K697" s="7">
        <v>1530000</v>
      </c>
      <c r="L697" t="s">
        <v>880</v>
      </c>
      <c r="M697" t="s">
        <v>901</v>
      </c>
      <c r="N697" t="s">
        <v>911</v>
      </c>
      <c r="O697" t="s">
        <v>876</v>
      </c>
      <c r="P697" t="s">
        <v>892</v>
      </c>
      <c r="Q697" s="7">
        <v>1500000</v>
      </c>
    </row>
    <row r="698" spans="1:17">
      <c r="A698" t="s">
        <v>1593</v>
      </c>
      <c r="B698" s="6">
        <v>45747</v>
      </c>
      <c r="C698" t="s">
        <v>478</v>
      </c>
      <c r="D698" t="s">
        <v>823</v>
      </c>
      <c r="E698">
        <v>1</v>
      </c>
      <c r="F698" s="7">
        <v>500000</v>
      </c>
      <c r="G698" s="7">
        <v>500000</v>
      </c>
      <c r="H698" t="s">
        <v>872</v>
      </c>
      <c r="I698" s="7">
        <v>0</v>
      </c>
      <c r="J698" s="7">
        <v>30000</v>
      </c>
      <c r="K698" s="7">
        <v>530000</v>
      </c>
      <c r="L698" t="s">
        <v>889</v>
      </c>
      <c r="M698" t="s">
        <v>881</v>
      </c>
      <c r="N698" t="s">
        <v>875</v>
      </c>
      <c r="O698" t="s">
        <v>876</v>
      </c>
      <c r="P698" t="s">
        <v>877</v>
      </c>
      <c r="Q698" s="7">
        <v>500000</v>
      </c>
    </row>
    <row r="699" spans="1:17">
      <c r="A699" t="s">
        <v>1594</v>
      </c>
      <c r="B699" s="6">
        <v>45660</v>
      </c>
      <c r="C699" t="s">
        <v>111</v>
      </c>
      <c r="D699" t="s">
        <v>797</v>
      </c>
      <c r="E699">
        <v>2</v>
      </c>
      <c r="F699" s="7">
        <v>150000</v>
      </c>
      <c r="G699" s="7">
        <v>300000</v>
      </c>
      <c r="H699" t="s">
        <v>883</v>
      </c>
      <c r="I699" s="7">
        <v>30000</v>
      </c>
      <c r="J699" s="7">
        <v>20000</v>
      </c>
      <c r="K699" s="7">
        <v>290000</v>
      </c>
      <c r="L699" t="s">
        <v>884</v>
      </c>
      <c r="M699" t="s">
        <v>901</v>
      </c>
      <c r="N699" t="s">
        <v>875</v>
      </c>
      <c r="O699" t="s">
        <v>908</v>
      </c>
      <c r="P699" t="s">
        <v>877</v>
      </c>
      <c r="Q699" s="7">
        <v>270000</v>
      </c>
    </row>
    <row r="700" spans="1:17">
      <c r="A700" t="s">
        <v>1595</v>
      </c>
      <c r="B700" s="6">
        <v>45823</v>
      </c>
      <c r="C700" t="s">
        <v>198</v>
      </c>
      <c r="D700" t="s">
        <v>851</v>
      </c>
      <c r="E700">
        <v>3</v>
      </c>
      <c r="F700" s="7">
        <v>35000</v>
      </c>
      <c r="G700" s="7">
        <v>105000</v>
      </c>
      <c r="H700" t="s">
        <v>872</v>
      </c>
      <c r="I700" s="7">
        <v>0</v>
      </c>
      <c r="J700" s="7">
        <v>10000</v>
      </c>
      <c r="K700" s="7">
        <v>115000</v>
      </c>
      <c r="L700" t="s">
        <v>880</v>
      </c>
      <c r="M700" t="s">
        <v>881</v>
      </c>
      <c r="N700" t="s">
        <v>875</v>
      </c>
      <c r="O700" t="s">
        <v>915</v>
      </c>
      <c r="P700" t="s">
        <v>877</v>
      </c>
      <c r="Q700" s="7">
        <v>105000</v>
      </c>
    </row>
    <row r="701" spans="1:17">
      <c r="A701" t="s">
        <v>1596</v>
      </c>
      <c r="B701" s="6">
        <v>45774</v>
      </c>
      <c r="C701" t="s">
        <v>416</v>
      </c>
      <c r="D701" t="s">
        <v>811</v>
      </c>
      <c r="E701">
        <v>2</v>
      </c>
      <c r="F701" s="7">
        <v>35000</v>
      </c>
      <c r="G701" s="7">
        <v>70000</v>
      </c>
      <c r="H701" t="s">
        <v>895</v>
      </c>
      <c r="I701" s="7">
        <v>10500</v>
      </c>
      <c r="J701" s="7">
        <v>25000</v>
      </c>
      <c r="K701" s="7">
        <v>84500</v>
      </c>
      <c r="L701" t="s">
        <v>873</v>
      </c>
      <c r="M701" t="s">
        <v>901</v>
      </c>
      <c r="N701" t="s">
        <v>875</v>
      </c>
      <c r="O701" t="s">
        <v>891</v>
      </c>
      <c r="P701" t="s">
        <v>877</v>
      </c>
      <c r="Q701" s="7">
        <v>59500</v>
      </c>
    </row>
    <row r="702" spans="1:17">
      <c r="A702" t="s">
        <v>1597</v>
      </c>
      <c r="B702" s="6">
        <v>45665</v>
      </c>
      <c r="C702" t="s">
        <v>133</v>
      </c>
      <c r="D702" t="s">
        <v>827</v>
      </c>
      <c r="E702">
        <v>4</v>
      </c>
      <c r="F702" s="7">
        <v>100000</v>
      </c>
      <c r="G702" s="7">
        <v>400000</v>
      </c>
      <c r="H702" t="s">
        <v>872</v>
      </c>
      <c r="I702" s="7">
        <v>0</v>
      </c>
      <c r="J702" s="7">
        <v>15000</v>
      </c>
      <c r="K702" s="7">
        <v>415000</v>
      </c>
      <c r="L702" t="s">
        <v>884</v>
      </c>
      <c r="M702" t="s">
        <v>901</v>
      </c>
      <c r="N702" t="s">
        <v>875</v>
      </c>
      <c r="O702" t="s">
        <v>908</v>
      </c>
      <c r="P702" t="s">
        <v>877</v>
      </c>
      <c r="Q702" s="7">
        <v>400000</v>
      </c>
    </row>
    <row r="703" spans="1:17">
      <c r="A703" t="s">
        <v>1598</v>
      </c>
      <c r="B703" s="6">
        <v>45795</v>
      </c>
      <c r="C703" t="s">
        <v>588</v>
      </c>
      <c r="D703" t="s">
        <v>843</v>
      </c>
      <c r="E703">
        <v>2</v>
      </c>
      <c r="F703" s="7">
        <v>100000</v>
      </c>
      <c r="G703" s="7">
        <v>200000</v>
      </c>
      <c r="H703" t="s">
        <v>879</v>
      </c>
      <c r="I703" s="7">
        <v>40000</v>
      </c>
      <c r="J703" s="7">
        <v>10000</v>
      </c>
      <c r="K703" s="7">
        <v>170000</v>
      </c>
      <c r="L703" t="s">
        <v>889</v>
      </c>
      <c r="M703" t="s">
        <v>903</v>
      </c>
      <c r="N703" t="s">
        <v>875</v>
      </c>
      <c r="O703" t="s">
        <v>896</v>
      </c>
      <c r="P703" t="s">
        <v>877</v>
      </c>
      <c r="Q703" s="7">
        <v>160000</v>
      </c>
    </row>
    <row r="704" spans="1:17">
      <c r="A704" t="s">
        <v>1599</v>
      </c>
      <c r="B704" s="6">
        <v>45750</v>
      </c>
      <c r="C704" t="s">
        <v>690</v>
      </c>
      <c r="D704" t="s">
        <v>811</v>
      </c>
      <c r="E704">
        <v>2</v>
      </c>
      <c r="F704" s="7">
        <v>35000</v>
      </c>
      <c r="G704" s="7">
        <v>70000</v>
      </c>
      <c r="H704" t="s">
        <v>872</v>
      </c>
      <c r="I704" s="7">
        <v>0</v>
      </c>
      <c r="J704" s="7">
        <v>10000</v>
      </c>
      <c r="K704" s="7">
        <v>80000</v>
      </c>
      <c r="L704" t="s">
        <v>889</v>
      </c>
      <c r="M704" t="s">
        <v>901</v>
      </c>
      <c r="N704" t="s">
        <v>875</v>
      </c>
      <c r="O704" t="s">
        <v>891</v>
      </c>
      <c r="P704" t="s">
        <v>877</v>
      </c>
      <c r="Q704" s="7">
        <v>70000</v>
      </c>
    </row>
    <row r="705" spans="1:17">
      <c r="A705" t="s">
        <v>1600</v>
      </c>
      <c r="B705" s="6">
        <v>45748</v>
      </c>
      <c r="C705" t="s">
        <v>450</v>
      </c>
      <c r="D705" t="s">
        <v>761</v>
      </c>
      <c r="E705">
        <v>1</v>
      </c>
      <c r="F705" s="7">
        <v>75000</v>
      </c>
      <c r="G705" s="7">
        <v>75000</v>
      </c>
      <c r="H705" t="s">
        <v>886</v>
      </c>
      <c r="I705" s="7">
        <v>7500</v>
      </c>
      <c r="J705" s="7">
        <v>30000</v>
      </c>
      <c r="K705" s="7">
        <v>97500</v>
      </c>
      <c r="L705" t="s">
        <v>884</v>
      </c>
      <c r="M705" t="s">
        <v>874</v>
      </c>
      <c r="N705" t="s">
        <v>875</v>
      </c>
      <c r="O705" t="s">
        <v>891</v>
      </c>
      <c r="P705" t="s">
        <v>877</v>
      </c>
      <c r="Q705" s="7">
        <v>67500</v>
      </c>
    </row>
    <row r="706" spans="1:17">
      <c r="A706" t="s">
        <v>1601</v>
      </c>
      <c r="B706" s="6">
        <v>45790</v>
      </c>
      <c r="C706" t="s">
        <v>101</v>
      </c>
      <c r="D706" t="s">
        <v>749</v>
      </c>
      <c r="E706">
        <v>1</v>
      </c>
      <c r="F706" s="7">
        <v>150000</v>
      </c>
      <c r="G706" s="7">
        <v>150000</v>
      </c>
      <c r="H706" t="s">
        <v>872</v>
      </c>
      <c r="I706" s="7">
        <v>0</v>
      </c>
      <c r="J706" s="7">
        <v>10000</v>
      </c>
      <c r="K706" s="7">
        <v>160000</v>
      </c>
      <c r="L706" t="s">
        <v>889</v>
      </c>
      <c r="M706" t="s">
        <v>903</v>
      </c>
      <c r="N706" t="s">
        <v>875</v>
      </c>
      <c r="O706" t="s">
        <v>896</v>
      </c>
      <c r="P706" t="s">
        <v>877</v>
      </c>
      <c r="Q706" s="7">
        <v>150000</v>
      </c>
    </row>
    <row r="707" spans="1:17">
      <c r="A707" t="s">
        <v>1602</v>
      </c>
      <c r="B707" s="6">
        <v>45774</v>
      </c>
      <c r="C707" t="s">
        <v>276</v>
      </c>
      <c r="D707" t="s">
        <v>781</v>
      </c>
      <c r="E707">
        <v>1</v>
      </c>
      <c r="F707" s="7">
        <v>50000</v>
      </c>
      <c r="G707" s="7">
        <v>50000</v>
      </c>
      <c r="H707" t="s">
        <v>883</v>
      </c>
      <c r="I707" s="7">
        <v>5000</v>
      </c>
      <c r="J707" s="7">
        <v>30000</v>
      </c>
      <c r="K707" s="7">
        <v>75000</v>
      </c>
      <c r="L707" t="s">
        <v>884</v>
      </c>
      <c r="M707" t="s">
        <v>901</v>
      </c>
      <c r="N707" t="s">
        <v>875</v>
      </c>
      <c r="O707" t="s">
        <v>891</v>
      </c>
      <c r="P707" t="s">
        <v>877</v>
      </c>
      <c r="Q707" s="7">
        <v>45000</v>
      </c>
    </row>
    <row r="708" spans="1:17">
      <c r="A708" t="s">
        <v>1603</v>
      </c>
      <c r="B708" s="6">
        <v>45715</v>
      </c>
      <c r="C708" t="s">
        <v>670</v>
      </c>
      <c r="D708" t="s">
        <v>841</v>
      </c>
      <c r="E708">
        <v>1</v>
      </c>
      <c r="F708" s="7">
        <v>75000</v>
      </c>
      <c r="G708" s="7">
        <v>75000</v>
      </c>
      <c r="H708" t="s">
        <v>872</v>
      </c>
      <c r="I708" s="7">
        <v>0</v>
      </c>
      <c r="J708" s="7">
        <v>30000</v>
      </c>
      <c r="K708" s="7">
        <v>105000</v>
      </c>
      <c r="L708" t="s">
        <v>873</v>
      </c>
      <c r="M708" t="s">
        <v>903</v>
      </c>
      <c r="N708" t="s">
        <v>875</v>
      </c>
      <c r="O708" t="s">
        <v>887</v>
      </c>
      <c r="P708" t="s">
        <v>877</v>
      </c>
      <c r="Q708" s="7">
        <v>75000</v>
      </c>
    </row>
    <row r="709" spans="1:17">
      <c r="A709" t="s">
        <v>1604</v>
      </c>
      <c r="B709" s="6">
        <v>45805</v>
      </c>
      <c r="C709" t="s">
        <v>224</v>
      </c>
      <c r="D709" t="s">
        <v>783</v>
      </c>
      <c r="E709">
        <v>2</v>
      </c>
      <c r="F709" s="7">
        <v>500000</v>
      </c>
      <c r="G709" s="7">
        <v>1000000</v>
      </c>
      <c r="H709" t="s">
        <v>872</v>
      </c>
      <c r="I709" s="7">
        <v>0</v>
      </c>
      <c r="J709" s="7">
        <v>30000</v>
      </c>
      <c r="K709" s="7">
        <v>1030000</v>
      </c>
      <c r="L709" t="s">
        <v>884</v>
      </c>
      <c r="M709" t="s">
        <v>901</v>
      </c>
      <c r="N709" t="s">
        <v>875</v>
      </c>
      <c r="O709" t="s">
        <v>896</v>
      </c>
      <c r="P709" t="s">
        <v>877</v>
      </c>
      <c r="Q709" s="7">
        <v>1000000</v>
      </c>
    </row>
    <row r="710" spans="1:17">
      <c r="A710" t="s">
        <v>1605</v>
      </c>
      <c r="B710" s="6">
        <v>45762</v>
      </c>
      <c r="C710" t="s">
        <v>536</v>
      </c>
      <c r="D710" t="s">
        <v>827</v>
      </c>
      <c r="E710">
        <v>4</v>
      </c>
      <c r="F710" s="7">
        <v>100000</v>
      </c>
      <c r="G710" s="7">
        <v>400000</v>
      </c>
      <c r="H710" t="s">
        <v>872</v>
      </c>
      <c r="I710" s="7">
        <v>0</v>
      </c>
      <c r="J710" s="7">
        <v>30000</v>
      </c>
      <c r="K710" s="7">
        <v>430000</v>
      </c>
      <c r="L710" t="s">
        <v>889</v>
      </c>
      <c r="M710" t="s">
        <v>874</v>
      </c>
      <c r="N710" t="s">
        <v>875</v>
      </c>
      <c r="O710" t="s">
        <v>891</v>
      </c>
      <c r="P710" t="s">
        <v>877</v>
      </c>
      <c r="Q710" s="7">
        <v>400000</v>
      </c>
    </row>
    <row r="711" spans="1:17">
      <c r="A711" t="s">
        <v>1606</v>
      </c>
      <c r="B711" s="6">
        <v>45681</v>
      </c>
      <c r="C711" t="s">
        <v>87</v>
      </c>
      <c r="D711" t="s">
        <v>783</v>
      </c>
      <c r="E711">
        <v>2</v>
      </c>
      <c r="F711" s="7">
        <v>500000</v>
      </c>
      <c r="G711" s="7">
        <v>1000000</v>
      </c>
      <c r="H711" t="s">
        <v>886</v>
      </c>
      <c r="I711" s="7">
        <v>100000</v>
      </c>
      <c r="J711" s="7">
        <v>10000</v>
      </c>
      <c r="K711" s="7">
        <v>910000</v>
      </c>
      <c r="L711" t="s">
        <v>889</v>
      </c>
      <c r="M711" t="s">
        <v>881</v>
      </c>
      <c r="N711" t="s">
        <v>875</v>
      </c>
      <c r="O711" t="s">
        <v>908</v>
      </c>
      <c r="P711" t="s">
        <v>877</v>
      </c>
      <c r="Q711" s="7">
        <v>900000</v>
      </c>
    </row>
    <row r="712" spans="1:17">
      <c r="A712" t="s">
        <v>1607</v>
      </c>
      <c r="B712" s="6">
        <v>45668</v>
      </c>
      <c r="C712" t="s">
        <v>404</v>
      </c>
      <c r="D712" t="s">
        <v>765</v>
      </c>
      <c r="E712">
        <v>1</v>
      </c>
      <c r="F712" s="7">
        <v>500000</v>
      </c>
      <c r="G712" s="7">
        <v>500000</v>
      </c>
      <c r="H712" t="s">
        <v>872</v>
      </c>
      <c r="I712" s="7">
        <v>0</v>
      </c>
      <c r="J712" s="7">
        <v>20000</v>
      </c>
      <c r="K712" s="7">
        <v>520000</v>
      </c>
      <c r="L712" t="s">
        <v>884</v>
      </c>
      <c r="M712" t="s">
        <v>881</v>
      </c>
      <c r="N712" t="s">
        <v>875</v>
      </c>
      <c r="O712" t="s">
        <v>908</v>
      </c>
      <c r="P712" t="s">
        <v>877</v>
      </c>
      <c r="Q712" s="7">
        <v>500000</v>
      </c>
    </row>
    <row r="713" spans="1:17">
      <c r="A713" t="s">
        <v>1608</v>
      </c>
      <c r="B713" s="6">
        <v>45760</v>
      </c>
      <c r="C713" t="s">
        <v>612</v>
      </c>
      <c r="D713" t="s">
        <v>819</v>
      </c>
      <c r="E713">
        <v>1</v>
      </c>
      <c r="F713" s="7">
        <v>300000</v>
      </c>
      <c r="G713" s="7">
        <v>300000</v>
      </c>
      <c r="H713" t="s">
        <v>872</v>
      </c>
      <c r="I713" s="7">
        <v>0</v>
      </c>
      <c r="J713" s="7">
        <v>10000</v>
      </c>
      <c r="K713" s="7">
        <v>310000</v>
      </c>
      <c r="L713" t="s">
        <v>884</v>
      </c>
      <c r="M713" t="s">
        <v>881</v>
      </c>
      <c r="N713" t="s">
        <v>875</v>
      </c>
      <c r="O713" t="s">
        <v>891</v>
      </c>
      <c r="P713" t="s">
        <v>877</v>
      </c>
      <c r="Q713" s="7">
        <v>300000</v>
      </c>
    </row>
    <row r="714" spans="1:17">
      <c r="A714" t="s">
        <v>1609</v>
      </c>
      <c r="B714" s="6">
        <v>45683</v>
      </c>
      <c r="C714" t="s">
        <v>340</v>
      </c>
      <c r="D714" t="s">
        <v>809</v>
      </c>
      <c r="E714">
        <v>4</v>
      </c>
      <c r="F714" s="7">
        <v>100000</v>
      </c>
      <c r="G714" s="7">
        <v>400000</v>
      </c>
      <c r="H714" t="s">
        <v>879</v>
      </c>
      <c r="I714" s="7">
        <v>80000</v>
      </c>
      <c r="J714" s="7">
        <v>15000</v>
      </c>
      <c r="K714" s="7">
        <v>335000</v>
      </c>
      <c r="L714" t="s">
        <v>873</v>
      </c>
      <c r="M714" t="s">
        <v>874</v>
      </c>
      <c r="N714" t="s">
        <v>875</v>
      </c>
      <c r="O714" t="s">
        <v>908</v>
      </c>
      <c r="P714" t="s">
        <v>877</v>
      </c>
      <c r="Q714" s="7">
        <v>320000</v>
      </c>
    </row>
    <row r="715" spans="1:17">
      <c r="A715" t="s">
        <v>1610</v>
      </c>
      <c r="B715" s="6">
        <v>45774</v>
      </c>
      <c r="C715" t="s">
        <v>346</v>
      </c>
      <c r="D715" t="s">
        <v>799</v>
      </c>
      <c r="E715">
        <v>2</v>
      </c>
      <c r="F715" s="7">
        <v>35000</v>
      </c>
      <c r="G715" s="7">
        <v>70000</v>
      </c>
      <c r="H715" t="s">
        <v>872</v>
      </c>
      <c r="I715" s="7">
        <v>0</v>
      </c>
      <c r="J715" s="7">
        <v>25000</v>
      </c>
      <c r="K715" s="7">
        <v>95000</v>
      </c>
      <c r="L715" t="s">
        <v>884</v>
      </c>
      <c r="M715" t="s">
        <v>881</v>
      </c>
      <c r="N715" t="s">
        <v>875</v>
      </c>
      <c r="O715" t="s">
        <v>891</v>
      </c>
      <c r="P715" t="s">
        <v>877</v>
      </c>
      <c r="Q715" s="7">
        <v>70000</v>
      </c>
    </row>
    <row r="716" spans="1:17">
      <c r="A716" t="s">
        <v>1611</v>
      </c>
      <c r="B716" s="6">
        <v>45737</v>
      </c>
      <c r="C716" t="s">
        <v>646</v>
      </c>
      <c r="D716" t="s">
        <v>773</v>
      </c>
      <c r="E716">
        <v>1</v>
      </c>
      <c r="F716" s="7">
        <v>500000</v>
      </c>
      <c r="G716" s="7">
        <v>500000</v>
      </c>
      <c r="H716" t="s">
        <v>886</v>
      </c>
      <c r="I716" s="7">
        <v>50000</v>
      </c>
      <c r="J716" s="7">
        <v>25000</v>
      </c>
      <c r="K716" s="7">
        <v>475000</v>
      </c>
      <c r="L716" t="s">
        <v>884</v>
      </c>
      <c r="M716" t="s">
        <v>874</v>
      </c>
      <c r="N716" t="s">
        <v>875</v>
      </c>
      <c r="O716" t="s">
        <v>876</v>
      </c>
      <c r="P716" t="s">
        <v>877</v>
      </c>
      <c r="Q716" s="7">
        <v>450000</v>
      </c>
    </row>
    <row r="717" spans="1:17">
      <c r="A717" t="s">
        <v>1612</v>
      </c>
      <c r="B717" s="6">
        <v>45758</v>
      </c>
      <c r="C717" t="s">
        <v>380</v>
      </c>
      <c r="D717" t="s">
        <v>807</v>
      </c>
      <c r="E717">
        <v>2</v>
      </c>
      <c r="F717" s="7">
        <v>150000</v>
      </c>
      <c r="G717" s="7">
        <v>300000</v>
      </c>
      <c r="H717" t="s">
        <v>872</v>
      </c>
      <c r="I717" s="7">
        <v>0</v>
      </c>
      <c r="J717" s="7">
        <v>10000</v>
      </c>
      <c r="K717" s="7">
        <v>310000</v>
      </c>
      <c r="L717" t="s">
        <v>889</v>
      </c>
      <c r="M717" t="s">
        <v>903</v>
      </c>
      <c r="N717" t="s">
        <v>875</v>
      </c>
      <c r="O717" t="s">
        <v>891</v>
      </c>
      <c r="P717" t="s">
        <v>877</v>
      </c>
      <c r="Q717" s="7">
        <v>300000</v>
      </c>
    </row>
    <row r="718" spans="1:17">
      <c r="A718" t="s">
        <v>1613</v>
      </c>
      <c r="B718" s="6">
        <v>45803</v>
      </c>
      <c r="C718" t="s">
        <v>61</v>
      </c>
      <c r="D718" t="s">
        <v>729</v>
      </c>
      <c r="E718">
        <v>2</v>
      </c>
      <c r="F718" s="7">
        <v>100000</v>
      </c>
      <c r="G718" s="7">
        <v>200000</v>
      </c>
      <c r="H718" t="s">
        <v>872</v>
      </c>
      <c r="I718" s="7">
        <v>0</v>
      </c>
      <c r="J718" s="7">
        <v>15000</v>
      </c>
      <c r="K718" s="7">
        <v>215000</v>
      </c>
      <c r="L718" t="s">
        <v>889</v>
      </c>
      <c r="M718" t="s">
        <v>881</v>
      </c>
      <c r="N718" t="s">
        <v>875</v>
      </c>
      <c r="O718" t="s">
        <v>896</v>
      </c>
      <c r="P718" t="s">
        <v>877</v>
      </c>
      <c r="Q718" s="7">
        <v>200000</v>
      </c>
    </row>
    <row r="719" spans="1:17">
      <c r="A719" t="s">
        <v>1614</v>
      </c>
      <c r="B719" s="6">
        <v>45742</v>
      </c>
      <c r="C719" t="s">
        <v>564</v>
      </c>
      <c r="D719" t="s">
        <v>767</v>
      </c>
      <c r="E719">
        <v>2</v>
      </c>
      <c r="F719" s="7">
        <v>150000</v>
      </c>
      <c r="G719" s="7">
        <v>300000</v>
      </c>
      <c r="H719" t="s">
        <v>872</v>
      </c>
      <c r="I719" s="7">
        <v>0</v>
      </c>
      <c r="J719" s="7">
        <v>15000</v>
      </c>
      <c r="K719" s="7">
        <v>315000</v>
      </c>
      <c r="L719" t="s">
        <v>880</v>
      </c>
      <c r="M719" t="s">
        <v>903</v>
      </c>
      <c r="N719" t="s">
        <v>875</v>
      </c>
      <c r="O719" t="s">
        <v>876</v>
      </c>
      <c r="P719" t="s">
        <v>877</v>
      </c>
      <c r="Q719" s="7">
        <v>300000</v>
      </c>
    </row>
    <row r="720" spans="1:17">
      <c r="A720" t="s">
        <v>1615</v>
      </c>
      <c r="B720" s="6">
        <v>45833</v>
      </c>
      <c r="C720" t="s">
        <v>494</v>
      </c>
      <c r="D720" t="s">
        <v>763</v>
      </c>
      <c r="E720">
        <v>1</v>
      </c>
      <c r="F720" s="7">
        <v>75000</v>
      </c>
      <c r="G720" s="7">
        <v>75000</v>
      </c>
      <c r="H720" t="s">
        <v>872</v>
      </c>
      <c r="I720" s="7">
        <v>0</v>
      </c>
      <c r="J720" s="7">
        <v>25000</v>
      </c>
      <c r="K720" s="7">
        <v>100000</v>
      </c>
      <c r="L720" t="s">
        <v>889</v>
      </c>
      <c r="M720" t="s">
        <v>903</v>
      </c>
      <c r="N720" t="s">
        <v>890</v>
      </c>
      <c r="O720" t="s">
        <v>915</v>
      </c>
      <c r="P720" t="s">
        <v>892</v>
      </c>
      <c r="Q720" s="7">
        <v>75000</v>
      </c>
    </row>
    <row r="721" spans="1:17">
      <c r="A721" t="s">
        <v>1616</v>
      </c>
      <c r="B721" s="6">
        <v>45659</v>
      </c>
      <c r="C721" t="s">
        <v>504</v>
      </c>
      <c r="D721" t="s">
        <v>817</v>
      </c>
      <c r="E721">
        <v>1</v>
      </c>
      <c r="F721" s="7">
        <v>75000</v>
      </c>
      <c r="G721" s="7">
        <v>75000</v>
      </c>
      <c r="H721" t="s">
        <v>886</v>
      </c>
      <c r="I721" s="7">
        <v>7500</v>
      </c>
      <c r="J721" s="7">
        <v>25000</v>
      </c>
      <c r="K721" s="7">
        <v>92500</v>
      </c>
      <c r="L721" t="s">
        <v>880</v>
      </c>
      <c r="M721" t="s">
        <v>874</v>
      </c>
      <c r="N721" t="s">
        <v>905</v>
      </c>
      <c r="O721" t="s">
        <v>908</v>
      </c>
      <c r="P721" t="s">
        <v>892</v>
      </c>
      <c r="Q721" s="7">
        <v>67500</v>
      </c>
    </row>
    <row r="722" spans="1:17">
      <c r="A722" t="s">
        <v>1617</v>
      </c>
      <c r="B722" s="6">
        <v>45756</v>
      </c>
      <c r="C722" t="s">
        <v>692</v>
      </c>
      <c r="D722" t="s">
        <v>851</v>
      </c>
      <c r="E722">
        <v>1</v>
      </c>
      <c r="F722" s="7">
        <v>35000</v>
      </c>
      <c r="G722" s="7">
        <v>35000</v>
      </c>
      <c r="H722" t="s">
        <v>883</v>
      </c>
      <c r="I722" s="7">
        <v>3500</v>
      </c>
      <c r="J722" s="7">
        <v>10000</v>
      </c>
      <c r="K722" s="7">
        <v>41500</v>
      </c>
      <c r="L722" t="s">
        <v>880</v>
      </c>
      <c r="M722" t="s">
        <v>901</v>
      </c>
      <c r="N722" t="s">
        <v>875</v>
      </c>
      <c r="O722" t="s">
        <v>891</v>
      </c>
      <c r="P722" t="s">
        <v>877</v>
      </c>
      <c r="Q722" s="7">
        <v>31500</v>
      </c>
    </row>
    <row r="723" spans="1:17">
      <c r="A723" t="s">
        <v>1618</v>
      </c>
      <c r="B723" s="6">
        <v>45834</v>
      </c>
      <c r="C723" t="s">
        <v>218</v>
      </c>
      <c r="D723" t="s">
        <v>771</v>
      </c>
      <c r="E723">
        <v>1</v>
      </c>
      <c r="F723" s="7">
        <v>500000</v>
      </c>
      <c r="G723" s="7">
        <v>500000</v>
      </c>
      <c r="H723" t="s">
        <v>895</v>
      </c>
      <c r="I723" s="7">
        <v>75000</v>
      </c>
      <c r="J723" s="7">
        <v>15000</v>
      </c>
      <c r="K723" s="7">
        <v>440000</v>
      </c>
      <c r="L723" t="s">
        <v>889</v>
      </c>
      <c r="M723" t="s">
        <v>903</v>
      </c>
      <c r="N723" t="s">
        <v>875</v>
      </c>
      <c r="O723" t="s">
        <v>915</v>
      </c>
      <c r="P723" t="s">
        <v>877</v>
      </c>
      <c r="Q723" s="7">
        <v>425000</v>
      </c>
    </row>
    <row r="724" spans="1:17">
      <c r="A724" t="s">
        <v>1619</v>
      </c>
      <c r="B724" s="6">
        <v>45814</v>
      </c>
      <c r="C724" t="s">
        <v>688</v>
      </c>
      <c r="D724" t="s">
        <v>793</v>
      </c>
      <c r="E724">
        <v>2</v>
      </c>
      <c r="F724" s="7">
        <v>500000</v>
      </c>
      <c r="G724" s="7">
        <v>1000000</v>
      </c>
      <c r="H724" t="s">
        <v>883</v>
      </c>
      <c r="I724" s="7">
        <v>100000</v>
      </c>
      <c r="J724" s="7">
        <v>20000</v>
      </c>
      <c r="K724" s="7">
        <v>920000</v>
      </c>
      <c r="L724" t="s">
        <v>889</v>
      </c>
      <c r="M724" t="s">
        <v>874</v>
      </c>
      <c r="N724" t="s">
        <v>875</v>
      </c>
      <c r="O724" t="s">
        <v>915</v>
      </c>
      <c r="P724" t="s">
        <v>877</v>
      </c>
      <c r="Q724" s="7">
        <v>900000</v>
      </c>
    </row>
    <row r="725" spans="1:17">
      <c r="A725" t="s">
        <v>1620</v>
      </c>
      <c r="B725" s="6">
        <v>45671</v>
      </c>
      <c r="C725" t="s">
        <v>246</v>
      </c>
      <c r="D725" t="s">
        <v>819</v>
      </c>
      <c r="E725">
        <v>3</v>
      </c>
      <c r="F725" s="7">
        <v>300000</v>
      </c>
      <c r="G725" s="7">
        <v>900000</v>
      </c>
      <c r="H725" t="s">
        <v>872</v>
      </c>
      <c r="I725" s="7">
        <v>0</v>
      </c>
      <c r="J725" s="7">
        <v>10000</v>
      </c>
      <c r="K725" s="7">
        <v>910000</v>
      </c>
      <c r="L725" t="s">
        <v>880</v>
      </c>
      <c r="M725" t="s">
        <v>881</v>
      </c>
      <c r="N725" t="s">
        <v>875</v>
      </c>
      <c r="O725" t="s">
        <v>908</v>
      </c>
      <c r="P725" t="s">
        <v>877</v>
      </c>
      <c r="Q725" s="7">
        <v>900000</v>
      </c>
    </row>
    <row r="726" spans="1:17">
      <c r="A726" t="s">
        <v>1621</v>
      </c>
      <c r="B726" s="6">
        <v>45714</v>
      </c>
      <c r="C726" t="s">
        <v>410</v>
      </c>
      <c r="D726" t="s">
        <v>845</v>
      </c>
      <c r="E726">
        <v>3</v>
      </c>
      <c r="F726" s="7">
        <v>300000</v>
      </c>
      <c r="G726" s="7">
        <v>900000</v>
      </c>
      <c r="H726" t="s">
        <v>886</v>
      </c>
      <c r="I726" s="7">
        <v>90000</v>
      </c>
      <c r="J726" s="7">
        <v>25000</v>
      </c>
      <c r="K726" s="7">
        <v>835000</v>
      </c>
      <c r="L726" t="s">
        <v>889</v>
      </c>
      <c r="M726" t="s">
        <v>874</v>
      </c>
      <c r="N726" t="s">
        <v>875</v>
      </c>
      <c r="O726" t="s">
        <v>887</v>
      </c>
      <c r="P726" t="s">
        <v>877</v>
      </c>
      <c r="Q726" s="7">
        <v>810000</v>
      </c>
    </row>
    <row r="727" spans="1:17">
      <c r="A727" t="s">
        <v>1622</v>
      </c>
      <c r="B727" s="6">
        <v>45790</v>
      </c>
      <c r="C727" t="s">
        <v>156</v>
      </c>
      <c r="D727" t="s">
        <v>797</v>
      </c>
      <c r="E727">
        <v>2</v>
      </c>
      <c r="F727" s="7">
        <v>150000</v>
      </c>
      <c r="G727" s="7">
        <v>300000</v>
      </c>
      <c r="H727" t="s">
        <v>886</v>
      </c>
      <c r="I727" s="7">
        <v>30000</v>
      </c>
      <c r="J727" s="7">
        <v>15000</v>
      </c>
      <c r="K727" s="7">
        <v>285000</v>
      </c>
      <c r="L727" t="s">
        <v>889</v>
      </c>
      <c r="M727" t="s">
        <v>903</v>
      </c>
      <c r="N727" t="s">
        <v>921</v>
      </c>
      <c r="O727" t="s">
        <v>896</v>
      </c>
      <c r="P727" t="s">
        <v>892</v>
      </c>
      <c r="Q727" s="7">
        <v>270000</v>
      </c>
    </row>
    <row r="728" spans="1:17">
      <c r="A728" t="s">
        <v>1623</v>
      </c>
      <c r="B728" s="6">
        <v>45686</v>
      </c>
      <c r="C728" t="s">
        <v>280</v>
      </c>
      <c r="D728" t="s">
        <v>787</v>
      </c>
      <c r="E728">
        <v>1</v>
      </c>
      <c r="F728" s="7">
        <v>200000</v>
      </c>
      <c r="G728" s="7">
        <v>200000</v>
      </c>
      <c r="H728" t="s">
        <v>879</v>
      </c>
      <c r="I728" s="7">
        <v>40000</v>
      </c>
      <c r="J728" s="7">
        <v>25000</v>
      </c>
      <c r="K728" s="7">
        <v>185000</v>
      </c>
      <c r="L728" t="s">
        <v>889</v>
      </c>
      <c r="M728" t="s">
        <v>903</v>
      </c>
      <c r="N728" t="s">
        <v>875</v>
      </c>
      <c r="O728" t="s">
        <v>908</v>
      </c>
      <c r="P728" t="s">
        <v>877</v>
      </c>
      <c r="Q728" s="7">
        <v>160000</v>
      </c>
    </row>
    <row r="729" spans="1:17">
      <c r="A729" t="s">
        <v>1624</v>
      </c>
      <c r="B729" s="6">
        <v>45682</v>
      </c>
      <c r="C729" t="s">
        <v>376</v>
      </c>
      <c r="D729" t="s">
        <v>761</v>
      </c>
      <c r="E729">
        <v>4</v>
      </c>
      <c r="F729" s="7">
        <v>75000</v>
      </c>
      <c r="G729" s="7">
        <v>300000</v>
      </c>
      <c r="H729" t="s">
        <v>872</v>
      </c>
      <c r="I729" s="7">
        <v>0</v>
      </c>
      <c r="J729" s="7">
        <v>10000</v>
      </c>
      <c r="K729" s="7">
        <v>310000</v>
      </c>
      <c r="L729" t="s">
        <v>880</v>
      </c>
      <c r="M729" t="s">
        <v>901</v>
      </c>
      <c r="N729" t="s">
        <v>921</v>
      </c>
      <c r="O729" t="s">
        <v>908</v>
      </c>
      <c r="P729" t="s">
        <v>892</v>
      </c>
      <c r="Q729" s="7">
        <v>300000</v>
      </c>
    </row>
    <row r="730" spans="1:17">
      <c r="A730" t="s">
        <v>1625</v>
      </c>
      <c r="B730" s="6">
        <v>45829</v>
      </c>
      <c r="C730" t="s">
        <v>146</v>
      </c>
      <c r="D730" t="s">
        <v>797</v>
      </c>
      <c r="E730">
        <v>2</v>
      </c>
      <c r="F730" s="7">
        <v>150000</v>
      </c>
      <c r="G730" s="7">
        <v>300000</v>
      </c>
      <c r="H730" t="s">
        <v>883</v>
      </c>
      <c r="I730" s="7">
        <v>30000</v>
      </c>
      <c r="J730" s="7">
        <v>15000</v>
      </c>
      <c r="K730" s="7">
        <v>285000</v>
      </c>
      <c r="L730" t="s">
        <v>889</v>
      </c>
      <c r="M730" t="s">
        <v>901</v>
      </c>
      <c r="N730" t="s">
        <v>890</v>
      </c>
      <c r="O730" t="s">
        <v>915</v>
      </c>
      <c r="P730" t="s">
        <v>892</v>
      </c>
      <c r="Q730" s="7">
        <v>270000</v>
      </c>
    </row>
    <row r="731" spans="1:17">
      <c r="A731" t="s">
        <v>1626</v>
      </c>
      <c r="B731" s="6">
        <v>45763</v>
      </c>
      <c r="C731" t="s">
        <v>618</v>
      </c>
      <c r="D731" t="s">
        <v>755</v>
      </c>
      <c r="E731">
        <v>1</v>
      </c>
      <c r="F731" s="7">
        <v>50000</v>
      </c>
      <c r="G731" s="7">
        <v>50000</v>
      </c>
      <c r="H731" t="s">
        <v>872</v>
      </c>
      <c r="I731" s="7">
        <v>0</v>
      </c>
      <c r="J731" s="7">
        <v>20000</v>
      </c>
      <c r="K731" s="7">
        <v>70000</v>
      </c>
      <c r="L731" t="s">
        <v>873</v>
      </c>
      <c r="M731" t="s">
        <v>903</v>
      </c>
      <c r="N731" t="s">
        <v>875</v>
      </c>
      <c r="O731" t="s">
        <v>891</v>
      </c>
      <c r="P731" t="s">
        <v>877</v>
      </c>
      <c r="Q731" s="7">
        <v>50000</v>
      </c>
    </row>
    <row r="732" spans="1:17">
      <c r="A732" t="s">
        <v>1627</v>
      </c>
      <c r="B732" s="6">
        <v>45798</v>
      </c>
      <c r="C732" t="s">
        <v>13</v>
      </c>
      <c r="D732" t="s">
        <v>787</v>
      </c>
      <c r="E732">
        <v>1</v>
      </c>
      <c r="F732" s="7">
        <v>200000</v>
      </c>
      <c r="G732" s="7">
        <v>200000</v>
      </c>
      <c r="H732" t="s">
        <v>872</v>
      </c>
      <c r="I732" s="7">
        <v>0</v>
      </c>
      <c r="J732" s="7">
        <v>10000</v>
      </c>
      <c r="K732" s="7">
        <v>210000</v>
      </c>
      <c r="L732" t="s">
        <v>884</v>
      </c>
      <c r="M732" t="s">
        <v>881</v>
      </c>
      <c r="N732" t="s">
        <v>905</v>
      </c>
      <c r="O732" t="s">
        <v>896</v>
      </c>
      <c r="P732" t="s">
        <v>892</v>
      </c>
      <c r="Q732" s="7">
        <v>200000</v>
      </c>
    </row>
    <row r="733" spans="1:17">
      <c r="A733" t="s">
        <v>1628</v>
      </c>
      <c r="B733" s="6">
        <v>45699</v>
      </c>
      <c r="C733" t="s">
        <v>426</v>
      </c>
      <c r="D733" t="s">
        <v>833</v>
      </c>
      <c r="E733">
        <v>2</v>
      </c>
      <c r="F733" s="7">
        <v>200000</v>
      </c>
      <c r="G733" s="7">
        <v>400000</v>
      </c>
      <c r="H733" t="s">
        <v>872</v>
      </c>
      <c r="I733" s="7">
        <v>0</v>
      </c>
      <c r="J733" s="7">
        <v>25000</v>
      </c>
      <c r="K733" s="7">
        <v>425000</v>
      </c>
      <c r="L733" t="s">
        <v>873</v>
      </c>
      <c r="M733" t="s">
        <v>903</v>
      </c>
      <c r="N733" t="s">
        <v>875</v>
      </c>
      <c r="O733" t="s">
        <v>887</v>
      </c>
      <c r="P733" t="s">
        <v>877</v>
      </c>
      <c r="Q733" s="7">
        <v>400000</v>
      </c>
    </row>
    <row r="734" spans="1:17">
      <c r="A734" t="s">
        <v>1629</v>
      </c>
      <c r="B734" s="6">
        <v>45761</v>
      </c>
      <c r="C734" t="s">
        <v>109</v>
      </c>
      <c r="D734" t="s">
        <v>823</v>
      </c>
      <c r="E734">
        <v>3</v>
      </c>
      <c r="F734" s="7">
        <v>500000</v>
      </c>
      <c r="G734" s="7">
        <v>1500000</v>
      </c>
      <c r="H734" t="s">
        <v>895</v>
      </c>
      <c r="I734" s="7">
        <v>225000</v>
      </c>
      <c r="J734" s="7">
        <v>25000</v>
      </c>
      <c r="K734" s="7">
        <v>1300000</v>
      </c>
      <c r="L734" t="s">
        <v>884</v>
      </c>
      <c r="M734" t="s">
        <v>881</v>
      </c>
      <c r="N734" t="s">
        <v>875</v>
      </c>
      <c r="O734" t="s">
        <v>891</v>
      </c>
      <c r="P734" t="s">
        <v>877</v>
      </c>
      <c r="Q734" s="7">
        <v>1275000</v>
      </c>
    </row>
    <row r="735" spans="1:17">
      <c r="A735" t="s">
        <v>1630</v>
      </c>
      <c r="B735" s="6">
        <v>45687</v>
      </c>
      <c r="C735" t="s">
        <v>546</v>
      </c>
      <c r="D735" t="s">
        <v>803</v>
      </c>
      <c r="E735">
        <v>1</v>
      </c>
      <c r="F735" s="7">
        <v>50000</v>
      </c>
      <c r="G735" s="7">
        <v>50000</v>
      </c>
      <c r="H735" t="s">
        <v>883</v>
      </c>
      <c r="I735" s="7">
        <v>5000</v>
      </c>
      <c r="J735" s="7">
        <v>30000</v>
      </c>
      <c r="K735" s="7">
        <v>75000</v>
      </c>
      <c r="L735" t="s">
        <v>889</v>
      </c>
      <c r="M735" t="s">
        <v>874</v>
      </c>
      <c r="N735" t="s">
        <v>921</v>
      </c>
      <c r="O735" t="s">
        <v>908</v>
      </c>
      <c r="P735" t="s">
        <v>892</v>
      </c>
      <c r="Q735" s="7">
        <v>45000</v>
      </c>
    </row>
    <row r="736" spans="1:17">
      <c r="A736" t="s">
        <v>1631</v>
      </c>
      <c r="B736" s="6">
        <v>45732</v>
      </c>
      <c r="C736" t="s">
        <v>432</v>
      </c>
      <c r="D736" t="s">
        <v>751</v>
      </c>
      <c r="E736">
        <v>1</v>
      </c>
      <c r="F736" s="7">
        <v>150000</v>
      </c>
      <c r="G736" s="7">
        <v>150000</v>
      </c>
      <c r="H736" t="s">
        <v>872</v>
      </c>
      <c r="I736" s="7">
        <v>0</v>
      </c>
      <c r="J736" s="7">
        <v>20000</v>
      </c>
      <c r="K736" s="7">
        <v>170000</v>
      </c>
      <c r="L736" t="s">
        <v>889</v>
      </c>
      <c r="M736" t="s">
        <v>903</v>
      </c>
      <c r="N736" t="s">
        <v>875</v>
      </c>
      <c r="O736" t="s">
        <v>876</v>
      </c>
      <c r="P736" t="s">
        <v>877</v>
      </c>
      <c r="Q736" s="7">
        <v>150000</v>
      </c>
    </row>
    <row r="737" spans="1:17">
      <c r="A737" t="s">
        <v>1632</v>
      </c>
      <c r="B737" s="6">
        <v>45785</v>
      </c>
      <c r="C737" t="s">
        <v>358</v>
      </c>
      <c r="D737" t="s">
        <v>793</v>
      </c>
      <c r="E737">
        <v>4</v>
      </c>
      <c r="F737" s="7">
        <v>500000</v>
      </c>
      <c r="G737" s="7">
        <v>2000000</v>
      </c>
      <c r="H737" t="s">
        <v>895</v>
      </c>
      <c r="I737" s="7">
        <v>300000</v>
      </c>
      <c r="J737" s="7">
        <v>15000</v>
      </c>
      <c r="K737" s="7">
        <v>1715000</v>
      </c>
      <c r="L737" t="s">
        <v>889</v>
      </c>
      <c r="M737" t="s">
        <v>901</v>
      </c>
      <c r="N737" t="s">
        <v>890</v>
      </c>
      <c r="O737" t="s">
        <v>896</v>
      </c>
      <c r="P737" t="s">
        <v>892</v>
      </c>
      <c r="Q737" s="7">
        <v>1700000</v>
      </c>
    </row>
    <row r="738" spans="1:17">
      <c r="A738" t="s">
        <v>1633</v>
      </c>
      <c r="B738" s="6">
        <v>45753</v>
      </c>
      <c r="C738" t="s">
        <v>37</v>
      </c>
      <c r="D738" t="s">
        <v>751</v>
      </c>
      <c r="E738">
        <v>2</v>
      </c>
      <c r="F738" s="7">
        <v>150000</v>
      </c>
      <c r="G738" s="7">
        <v>300000</v>
      </c>
      <c r="H738" t="s">
        <v>872</v>
      </c>
      <c r="I738" s="7">
        <v>0</v>
      </c>
      <c r="J738" s="7">
        <v>30000</v>
      </c>
      <c r="K738" s="7">
        <v>330000</v>
      </c>
      <c r="L738" t="s">
        <v>889</v>
      </c>
      <c r="M738" t="s">
        <v>901</v>
      </c>
      <c r="N738" t="s">
        <v>875</v>
      </c>
      <c r="O738" t="s">
        <v>891</v>
      </c>
      <c r="P738" t="s">
        <v>877</v>
      </c>
      <c r="Q738" s="7">
        <v>300000</v>
      </c>
    </row>
    <row r="739" spans="1:17">
      <c r="A739" t="s">
        <v>1634</v>
      </c>
      <c r="B739" s="6">
        <v>45813</v>
      </c>
      <c r="C739" t="s">
        <v>340</v>
      </c>
      <c r="D739" t="s">
        <v>821</v>
      </c>
      <c r="E739">
        <v>4</v>
      </c>
      <c r="F739" s="7">
        <v>50000</v>
      </c>
      <c r="G739" s="7">
        <v>200000</v>
      </c>
      <c r="H739" t="s">
        <v>886</v>
      </c>
      <c r="I739" s="7">
        <v>20000</v>
      </c>
      <c r="J739" s="7">
        <v>30000</v>
      </c>
      <c r="K739" s="7">
        <v>210000</v>
      </c>
      <c r="L739" t="s">
        <v>873</v>
      </c>
      <c r="M739" t="s">
        <v>901</v>
      </c>
      <c r="N739" t="s">
        <v>875</v>
      </c>
      <c r="O739" t="s">
        <v>915</v>
      </c>
      <c r="P739" t="s">
        <v>877</v>
      </c>
      <c r="Q739" s="7">
        <v>180000</v>
      </c>
    </row>
    <row r="740" spans="1:17">
      <c r="A740" t="s">
        <v>1635</v>
      </c>
      <c r="B740" s="6">
        <v>45696</v>
      </c>
      <c r="C740" t="s">
        <v>326</v>
      </c>
      <c r="D740" t="s">
        <v>831</v>
      </c>
      <c r="E740">
        <v>1</v>
      </c>
      <c r="F740" s="7">
        <v>300000</v>
      </c>
      <c r="G740" s="7">
        <v>300000</v>
      </c>
      <c r="H740" t="s">
        <v>883</v>
      </c>
      <c r="I740" s="7">
        <v>30000</v>
      </c>
      <c r="J740" s="7">
        <v>15000</v>
      </c>
      <c r="K740" s="7">
        <v>285000</v>
      </c>
      <c r="L740" t="s">
        <v>884</v>
      </c>
      <c r="M740" t="s">
        <v>903</v>
      </c>
      <c r="N740" t="s">
        <v>875</v>
      </c>
      <c r="O740" t="s">
        <v>887</v>
      </c>
      <c r="P740" t="s">
        <v>877</v>
      </c>
      <c r="Q740" s="7">
        <v>270000</v>
      </c>
    </row>
    <row r="741" spans="1:17">
      <c r="A741" t="s">
        <v>1636</v>
      </c>
      <c r="B741" s="6">
        <v>45803</v>
      </c>
      <c r="C741" t="s">
        <v>162</v>
      </c>
      <c r="D741" t="s">
        <v>791</v>
      </c>
      <c r="E741">
        <v>1</v>
      </c>
      <c r="F741" s="7">
        <v>50000</v>
      </c>
      <c r="G741" s="7">
        <v>50000</v>
      </c>
      <c r="H741" t="s">
        <v>879</v>
      </c>
      <c r="I741" s="7">
        <v>10000</v>
      </c>
      <c r="J741" s="7">
        <v>15000</v>
      </c>
      <c r="K741" s="7">
        <v>55000</v>
      </c>
      <c r="L741" t="s">
        <v>889</v>
      </c>
      <c r="M741" t="s">
        <v>903</v>
      </c>
      <c r="N741" t="s">
        <v>875</v>
      </c>
      <c r="O741" t="s">
        <v>896</v>
      </c>
      <c r="P741" t="s">
        <v>877</v>
      </c>
      <c r="Q741" s="7">
        <v>40000</v>
      </c>
    </row>
    <row r="742" spans="1:17">
      <c r="A742" t="s">
        <v>1637</v>
      </c>
      <c r="B742" s="6">
        <v>45824</v>
      </c>
      <c r="C742" t="s">
        <v>298</v>
      </c>
      <c r="D742" t="s">
        <v>805</v>
      </c>
      <c r="E742">
        <v>3</v>
      </c>
      <c r="F742" s="7">
        <v>200000</v>
      </c>
      <c r="G742" s="7">
        <v>600000</v>
      </c>
      <c r="H742" t="s">
        <v>872</v>
      </c>
      <c r="I742" s="7">
        <v>0</v>
      </c>
      <c r="J742" s="7">
        <v>10000</v>
      </c>
      <c r="K742" s="7">
        <v>610000</v>
      </c>
      <c r="L742" t="s">
        <v>889</v>
      </c>
      <c r="M742" t="s">
        <v>881</v>
      </c>
      <c r="N742" t="s">
        <v>875</v>
      </c>
      <c r="O742" t="s">
        <v>915</v>
      </c>
      <c r="P742" t="s">
        <v>877</v>
      </c>
      <c r="Q742" s="7">
        <v>600000</v>
      </c>
    </row>
    <row r="743" spans="1:17">
      <c r="A743" t="s">
        <v>1638</v>
      </c>
      <c r="B743" s="6">
        <v>45798</v>
      </c>
      <c r="C743" t="s">
        <v>444</v>
      </c>
      <c r="D743" t="s">
        <v>817</v>
      </c>
      <c r="E743">
        <v>1</v>
      </c>
      <c r="F743" s="7">
        <v>75000</v>
      </c>
      <c r="G743" s="7">
        <v>75000</v>
      </c>
      <c r="H743" t="s">
        <v>886</v>
      </c>
      <c r="I743" s="7">
        <v>7500</v>
      </c>
      <c r="J743" s="7">
        <v>10000</v>
      </c>
      <c r="K743" s="7">
        <v>77500</v>
      </c>
      <c r="L743" t="s">
        <v>889</v>
      </c>
      <c r="M743" t="s">
        <v>881</v>
      </c>
      <c r="N743" t="s">
        <v>890</v>
      </c>
      <c r="O743" t="s">
        <v>896</v>
      </c>
      <c r="P743" t="s">
        <v>892</v>
      </c>
      <c r="Q743" s="7">
        <v>67500</v>
      </c>
    </row>
    <row r="744" spans="1:17">
      <c r="A744" t="s">
        <v>1639</v>
      </c>
      <c r="B744" s="6">
        <v>45670</v>
      </c>
      <c r="C744" t="s">
        <v>470</v>
      </c>
      <c r="D744" t="s">
        <v>837</v>
      </c>
      <c r="E744">
        <v>1</v>
      </c>
      <c r="F744" s="7">
        <v>300000</v>
      </c>
      <c r="G744" s="7">
        <v>300000</v>
      </c>
      <c r="H744" t="s">
        <v>872</v>
      </c>
      <c r="I744" s="7">
        <v>0</v>
      </c>
      <c r="J744" s="7">
        <v>20000</v>
      </c>
      <c r="K744" s="7">
        <v>320000</v>
      </c>
      <c r="L744" t="s">
        <v>884</v>
      </c>
      <c r="M744" t="s">
        <v>881</v>
      </c>
      <c r="N744" t="s">
        <v>875</v>
      </c>
      <c r="O744" t="s">
        <v>908</v>
      </c>
      <c r="P744" t="s">
        <v>877</v>
      </c>
      <c r="Q744" s="7">
        <v>300000</v>
      </c>
    </row>
    <row r="745" spans="1:17">
      <c r="A745" t="s">
        <v>1640</v>
      </c>
      <c r="B745" s="6">
        <v>45727</v>
      </c>
      <c r="C745" t="s">
        <v>512</v>
      </c>
      <c r="D745" t="s">
        <v>831</v>
      </c>
      <c r="E745">
        <v>1</v>
      </c>
      <c r="F745" s="7">
        <v>300000</v>
      </c>
      <c r="G745" s="7">
        <v>300000</v>
      </c>
      <c r="H745" t="s">
        <v>872</v>
      </c>
      <c r="I745" s="7">
        <v>0</v>
      </c>
      <c r="J745" s="7">
        <v>30000</v>
      </c>
      <c r="K745" s="7">
        <v>330000</v>
      </c>
      <c r="L745" t="s">
        <v>884</v>
      </c>
      <c r="M745" t="s">
        <v>901</v>
      </c>
      <c r="N745" t="s">
        <v>890</v>
      </c>
      <c r="O745" t="s">
        <v>876</v>
      </c>
      <c r="P745" t="s">
        <v>892</v>
      </c>
      <c r="Q745" s="7">
        <v>300000</v>
      </c>
    </row>
    <row r="746" spans="1:17">
      <c r="A746" t="s">
        <v>1641</v>
      </c>
      <c r="B746" s="6">
        <v>45724</v>
      </c>
      <c r="C746" t="s">
        <v>296</v>
      </c>
      <c r="D746" t="s">
        <v>849</v>
      </c>
      <c r="E746">
        <v>3</v>
      </c>
      <c r="F746" s="7">
        <v>500000</v>
      </c>
      <c r="G746" s="7">
        <v>1500000</v>
      </c>
      <c r="H746" t="s">
        <v>886</v>
      </c>
      <c r="I746" s="7">
        <v>150000</v>
      </c>
      <c r="J746" s="7">
        <v>15000</v>
      </c>
      <c r="K746" s="7">
        <v>1365000</v>
      </c>
      <c r="L746" t="s">
        <v>880</v>
      </c>
      <c r="M746" t="s">
        <v>874</v>
      </c>
      <c r="N746" t="s">
        <v>875</v>
      </c>
      <c r="O746" t="s">
        <v>876</v>
      </c>
      <c r="P746" t="s">
        <v>877</v>
      </c>
      <c r="Q746" s="7">
        <v>1350000</v>
      </c>
    </row>
    <row r="747" spans="1:17">
      <c r="A747" t="s">
        <v>1642</v>
      </c>
      <c r="B747" s="6">
        <v>45669</v>
      </c>
      <c r="C747" t="s">
        <v>684</v>
      </c>
      <c r="D747" t="s">
        <v>817</v>
      </c>
      <c r="E747">
        <v>1</v>
      </c>
      <c r="F747" s="7">
        <v>75000</v>
      </c>
      <c r="G747" s="7">
        <v>75000</v>
      </c>
      <c r="H747" t="s">
        <v>872</v>
      </c>
      <c r="I747" s="7">
        <v>0</v>
      </c>
      <c r="J747" s="7">
        <v>25000</v>
      </c>
      <c r="K747" s="7">
        <v>100000</v>
      </c>
      <c r="L747" t="s">
        <v>884</v>
      </c>
      <c r="M747" t="s">
        <v>874</v>
      </c>
      <c r="N747" t="s">
        <v>875</v>
      </c>
      <c r="O747" t="s">
        <v>908</v>
      </c>
      <c r="P747" t="s">
        <v>877</v>
      </c>
      <c r="Q747" s="7">
        <v>75000</v>
      </c>
    </row>
    <row r="748" spans="1:17">
      <c r="A748" t="s">
        <v>1643</v>
      </c>
      <c r="B748" s="6">
        <v>45796</v>
      </c>
      <c r="C748" t="s">
        <v>646</v>
      </c>
      <c r="D748" t="s">
        <v>827</v>
      </c>
      <c r="E748">
        <v>2</v>
      </c>
      <c r="F748" s="7">
        <v>100000</v>
      </c>
      <c r="G748" s="7">
        <v>200000</v>
      </c>
      <c r="H748" t="s">
        <v>872</v>
      </c>
      <c r="I748" s="7">
        <v>0</v>
      </c>
      <c r="J748" s="7">
        <v>10000</v>
      </c>
      <c r="K748" s="7">
        <v>210000</v>
      </c>
      <c r="L748" t="s">
        <v>884</v>
      </c>
      <c r="M748" t="s">
        <v>874</v>
      </c>
      <c r="N748" t="s">
        <v>875</v>
      </c>
      <c r="O748" t="s">
        <v>896</v>
      </c>
      <c r="P748" t="s">
        <v>877</v>
      </c>
      <c r="Q748" s="7">
        <v>200000</v>
      </c>
    </row>
    <row r="749" spans="1:17">
      <c r="A749" t="s">
        <v>1644</v>
      </c>
      <c r="B749" s="6">
        <v>45700</v>
      </c>
      <c r="C749" t="s">
        <v>434</v>
      </c>
      <c r="D749" t="s">
        <v>755</v>
      </c>
      <c r="E749">
        <v>1</v>
      </c>
      <c r="F749" s="7">
        <v>50000</v>
      </c>
      <c r="G749" s="7">
        <v>50000</v>
      </c>
      <c r="H749" t="s">
        <v>872</v>
      </c>
      <c r="I749" s="7">
        <v>0</v>
      </c>
      <c r="J749" s="7">
        <v>15000</v>
      </c>
      <c r="K749" s="7">
        <v>65000</v>
      </c>
      <c r="L749" t="s">
        <v>884</v>
      </c>
      <c r="M749" t="s">
        <v>903</v>
      </c>
      <c r="N749" t="s">
        <v>921</v>
      </c>
      <c r="O749" t="s">
        <v>887</v>
      </c>
      <c r="P749" t="s">
        <v>892</v>
      </c>
      <c r="Q749" s="7">
        <v>50000</v>
      </c>
    </row>
    <row r="750" spans="1:17">
      <c r="A750" t="s">
        <v>1645</v>
      </c>
      <c r="B750" s="6">
        <v>45823</v>
      </c>
      <c r="C750" t="s">
        <v>79</v>
      </c>
      <c r="D750" t="s">
        <v>837</v>
      </c>
      <c r="E750">
        <v>1</v>
      </c>
      <c r="F750" s="7">
        <v>300000</v>
      </c>
      <c r="G750" s="7">
        <v>300000</v>
      </c>
      <c r="H750" t="s">
        <v>886</v>
      </c>
      <c r="I750" s="7">
        <v>30000</v>
      </c>
      <c r="J750" s="7">
        <v>10000</v>
      </c>
      <c r="K750" s="7">
        <v>280000</v>
      </c>
      <c r="L750" t="s">
        <v>873</v>
      </c>
      <c r="M750" t="s">
        <v>874</v>
      </c>
      <c r="N750" t="s">
        <v>921</v>
      </c>
      <c r="O750" t="s">
        <v>915</v>
      </c>
      <c r="P750" t="s">
        <v>892</v>
      </c>
      <c r="Q750" s="7">
        <v>270000</v>
      </c>
    </row>
    <row r="751" spans="1:17">
      <c r="A751" t="s">
        <v>1646</v>
      </c>
      <c r="B751" s="6">
        <v>45838</v>
      </c>
      <c r="C751" t="s">
        <v>664</v>
      </c>
      <c r="D751" t="s">
        <v>843</v>
      </c>
      <c r="E751">
        <v>1</v>
      </c>
      <c r="F751" s="7">
        <v>100000</v>
      </c>
      <c r="G751" s="7">
        <v>100000</v>
      </c>
      <c r="H751" t="s">
        <v>883</v>
      </c>
      <c r="I751" s="7">
        <v>10000</v>
      </c>
      <c r="J751" s="7">
        <v>30000</v>
      </c>
      <c r="K751" s="7">
        <v>120000</v>
      </c>
      <c r="L751" t="s">
        <v>873</v>
      </c>
      <c r="M751" t="s">
        <v>901</v>
      </c>
      <c r="N751" t="s">
        <v>911</v>
      </c>
      <c r="O751" t="s">
        <v>915</v>
      </c>
      <c r="P751" t="s">
        <v>892</v>
      </c>
      <c r="Q751" s="7">
        <v>90000</v>
      </c>
    </row>
    <row r="752" spans="1:17">
      <c r="A752" t="s">
        <v>1647</v>
      </c>
      <c r="B752" s="6">
        <v>45684</v>
      </c>
      <c r="C752" t="s">
        <v>414</v>
      </c>
      <c r="D752" t="s">
        <v>845</v>
      </c>
      <c r="E752">
        <v>2</v>
      </c>
      <c r="F752" s="7">
        <v>300000</v>
      </c>
      <c r="G752" s="7">
        <v>600000</v>
      </c>
      <c r="H752" t="s">
        <v>895</v>
      </c>
      <c r="I752" s="7">
        <v>90000</v>
      </c>
      <c r="J752" s="7">
        <v>15000</v>
      </c>
      <c r="K752" s="7">
        <v>525000</v>
      </c>
      <c r="L752" t="s">
        <v>880</v>
      </c>
      <c r="M752" t="s">
        <v>881</v>
      </c>
      <c r="N752" t="s">
        <v>875</v>
      </c>
      <c r="O752" t="s">
        <v>908</v>
      </c>
      <c r="P752" t="s">
        <v>877</v>
      </c>
      <c r="Q752" s="7">
        <v>510000</v>
      </c>
    </row>
    <row r="753" spans="1:17">
      <c r="A753" t="s">
        <v>1648</v>
      </c>
      <c r="B753" s="6">
        <v>45788</v>
      </c>
      <c r="C753" t="s">
        <v>170</v>
      </c>
      <c r="D753" t="s">
        <v>813</v>
      </c>
      <c r="E753">
        <v>2</v>
      </c>
      <c r="F753" s="7">
        <v>35000</v>
      </c>
      <c r="G753" s="7">
        <v>70000</v>
      </c>
      <c r="H753" t="s">
        <v>883</v>
      </c>
      <c r="I753" s="7">
        <v>7000</v>
      </c>
      <c r="J753" s="7">
        <v>10000</v>
      </c>
      <c r="K753" s="7">
        <v>73000</v>
      </c>
      <c r="L753" t="s">
        <v>884</v>
      </c>
      <c r="M753" t="s">
        <v>881</v>
      </c>
      <c r="N753" t="s">
        <v>875</v>
      </c>
      <c r="O753" t="s">
        <v>896</v>
      </c>
      <c r="P753" t="s">
        <v>877</v>
      </c>
      <c r="Q753" s="7">
        <v>63000</v>
      </c>
    </row>
    <row r="754" spans="1:17">
      <c r="A754" t="s">
        <v>1649</v>
      </c>
      <c r="B754" s="6">
        <v>45742</v>
      </c>
      <c r="C754" t="s">
        <v>552</v>
      </c>
      <c r="D754" t="s">
        <v>741</v>
      </c>
      <c r="E754">
        <v>1</v>
      </c>
      <c r="F754" s="7">
        <v>75000</v>
      </c>
      <c r="G754" s="7">
        <v>75000</v>
      </c>
      <c r="H754" t="s">
        <v>886</v>
      </c>
      <c r="I754" s="7">
        <v>7500</v>
      </c>
      <c r="J754" s="7">
        <v>30000</v>
      </c>
      <c r="K754" s="7">
        <v>97500</v>
      </c>
      <c r="L754" t="s">
        <v>884</v>
      </c>
      <c r="M754" t="s">
        <v>881</v>
      </c>
      <c r="N754" t="s">
        <v>875</v>
      </c>
      <c r="O754" t="s">
        <v>876</v>
      </c>
      <c r="P754" t="s">
        <v>877</v>
      </c>
      <c r="Q754" s="7">
        <v>67500</v>
      </c>
    </row>
    <row r="755" spans="1:17">
      <c r="A755" t="s">
        <v>1650</v>
      </c>
      <c r="B755" s="6">
        <v>45772</v>
      </c>
      <c r="C755" t="s">
        <v>458</v>
      </c>
      <c r="D755" t="s">
        <v>855</v>
      </c>
      <c r="E755">
        <v>4</v>
      </c>
      <c r="F755" s="7">
        <v>150000</v>
      </c>
      <c r="G755" s="7">
        <v>600000</v>
      </c>
      <c r="H755" t="s">
        <v>886</v>
      </c>
      <c r="I755" s="7">
        <v>60000</v>
      </c>
      <c r="J755" s="7">
        <v>20000</v>
      </c>
      <c r="K755" s="7">
        <v>560000</v>
      </c>
      <c r="L755" t="s">
        <v>884</v>
      </c>
      <c r="M755" t="s">
        <v>874</v>
      </c>
      <c r="N755" t="s">
        <v>875</v>
      </c>
      <c r="O755" t="s">
        <v>891</v>
      </c>
      <c r="P755" t="s">
        <v>877</v>
      </c>
      <c r="Q755" s="7">
        <v>540000</v>
      </c>
    </row>
    <row r="756" spans="1:17">
      <c r="A756" t="s">
        <v>1651</v>
      </c>
      <c r="B756" s="6">
        <v>45659</v>
      </c>
      <c r="C756" t="s">
        <v>220</v>
      </c>
      <c r="D756" t="s">
        <v>777</v>
      </c>
      <c r="E756">
        <v>1</v>
      </c>
      <c r="F756" s="7">
        <v>200000</v>
      </c>
      <c r="G756" s="7">
        <v>200000</v>
      </c>
      <c r="H756" t="s">
        <v>895</v>
      </c>
      <c r="I756" s="7">
        <v>30000</v>
      </c>
      <c r="J756" s="7">
        <v>30000</v>
      </c>
      <c r="K756" s="7">
        <v>200000</v>
      </c>
      <c r="L756" t="s">
        <v>884</v>
      </c>
      <c r="M756" t="s">
        <v>901</v>
      </c>
      <c r="N756" t="s">
        <v>875</v>
      </c>
      <c r="O756" t="s">
        <v>908</v>
      </c>
      <c r="P756" t="s">
        <v>877</v>
      </c>
      <c r="Q756" s="7">
        <v>170000</v>
      </c>
    </row>
    <row r="757" spans="1:17">
      <c r="A757" t="s">
        <v>1652</v>
      </c>
      <c r="B757" s="6">
        <v>45695</v>
      </c>
      <c r="C757" t="s">
        <v>314</v>
      </c>
      <c r="D757" t="s">
        <v>835</v>
      </c>
      <c r="E757">
        <v>1</v>
      </c>
      <c r="F757" s="7">
        <v>200000</v>
      </c>
      <c r="G757" s="7">
        <v>200000</v>
      </c>
      <c r="H757" t="s">
        <v>872</v>
      </c>
      <c r="I757" s="7">
        <v>0</v>
      </c>
      <c r="J757" s="7">
        <v>20000</v>
      </c>
      <c r="K757" s="7">
        <v>220000</v>
      </c>
      <c r="L757" t="s">
        <v>873</v>
      </c>
      <c r="M757" t="s">
        <v>903</v>
      </c>
      <c r="N757" t="s">
        <v>875</v>
      </c>
      <c r="O757" t="s">
        <v>887</v>
      </c>
      <c r="P757" t="s">
        <v>877</v>
      </c>
      <c r="Q757" s="7">
        <v>200000</v>
      </c>
    </row>
    <row r="758" spans="1:17">
      <c r="A758" t="s">
        <v>1653</v>
      </c>
      <c r="B758" s="6">
        <v>45658</v>
      </c>
      <c r="C758" t="s">
        <v>632</v>
      </c>
      <c r="D758" t="s">
        <v>741</v>
      </c>
      <c r="E758">
        <v>2</v>
      </c>
      <c r="F758" s="7">
        <v>75000</v>
      </c>
      <c r="G758" s="7">
        <v>150000</v>
      </c>
      <c r="H758" t="s">
        <v>879</v>
      </c>
      <c r="I758" s="7">
        <v>30000</v>
      </c>
      <c r="J758" s="7">
        <v>25000</v>
      </c>
      <c r="K758" s="7">
        <v>145000</v>
      </c>
      <c r="L758" t="s">
        <v>873</v>
      </c>
      <c r="M758" t="s">
        <v>901</v>
      </c>
      <c r="N758" t="s">
        <v>875</v>
      </c>
      <c r="O758" t="s">
        <v>908</v>
      </c>
      <c r="P758" t="s">
        <v>877</v>
      </c>
      <c r="Q758" s="7">
        <v>120000</v>
      </c>
    </row>
    <row r="759" spans="1:17">
      <c r="A759" t="s">
        <v>1654</v>
      </c>
      <c r="B759" s="6">
        <v>45751</v>
      </c>
      <c r="C759" t="s">
        <v>540</v>
      </c>
      <c r="D759" t="s">
        <v>803</v>
      </c>
      <c r="E759">
        <v>3</v>
      </c>
      <c r="F759" s="7">
        <v>50000</v>
      </c>
      <c r="G759" s="7">
        <v>150000</v>
      </c>
      <c r="H759" t="s">
        <v>883</v>
      </c>
      <c r="I759" s="7">
        <v>15000</v>
      </c>
      <c r="J759" s="7">
        <v>30000</v>
      </c>
      <c r="K759" s="7">
        <v>165000</v>
      </c>
      <c r="L759" t="s">
        <v>889</v>
      </c>
      <c r="M759" t="s">
        <v>903</v>
      </c>
      <c r="N759" t="s">
        <v>875</v>
      </c>
      <c r="O759" t="s">
        <v>891</v>
      </c>
      <c r="P759" t="s">
        <v>877</v>
      </c>
      <c r="Q759" s="7">
        <v>135000</v>
      </c>
    </row>
    <row r="760" spans="1:17">
      <c r="A760" t="s">
        <v>1655</v>
      </c>
      <c r="B760" s="6">
        <v>45816</v>
      </c>
      <c r="C760" t="s">
        <v>156</v>
      </c>
      <c r="D760" t="s">
        <v>783</v>
      </c>
      <c r="E760">
        <v>3</v>
      </c>
      <c r="F760" s="7">
        <v>500000</v>
      </c>
      <c r="G760" s="7">
        <v>1500000</v>
      </c>
      <c r="H760" t="s">
        <v>886</v>
      </c>
      <c r="I760" s="7">
        <v>150000</v>
      </c>
      <c r="J760" s="7">
        <v>15000</v>
      </c>
      <c r="K760" s="7">
        <v>1365000</v>
      </c>
      <c r="L760" t="s">
        <v>884</v>
      </c>
      <c r="M760" t="s">
        <v>874</v>
      </c>
      <c r="N760" t="s">
        <v>905</v>
      </c>
      <c r="O760" t="s">
        <v>915</v>
      </c>
      <c r="P760" t="s">
        <v>892</v>
      </c>
      <c r="Q760" s="7">
        <v>1350000</v>
      </c>
    </row>
    <row r="761" spans="1:17">
      <c r="A761" t="s">
        <v>1656</v>
      </c>
      <c r="B761" s="6">
        <v>45773</v>
      </c>
      <c r="C761" t="s">
        <v>682</v>
      </c>
      <c r="D761" t="s">
        <v>761</v>
      </c>
      <c r="E761">
        <v>2</v>
      </c>
      <c r="F761" s="7">
        <v>75000</v>
      </c>
      <c r="G761" s="7">
        <v>150000</v>
      </c>
      <c r="H761" t="s">
        <v>872</v>
      </c>
      <c r="I761" s="7">
        <v>0</v>
      </c>
      <c r="J761" s="7">
        <v>25000</v>
      </c>
      <c r="K761" s="7">
        <v>175000</v>
      </c>
      <c r="L761" t="s">
        <v>880</v>
      </c>
      <c r="M761" t="s">
        <v>874</v>
      </c>
      <c r="N761" t="s">
        <v>875</v>
      </c>
      <c r="O761" t="s">
        <v>891</v>
      </c>
      <c r="P761" t="s">
        <v>877</v>
      </c>
      <c r="Q761" s="7">
        <v>150000</v>
      </c>
    </row>
    <row r="762" spans="1:17">
      <c r="A762" t="s">
        <v>1657</v>
      </c>
      <c r="B762" s="6">
        <v>45794</v>
      </c>
      <c r="C762" t="s">
        <v>374</v>
      </c>
      <c r="D762" t="s">
        <v>761</v>
      </c>
      <c r="E762">
        <v>2</v>
      </c>
      <c r="F762" s="7">
        <v>75000</v>
      </c>
      <c r="G762" s="7">
        <v>150000</v>
      </c>
      <c r="H762" t="s">
        <v>872</v>
      </c>
      <c r="I762" s="7">
        <v>0</v>
      </c>
      <c r="J762" s="7">
        <v>30000</v>
      </c>
      <c r="K762" s="7">
        <v>180000</v>
      </c>
      <c r="L762" t="s">
        <v>873</v>
      </c>
      <c r="M762" t="s">
        <v>874</v>
      </c>
      <c r="N762" t="s">
        <v>875</v>
      </c>
      <c r="O762" t="s">
        <v>896</v>
      </c>
      <c r="P762" t="s">
        <v>877</v>
      </c>
      <c r="Q762" s="7">
        <v>150000</v>
      </c>
    </row>
    <row r="763" spans="1:17">
      <c r="A763" t="s">
        <v>1658</v>
      </c>
      <c r="B763" s="6">
        <v>45826</v>
      </c>
      <c r="C763" t="s">
        <v>678</v>
      </c>
      <c r="D763" t="s">
        <v>783</v>
      </c>
      <c r="E763">
        <v>1</v>
      </c>
      <c r="F763" s="7">
        <v>500000</v>
      </c>
      <c r="G763" s="7">
        <v>500000</v>
      </c>
      <c r="H763" t="s">
        <v>872</v>
      </c>
      <c r="I763" s="7">
        <v>0</v>
      </c>
      <c r="J763" s="7">
        <v>20000</v>
      </c>
      <c r="K763" s="7">
        <v>520000</v>
      </c>
      <c r="L763" t="s">
        <v>880</v>
      </c>
      <c r="M763" t="s">
        <v>903</v>
      </c>
      <c r="N763" t="s">
        <v>875</v>
      </c>
      <c r="O763" t="s">
        <v>915</v>
      </c>
      <c r="P763" t="s">
        <v>877</v>
      </c>
      <c r="Q763" s="7">
        <v>500000</v>
      </c>
    </row>
    <row r="764" spans="1:17">
      <c r="A764" t="s">
        <v>1659</v>
      </c>
      <c r="B764" s="6">
        <v>45686</v>
      </c>
      <c r="C764" t="s">
        <v>320</v>
      </c>
      <c r="D764" t="s">
        <v>841</v>
      </c>
      <c r="E764">
        <v>3</v>
      </c>
      <c r="F764" s="7">
        <v>75000</v>
      </c>
      <c r="G764" s="7">
        <v>225000</v>
      </c>
      <c r="H764" t="s">
        <v>879</v>
      </c>
      <c r="I764" s="7">
        <v>45000</v>
      </c>
      <c r="J764" s="7">
        <v>10000</v>
      </c>
      <c r="K764" s="7">
        <v>190000</v>
      </c>
      <c r="L764" t="s">
        <v>889</v>
      </c>
      <c r="M764" t="s">
        <v>901</v>
      </c>
      <c r="N764" t="s">
        <v>875</v>
      </c>
      <c r="O764" t="s">
        <v>908</v>
      </c>
      <c r="P764" t="s">
        <v>877</v>
      </c>
      <c r="Q764" s="7">
        <v>180000</v>
      </c>
    </row>
    <row r="765" spans="1:17">
      <c r="A765" t="s">
        <v>1660</v>
      </c>
      <c r="B765" s="6">
        <v>45799</v>
      </c>
      <c r="C765" t="s">
        <v>204</v>
      </c>
      <c r="D765" t="s">
        <v>775</v>
      </c>
      <c r="E765">
        <v>3</v>
      </c>
      <c r="F765" s="7">
        <v>75000</v>
      </c>
      <c r="G765" s="7">
        <v>225000</v>
      </c>
      <c r="H765" t="s">
        <v>883</v>
      </c>
      <c r="I765" s="7">
        <v>22500</v>
      </c>
      <c r="J765" s="7">
        <v>10000</v>
      </c>
      <c r="K765" s="7">
        <v>212500</v>
      </c>
      <c r="L765" t="s">
        <v>884</v>
      </c>
      <c r="M765" t="s">
        <v>901</v>
      </c>
      <c r="N765" t="s">
        <v>905</v>
      </c>
      <c r="O765" t="s">
        <v>896</v>
      </c>
      <c r="P765" t="s">
        <v>892</v>
      </c>
      <c r="Q765" s="7">
        <v>202500</v>
      </c>
    </row>
    <row r="766" spans="1:17">
      <c r="A766" t="s">
        <v>1661</v>
      </c>
      <c r="B766" s="6">
        <v>45675</v>
      </c>
      <c r="C766" t="s">
        <v>164</v>
      </c>
      <c r="D766" t="s">
        <v>801</v>
      </c>
      <c r="E766">
        <v>2</v>
      </c>
      <c r="F766" s="7">
        <v>100000</v>
      </c>
      <c r="G766" s="7">
        <v>200000</v>
      </c>
      <c r="H766" t="s">
        <v>895</v>
      </c>
      <c r="I766" s="7">
        <v>30000</v>
      </c>
      <c r="J766" s="7">
        <v>30000</v>
      </c>
      <c r="K766" s="7">
        <v>200000</v>
      </c>
      <c r="L766" t="s">
        <v>880</v>
      </c>
      <c r="M766" t="s">
        <v>903</v>
      </c>
      <c r="N766" t="s">
        <v>890</v>
      </c>
      <c r="O766" t="s">
        <v>908</v>
      </c>
      <c r="P766" t="s">
        <v>892</v>
      </c>
      <c r="Q766" s="7">
        <v>170000</v>
      </c>
    </row>
    <row r="767" spans="1:17">
      <c r="A767" t="s">
        <v>1662</v>
      </c>
      <c r="B767" s="6">
        <v>45691</v>
      </c>
      <c r="C767" t="s">
        <v>186</v>
      </c>
      <c r="D767" t="s">
        <v>785</v>
      </c>
      <c r="E767">
        <v>2</v>
      </c>
      <c r="F767" s="7">
        <v>100000</v>
      </c>
      <c r="G767" s="7">
        <v>200000</v>
      </c>
      <c r="H767" t="s">
        <v>872</v>
      </c>
      <c r="I767" s="7">
        <v>0</v>
      </c>
      <c r="J767" s="7">
        <v>15000</v>
      </c>
      <c r="K767" s="7">
        <v>215000</v>
      </c>
      <c r="L767" t="s">
        <v>873</v>
      </c>
      <c r="M767" t="s">
        <v>881</v>
      </c>
      <c r="N767" t="s">
        <v>921</v>
      </c>
      <c r="O767" t="s">
        <v>887</v>
      </c>
      <c r="P767" t="s">
        <v>892</v>
      </c>
      <c r="Q767" s="7">
        <v>200000</v>
      </c>
    </row>
    <row r="768" spans="1:17">
      <c r="A768" t="s">
        <v>1663</v>
      </c>
      <c r="B768" s="6">
        <v>45784</v>
      </c>
      <c r="C768" t="s">
        <v>178</v>
      </c>
      <c r="D768" t="s">
        <v>749</v>
      </c>
      <c r="E768">
        <v>1</v>
      </c>
      <c r="F768" s="7">
        <v>150000</v>
      </c>
      <c r="G768" s="7">
        <v>150000</v>
      </c>
      <c r="H768" t="s">
        <v>872</v>
      </c>
      <c r="I768" s="7">
        <v>0</v>
      </c>
      <c r="J768" s="7">
        <v>30000</v>
      </c>
      <c r="K768" s="7">
        <v>180000</v>
      </c>
      <c r="L768" t="s">
        <v>884</v>
      </c>
      <c r="M768" t="s">
        <v>874</v>
      </c>
      <c r="N768" t="s">
        <v>875</v>
      </c>
      <c r="O768" t="s">
        <v>896</v>
      </c>
      <c r="P768" t="s">
        <v>877</v>
      </c>
      <c r="Q768" s="7">
        <v>150000</v>
      </c>
    </row>
    <row r="769" spans="1:17">
      <c r="A769" t="s">
        <v>1664</v>
      </c>
      <c r="B769" s="6">
        <v>45835</v>
      </c>
      <c r="C769" t="s">
        <v>474</v>
      </c>
      <c r="D769" t="s">
        <v>831</v>
      </c>
      <c r="E769">
        <v>1</v>
      </c>
      <c r="F769" s="7">
        <v>300000</v>
      </c>
      <c r="G769" s="7">
        <v>300000</v>
      </c>
      <c r="H769" t="s">
        <v>895</v>
      </c>
      <c r="I769" s="7">
        <v>45000</v>
      </c>
      <c r="J769" s="7">
        <v>15000</v>
      </c>
      <c r="K769" s="7">
        <v>270000</v>
      </c>
      <c r="L769" t="s">
        <v>884</v>
      </c>
      <c r="M769" t="s">
        <v>881</v>
      </c>
      <c r="N769" t="s">
        <v>875</v>
      </c>
      <c r="O769" t="s">
        <v>915</v>
      </c>
      <c r="P769" t="s">
        <v>877</v>
      </c>
      <c r="Q769" s="7">
        <v>255000</v>
      </c>
    </row>
    <row r="770" spans="1:17">
      <c r="A770" t="s">
        <v>1665</v>
      </c>
      <c r="B770" s="6">
        <v>45794</v>
      </c>
      <c r="C770" t="s">
        <v>202</v>
      </c>
      <c r="D770" t="s">
        <v>841</v>
      </c>
      <c r="E770">
        <v>2</v>
      </c>
      <c r="F770" s="7">
        <v>75000</v>
      </c>
      <c r="G770" s="7">
        <v>150000</v>
      </c>
      <c r="H770" t="s">
        <v>872</v>
      </c>
      <c r="I770" s="7">
        <v>0</v>
      </c>
      <c r="J770" s="7">
        <v>10000</v>
      </c>
      <c r="K770" s="7">
        <v>160000</v>
      </c>
      <c r="L770" t="s">
        <v>884</v>
      </c>
      <c r="M770" t="s">
        <v>881</v>
      </c>
      <c r="N770" t="s">
        <v>875</v>
      </c>
      <c r="O770" t="s">
        <v>896</v>
      </c>
      <c r="P770" t="s">
        <v>877</v>
      </c>
      <c r="Q770" s="7">
        <v>150000</v>
      </c>
    </row>
    <row r="771" spans="1:17">
      <c r="A771" t="s">
        <v>1666</v>
      </c>
      <c r="B771" s="6">
        <v>45758</v>
      </c>
      <c r="C771" t="s">
        <v>414</v>
      </c>
      <c r="D771" t="s">
        <v>825</v>
      </c>
      <c r="E771">
        <v>1</v>
      </c>
      <c r="F771" s="7">
        <v>100000</v>
      </c>
      <c r="G771" s="7">
        <v>100000</v>
      </c>
      <c r="H771" t="s">
        <v>872</v>
      </c>
      <c r="I771" s="7">
        <v>0</v>
      </c>
      <c r="J771" s="7">
        <v>15000</v>
      </c>
      <c r="K771" s="7">
        <v>115000</v>
      </c>
      <c r="L771" t="s">
        <v>884</v>
      </c>
      <c r="M771" t="s">
        <v>901</v>
      </c>
      <c r="N771" t="s">
        <v>875</v>
      </c>
      <c r="O771" t="s">
        <v>891</v>
      </c>
      <c r="P771" t="s">
        <v>877</v>
      </c>
      <c r="Q771" s="7">
        <v>100000</v>
      </c>
    </row>
    <row r="772" spans="1:17">
      <c r="A772" t="s">
        <v>1667</v>
      </c>
      <c r="B772" s="6">
        <v>45688</v>
      </c>
      <c r="C772" t="s">
        <v>648</v>
      </c>
      <c r="D772" t="s">
        <v>797</v>
      </c>
      <c r="E772">
        <v>2</v>
      </c>
      <c r="F772" s="7">
        <v>150000</v>
      </c>
      <c r="G772" s="7">
        <v>300000</v>
      </c>
      <c r="H772" t="s">
        <v>872</v>
      </c>
      <c r="I772" s="7">
        <v>0</v>
      </c>
      <c r="J772" s="7">
        <v>15000</v>
      </c>
      <c r="K772" s="7">
        <v>315000</v>
      </c>
      <c r="L772" t="s">
        <v>889</v>
      </c>
      <c r="M772" t="s">
        <v>874</v>
      </c>
      <c r="N772" t="s">
        <v>875</v>
      </c>
      <c r="O772" t="s">
        <v>908</v>
      </c>
      <c r="P772" t="s">
        <v>877</v>
      </c>
      <c r="Q772" s="7">
        <v>300000</v>
      </c>
    </row>
    <row r="773" spans="1:17">
      <c r="A773" t="s">
        <v>1668</v>
      </c>
      <c r="B773" s="6">
        <v>45681</v>
      </c>
      <c r="C773" t="s">
        <v>236</v>
      </c>
      <c r="D773" t="s">
        <v>843</v>
      </c>
      <c r="E773">
        <v>1</v>
      </c>
      <c r="F773" s="7">
        <v>100000</v>
      </c>
      <c r="G773" s="7">
        <v>100000</v>
      </c>
      <c r="H773" t="s">
        <v>872</v>
      </c>
      <c r="I773" s="7">
        <v>0</v>
      </c>
      <c r="J773" s="7">
        <v>30000</v>
      </c>
      <c r="K773" s="7">
        <v>130000</v>
      </c>
      <c r="L773" t="s">
        <v>880</v>
      </c>
      <c r="M773" t="s">
        <v>903</v>
      </c>
      <c r="N773" t="s">
        <v>875</v>
      </c>
      <c r="O773" t="s">
        <v>908</v>
      </c>
      <c r="P773" t="s">
        <v>877</v>
      </c>
      <c r="Q773" s="7">
        <v>100000</v>
      </c>
    </row>
    <row r="774" spans="1:17">
      <c r="A774" t="s">
        <v>1669</v>
      </c>
      <c r="B774" s="6">
        <v>45683</v>
      </c>
      <c r="C774" t="s">
        <v>292</v>
      </c>
      <c r="D774" t="s">
        <v>855</v>
      </c>
      <c r="E774">
        <v>1</v>
      </c>
      <c r="F774" s="7">
        <v>150000</v>
      </c>
      <c r="G774" s="7">
        <v>150000</v>
      </c>
      <c r="H774" t="s">
        <v>886</v>
      </c>
      <c r="I774" s="7">
        <v>15000</v>
      </c>
      <c r="J774" s="7">
        <v>30000</v>
      </c>
      <c r="K774" s="7">
        <v>165000</v>
      </c>
      <c r="L774" t="s">
        <v>884</v>
      </c>
      <c r="M774" t="s">
        <v>903</v>
      </c>
      <c r="N774" t="s">
        <v>921</v>
      </c>
      <c r="O774" t="s">
        <v>908</v>
      </c>
      <c r="P774" t="s">
        <v>892</v>
      </c>
      <c r="Q774" s="7">
        <v>135000</v>
      </c>
    </row>
    <row r="775" spans="1:17">
      <c r="A775" t="s">
        <v>1670</v>
      </c>
      <c r="B775" s="6">
        <v>45749</v>
      </c>
      <c r="C775" t="s">
        <v>488</v>
      </c>
      <c r="D775" t="s">
        <v>757</v>
      </c>
      <c r="E775">
        <v>4</v>
      </c>
      <c r="F775" s="7">
        <v>75000</v>
      </c>
      <c r="G775" s="7">
        <v>300000</v>
      </c>
      <c r="H775" t="s">
        <v>872</v>
      </c>
      <c r="I775" s="7">
        <v>0</v>
      </c>
      <c r="J775" s="7">
        <v>25000</v>
      </c>
      <c r="K775" s="7">
        <v>325000</v>
      </c>
      <c r="L775" t="s">
        <v>873</v>
      </c>
      <c r="M775" t="s">
        <v>903</v>
      </c>
      <c r="N775" t="s">
        <v>905</v>
      </c>
      <c r="O775" t="s">
        <v>891</v>
      </c>
      <c r="P775" t="s">
        <v>892</v>
      </c>
      <c r="Q775" s="7">
        <v>300000</v>
      </c>
    </row>
    <row r="776" spans="1:17">
      <c r="A776" t="s">
        <v>1671</v>
      </c>
      <c r="B776" s="6">
        <v>45672</v>
      </c>
      <c r="C776" t="s">
        <v>220</v>
      </c>
      <c r="D776" t="s">
        <v>809</v>
      </c>
      <c r="E776">
        <v>4</v>
      </c>
      <c r="F776" s="7">
        <v>100000</v>
      </c>
      <c r="G776" s="7">
        <v>400000</v>
      </c>
      <c r="H776" t="s">
        <v>872</v>
      </c>
      <c r="I776" s="7">
        <v>0</v>
      </c>
      <c r="J776" s="7">
        <v>25000</v>
      </c>
      <c r="K776" s="7">
        <v>425000</v>
      </c>
      <c r="L776" t="s">
        <v>889</v>
      </c>
      <c r="M776" t="s">
        <v>874</v>
      </c>
      <c r="N776" t="s">
        <v>911</v>
      </c>
      <c r="O776" t="s">
        <v>908</v>
      </c>
      <c r="P776" t="s">
        <v>892</v>
      </c>
      <c r="Q776" s="7">
        <v>400000</v>
      </c>
    </row>
    <row r="777" spans="1:17">
      <c r="A777" t="s">
        <v>1672</v>
      </c>
      <c r="B777" s="6">
        <v>45789</v>
      </c>
      <c r="C777" t="s">
        <v>446</v>
      </c>
      <c r="D777" t="s">
        <v>835</v>
      </c>
      <c r="E777">
        <v>3</v>
      </c>
      <c r="F777" s="7">
        <v>200000</v>
      </c>
      <c r="G777" s="7">
        <v>600000</v>
      </c>
      <c r="H777" t="s">
        <v>886</v>
      </c>
      <c r="I777" s="7">
        <v>60000</v>
      </c>
      <c r="J777" s="7">
        <v>15000</v>
      </c>
      <c r="K777" s="7">
        <v>555000</v>
      </c>
      <c r="L777" t="s">
        <v>880</v>
      </c>
      <c r="M777" t="s">
        <v>881</v>
      </c>
      <c r="N777" t="s">
        <v>875</v>
      </c>
      <c r="O777" t="s">
        <v>896</v>
      </c>
      <c r="P777" t="s">
        <v>877</v>
      </c>
      <c r="Q777" s="7">
        <v>540000</v>
      </c>
    </row>
    <row r="778" spans="1:17">
      <c r="A778" t="s">
        <v>1673</v>
      </c>
      <c r="B778" s="6">
        <v>45780</v>
      </c>
      <c r="C778" t="s">
        <v>290</v>
      </c>
      <c r="D778" t="s">
        <v>793</v>
      </c>
      <c r="E778">
        <v>1</v>
      </c>
      <c r="F778" s="7">
        <v>500000</v>
      </c>
      <c r="G778" s="7">
        <v>500000</v>
      </c>
      <c r="H778" t="s">
        <v>872</v>
      </c>
      <c r="I778" s="7">
        <v>0</v>
      </c>
      <c r="J778" s="7">
        <v>15000</v>
      </c>
      <c r="K778" s="7">
        <v>515000</v>
      </c>
      <c r="L778" t="s">
        <v>889</v>
      </c>
      <c r="M778" t="s">
        <v>903</v>
      </c>
      <c r="N778" t="s">
        <v>890</v>
      </c>
      <c r="O778" t="s">
        <v>896</v>
      </c>
      <c r="P778" t="s">
        <v>892</v>
      </c>
      <c r="Q778" s="7">
        <v>500000</v>
      </c>
    </row>
    <row r="779" spans="1:17">
      <c r="A779" t="s">
        <v>1674</v>
      </c>
      <c r="B779" s="6">
        <v>45794</v>
      </c>
      <c r="C779" t="s">
        <v>400</v>
      </c>
      <c r="D779" t="s">
        <v>823</v>
      </c>
      <c r="E779">
        <v>2</v>
      </c>
      <c r="F779" s="7">
        <v>500000</v>
      </c>
      <c r="G779" s="7">
        <v>1000000</v>
      </c>
      <c r="H779" t="s">
        <v>872</v>
      </c>
      <c r="I779" s="7">
        <v>0</v>
      </c>
      <c r="J779" s="7">
        <v>10000</v>
      </c>
      <c r="K779" s="7">
        <v>1010000</v>
      </c>
      <c r="L779" t="s">
        <v>873</v>
      </c>
      <c r="M779" t="s">
        <v>874</v>
      </c>
      <c r="N779" t="s">
        <v>875</v>
      </c>
      <c r="O779" t="s">
        <v>896</v>
      </c>
      <c r="P779" t="s">
        <v>877</v>
      </c>
      <c r="Q779" s="7">
        <v>1000000</v>
      </c>
    </row>
    <row r="780" spans="1:17">
      <c r="A780" t="s">
        <v>1675</v>
      </c>
      <c r="B780" s="6">
        <v>45678</v>
      </c>
      <c r="C780" t="s">
        <v>360</v>
      </c>
      <c r="D780" t="s">
        <v>765</v>
      </c>
      <c r="E780">
        <v>1</v>
      </c>
      <c r="F780" s="7">
        <v>500000</v>
      </c>
      <c r="G780" s="7">
        <v>500000</v>
      </c>
      <c r="H780" t="s">
        <v>872</v>
      </c>
      <c r="I780" s="7">
        <v>0</v>
      </c>
      <c r="J780" s="7">
        <v>15000</v>
      </c>
      <c r="K780" s="7">
        <v>515000</v>
      </c>
      <c r="L780" t="s">
        <v>884</v>
      </c>
      <c r="M780" t="s">
        <v>874</v>
      </c>
      <c r="N780" t="s">
        <v>875</v>
      </c>
      <c r="O780" t="s">
        <v>908</v>
      </c>
      <c r="P780" t="s">
        <v>877</v>
      </c>
      <c r="Q780" s="7">
        <v>500000</v>
      </c>
    </row>
    <row r="781" spans="1:17">
      <c r="A781" t="s">
        <v>1676</v>
      </c>
      <c r="B781" s="6">
        <v>45808</v>
      </c>
      <c r="C781" t="s">
        <v>300</v>
      </c>
      <c r="D781" t="s">
        <v>741</v>
      </c>
      <c r="E781">
        <v>2</v>
      </c>
      <c r="F781" s="7">
        <v>75000</v>
      </c>
      <c r="G781" s="7">
        <v>150000</v>
      </c>
      <c r="H781" t="s">
        <v>879</v>
      </c>
      <c r="I781" s="7">
        <v>30000</v>
      </c>
      <c r="J781" s="7">
        <v>30000</v>
      </c>
      <c r="K781" s="7">
        <v>150000</v>
      </c>
      <c r="L781" t="s">
        <v>884</v>
      </c>
      <c r="M781" t="s">
        <v>901</v>
      </c>
      <c r="N781" t="s">
        <v>875</v>
      </c>
      <c r="O781" t="s">
        <v>896</v>
      </c>
      <c r="P781" t="s">
        <v>877</v>
      </c>
      <c r="Q781" s="7">
        <v>120000</v>
      </c>
    </row>
    <row r="782" spans="1:17">
      <c r="A782" t="s">
        <v>1677</v>
      </c>
      <c r="B782" s="6">
        <v>45806</v>
      </c>
      <c r="C782" t="s">
        <v>310</v>
      </c>
      <c r="D782" t="s">
        <v>801</v>
      </c>
      <c r="E782">
        <v>1</v>
      </c>
      <c r="F782" s="7">
        <v>100000</v>
      </c>
      <c r="G782" s="7">
        <v>100000</v>
      </c>
      <c r="H782" t="s">
        <v>886</v>
      </c>
      <c r="I782" s="7">
        <v>10000</v>
      </c>
      <c r="J782" s="7">
        <v>20000</v>
      </c>
      <c r="K782" s="7">
        <v>110000</v>
      </c>
      <c r="L782" t="s">
        <v>884</v>
      </c>
      <c r="M782" t="s">
        <v>881</v>
      </c>
      <c r="N782" t="s">
        <v>875</v>
      </c>
      <c r="O782" t="s">
        <v>896</v>
      </c>
      <c r="P782" t="s">
        <v>877</v>
      </c>
      <c r="Q782" s="7">
        <v>90000</v>
      </c>
    </row>
    <row r="783" spans="1:17">
      <c r="A783" t="s">
        <v>1678</v>
      </c>
      <c r="B783" s="6">
        <v>45797</v>
      </c>
      <c r="C783" t="s">
        <v>218</v>
      </c>
      <c r="D783" t="s">
        <v>759</v>
      </c>
      <c r="E783">
        <v>2</v>
      </c>
      <c r="F783" s="7">
        <v>300000</v>
      </c>
      <c r="G783" s="7">
        <v>600000</v>
      </c>
      <c r="H783" t="s">
        <v>872</v>
      </c>
      <c r="I783" s="7">
        <v>0</v>
      </c>
      <c r="J783" s="7">
        <v>25000</v>
      </c>
      <c r="K783" s="7">
        <v>625000</v>
      </c>
      <c r="L783" t="s">
        <v>873</v>
      </c>
      <c r="M783" t="s">
        <v>901</v>
      </c>
      <c r="N783" t="s">
        <v>875</v>
      </c>
      <c r="O783" t="s">
        <v>896</v>
      </c>
      <c r="P783" t="s">
        <v>877</v>
      </c>
      <c r="Q783" s="7">
        <v>600000</v>
      </c>
    </row>
    <row r="784" spans="1:17">
      <c r="A784" t="s">
        <v>1679</v>
      </c>
      <c r="B784" s="6">
        <v>45799</v>
      </c>
      <c r="C784" t="s">
        <v>334</v>
      </c>
      <c r="D784" t="s">
        <v>769</v>
      </c>
      <c r="E784">
        <v>3</v>
      </c>
      <c r="F784" s="7">
        <v>100000</v>
      </c>
      <c r="G784" s="7">
        <v>300000</v>
      </c>
      <c r="H784" t="s">
        <v>872</v>
      </c>
      <c r="I784" s="7">
        <v>0</v>
      </c>
      <c r="J784" s="7">
        <v>30000</v>
      </c>
      <c r="K784" s="7">
        <v>330000</v>
      </c>
      <c r="L784" t="s">
        <v>889</v>
      </c>
      <c r="M784" t="s">
        <v>881</v>
      </c>
      <c r="N784" t="s">
        <v>875</v>
      </c>
      <c r="O784" t="s">
        <v>896</v>
      </c>
      <c r="P784" t="s">
        <v>877</v>
      </c>
      <c r="Q784" s="7">
        <v>300000</v>
      </c>
    </row>
    <row r="785" spans="1:17">
      <c r="A785" t="s">
        <v>1680</v>
      </c>
      <c r="B785" s="6">
        <v>45777</v>
      </c>
      <c r="C785" t="s">
        <v>578</v>
      </c>
      <c r="D785" t="s">
        <v>811</v>
      </c>
      <c r="E785">
        <v>1</v>
      </c>
      <c r="F785" s="7">
        <v>35000</v>
      </c>
      <c r="G785" s="7">
        <v>35000</v>
      </c>
      <c r="H785" t="s">
        <v>872</v>
      </c>
      <c r="I785" s="7">
        <v>0</v>
      </c>
      <c r="J785" s="7">
        <v>10000</v>
      </c>
      <c r="K785" s="7">
        <v>45000</v>
      </c>
      <c r="L785" t="s">
        <v>889</v>
      </c>
      <c r="M785" t="s">
        <v>903</v>
      </c>
      <c r="N785" t="s">
        <v>921</v>
      </c>
      <c r="O785" t="s">
        <v>891</v>
      </c>
      <c r="P785" t="s">
        <v>892</v>
      </c>
      <c r="Q785" s="7">
        <v>35000</v>
      </c>
    </row>
    <row r="786" spans="1:17">
      <c r="A786" t="s">
        <v>1681</v>
      </c>
      <c r="B786" s="6">
        <v>45675</v>
      </c>
      <c r="C786" t="s">
        <v>105</v>
      </c>
      <c r="D786" t="s">
        <v>759</v>
      </c>
      <c r="E786">
        <v>1</v>
      </c>
      <c r="F786" s="7">
        <v>300000</v>
      </c>
      <c r="G786" s="7">
        <v>300000</v>
      </c>
      <c r="H786" t="s">
        <v>872</v>
      </c>
      <c r="I786" s="7">
        <v>0</v>
      </c>
      <c r="J786" s="7">
        <v>15000</v>
      </c>
      <c r="K786" s="7">
        <v>315000</v>
      </c>
      <c r="L786" t="s">
        <v>873</v>
      </c>
      <c r="M786" t="s">
        <v>881</v>
      </c>
      <c r="N786" t="s">
        <v>921</v>
      </c>
      <c r="O786" t="s">
        <v>908</v>
      </c>
      <c r="P786" t="s">
        <v>892</v>
      </c>
      <c r="Q786" s="7">
        <v>300000</v>
      </c>
    </row>
    <row r="787" spans="1:17">
      <c r="A787" t="s">
        <v>1682</v>
      </c>
      <c r="B787" s="6">
        <v>45796</v>
      </c>
      <c r="C787" t="s">
        <v>486</v>
      </c>
      <c r="D787" t="s">
        <v>805</v>
      </c>
      <c r="E787">
        <v>2</v>
      </c>
      <c r="F787" s="7">
        <v>200000</v>
      </c>
      <c r="G787" s="7">
        <v>400000</v>
      </c>
      <c r="H787" t="s">
        <v>872</v>
      </c>
      <c r="I787" s="7">
        <v>0</v>
      </c>
      <c r="J787" s="7">
        <v>25000</v>
      </c>
      <c r="K787" s="7">
        <v>425000</v>
      </c>
      <c r="L787" t="s">
        <v>884</v>
      </c>
      <c r="M787" t="s">
        <v>903</v>
      </c>
      <c r="N787" t="s">
        <v>911</v>
      </c>
      <c r="O787" t="s">
        <v>896</v>
      </c>
      <c r="P787" t="s">
        <v>892</v>
      </c>
      <c r="Q787" s="7">
        <v>400000</v>
      </c>
    </row>
    <row r="788" spans="1:17">
      <c r="A788" t="s">
        <v>1683</v>
      </c>
      <c r="B788" s="6">
        <v>45681</v>
      </c>
      <c r="C788" t="s">
        <v>290</v>
      </c>
      <c r="D788" t="s">
        <v>819</v>
      </c>
      <c r="E788">
        <v>3</v>
      </c>
      <c r="F788" s="7">
        <v>300000</v>
      </c>
      <c r="G788" s="7">
        <v>900000</v>
      </c>
      <c r="H788" t="s">
        <v>879</v>
      </c>
      <c r="I788" s="7">
        <v>180000</v>
      </c>
      <c r="J788" s="7">
        <v>10000</v>
      </c>
      <c r="K788" s="7">
        <v>730000</v>
      </c>
      <c r="L788" t="s">
        <v>884</v>
      </c>
      <c r="M788" t="s">
        <v>881</v>
      </c>
      <c r="N788" t="s">
        <v>875</v>
      </c>
      <c r="O788" t="s">
        <v>908</v>
      </c>
      <c r="P788" t="s">
        <v>877</v>
      </c>
      <c r="Q788" s="7">
        <v>720000</v>
      </c>
    </row>
    <row r="789" spans="1:17">
      <c r="A789" t="s">
        <v>1684</v>
      </c>
      <c r="B789" s="6">
        <v>45706</v>
      </c>
      <c r="C789" t="s">
        <v>590</v>
      </c>
      <c r="D789" t="s">
        <v>751</v>
      </c>
      <c r="E789">
        <v>4</v>
      </c>
      <c r="F789" s="7">
        <v>150000</v>
      </c>
      <c r="G789" s="7">
        <v>600000</v>
      </c>
      <c r="H789" t="s">
        <v>895</v>
      </c>
      <c r="I789" s="7">
        <v>90000</v>
      </c>
      <c r="J789" s="7">
        <v>25000</v>
      </c>
      <c r="K789" s="7">
        <v>535000</v>
      </c>
      <c r="L789" t="s">
        <v>889</v>
      </c>
      <c r="M789" t="s">
        <v>901</v>
      </c>
      <c r="N789" t="s">
        <v>875</v>
      </c>
      <c r="O789" t="s">
        <v>887</v>
      </c>
      <c r="P789" t="s">
        <v>877</v>
      </c>
      <c r="Q789" s="7">
        <v>510000</v>
      </c>
    </row>
    <row r="790" spans="1:17">
      <c r="A790" t="s">
        <v>1685</v>
      </c>
      <c r="B790" s="6">
        <v>45824</v>
      </c>
      <c r="C790" t="s">
        <v>398</v>
      </c>
      <c r="D790" t="s">
        <v>813</v>
      </c>
      <c r="E790">
        <v>2</v>
      </c>
      <c r="F790" s="7">
        <v>35000</v>
      </c>
      <c r="G790" s="7">
        <v>70000</v>
      </c>
      <c r="H790" t="s">
        <v>879</v>
      </c>
      <c r="I790" s="7">
        <v>14000</v>
      </c>
      <c r="J790" s="7">
        <v>15000</v>
      </c>
      <c r="K790" s="7">
        <v>71000</v>
      </c>
      <c r="L790" t="s">
        <v>889</v>
      </c>
      <c r="M790" t="s">
        <v>903</v>
      </c>
      <c r="N790" t="s">
        <v>875</v>
      </c>
      <c r="O790" t="s">
        <v>915</v>
      </c>
      <c r="P790" t="s">
        <v>877</v>
      </c>
      <c r="Q790" s="7">
        <v>56000</v>
      </c>
    </row>
    <row r="791" spans="1:17">
      <c r="A791" t="s">
        <v>1686</v>
      </c>
      <c r="B791" s="6">
        <v>45765</v>
      </c>
      <c r="C791" t="s">
        <v>242</v>
      </c>
      <c r="D791" t="s">
        <v>785</v>
      </c>
      <c r="E791">
        <v>4</v>
      </c>
      <c r="F791" s="7">
        <v>100000</v>
      </c>
      <c r="G791" s="7">
        <v>400000</v>
      </c>
      <c r="H791" t="s">
        <v>872</v>
      </c>
      <c r="I791" s="7">
        <v>0</v>
      </c>
      <c r="J791" s="7">
        <v>15000</v>
      </c>
      <c r="K791" s="7">
        <v>415000</v>
      </c>
      <c r="L791" t="s">
        <v>889</v>
      </c>
      <c r="M791" t="s">
        <v>874</v>
      </c>
      <c r="N791" t="s">
        <v>875</v>
      </c>
      <c r="O791" t="s">
        <v>891</v>
      </c>
      <c r="P791" t="s">
        <v>877</v>
      </c>
      <c r="Q791" s="7">
        <v>400000</v>
      </c>
    </row>
    <row r="792" spans="1:17">
      <c r="A792" t="s">
        <v>1687</v>
      </c>
      <c r="B792" s="6">
        <v>45805</v>
      </c>
      <c r="C792" t="s">
        <v>184</v>
      </c>
      <c r="D792" t="s">
        <v>831</v>
      </c>
      <c r="E792">
        <v>2</v>
      </c>
      <c r="F792" s="7">
        <v>300000</v>
      </c>
      <c r="G792" s="7">
        <v>600000</v>
      </c>
      <c r="H792" t="s">
        <v>895</v>
      </c>
      <c r="I792" s="7">
        <v>90000</v>
      </c>
      <c r="J792" s="7">
        <v>15000</v>
      </c>
      <c r="K792" s="7">
        <v>525000</v>
      </c>
      <c r="L792" t="s">
        <v>880</v>
      </c>
      <c r="M792" t="s">
        <v>881</v>
      </c>
      <c r="N792" t="s">
        <v>875</v>
      </c>
      <c r="O792" t="s">
        <v>896</v>
      </c>
      <c r="P792" t="s">
        <v>877</v>
      </c>
      <c r="Q792" s="7">
        <v>510000</v>
      </c>
    </row>
    <row r="793" spans="1:17">
      <c r="A793" t="s">
        <v>1688</v>
      </c>
      <c r="B793" s="6">
        <v>45763</v>
      </c>
      <c r="C793" t="s">
        <v>133</v>
      </c>
      <c r="D793" t="s">
        <v>753</v>
      </c>
      <c r="E793">
        <v>1</v>
      </c>
      <c r="F793" s="7">
        <v>300000</v>
      </c>
      <c r="G793" s="7">
        <v>300000</v>
      </c>
      <c r="H793" t="s">
        <v>872</v>
      </c>
      <c r="I793" s="7">
        <v>0</v>
      </c>
      <c r="J793" s="7">
        <v>25000</v>
      </c>
      <c r="K793" s="7">
        <v>325000</v>
      </c>
      <c r="L793" t="s">
        <v>889</v>
      </c>
      <c r="M793" t="s">
        <v>903</v>
      </c>
      <c r="N793" t="s">
        <v>875</v>
      </c>
      <c r="O793" t="s">
        <v>891</v>
      </c>
      <c r="P793" t="s">
        <v>877</v>
      </c>
      <c r="Q793" s="7">
        <v>300000</v>
      </c>
    </row>
    <row r="794" spans="1:17">
      <c r="A794" t="s">
        <v>1689</v>
      </c>
      <c r="B794" s="6">
        <v>45682</v>
      </c>
      <c r="C794" t="s">
        <v>95</v>
      </c>
      <c r="D794" t="s">
        <v>845</v>
      </c>
      <c r="E794">
        <v>4</v>
      </c>
      <c r="F794" s="7">
        <v>300000</v>
      </c>
      <c r="G794" s="7">
        <v>1200000</v>
      </c>
      <c r="H794" t="s">
        <v>872</v>
      </c>
      <c r="I794" s="7">
        <v>0</v>
      </c>
      <c r="J794" s="7">
        <v>20000</v>
      </c>
      <c r="K794" s="7">
        <v>1220000</v>
      </c>
      <c r="L794" t="s">
        <v>889</v>
      </c>
      <c r="M794" t="s">
        <v>881</v>
      </c>
      <c r="N794" t="s">
        <v>875</v>
      </c>
      <c r="O794" t="s">
        <v>908</v>
      </c>
      <c r="P794" t="s">
        <v>877</v>
      </c>
      <c r="Q794" s="7">
        <v>1200000</v>
      </c>
    </row>
    <row r="795" spans="1:17">
      <c r="A795" t="s">
        <v>1690</v>
      </c>
      <c r="B795" s="6">
        <v>45685</v>
      </c>
      <c r="C795" t="s">
        <v>444</v>
      </c>
      <c r="D795" t="s">
        <v>853</v>
      </c>
      <c r="E795">
        <v>4</v>
      </c>
      <c r="F795" s="7">
        <v>75000</v>
      </c>
      <c r="G795" s="7">
        <v>300000</v>
      </c>
      <c r="H795" t="s">
        <v>883</v>
      </c>
      <c r="I795" s="7">
        <v>30000</v>
      </c>
      <c r="J795" s="7">
        <v>20000</v>
      </c>
      <c r="K795" s="7">
        <v>290000</v>
      </c>
      <c r="L795" t="s">
        <v>880</v>
      </c>
      <c r="M795" t="s">
        <v>881</v>
      </c>
      <c r="N795" t="s">
        <v>921</v>
      </c>
      <c r="O795" t="s">
        <v>908</v>
      </c>
      <c r="P795" t="s">
        <v>892</v>
      </c>
      <c r="Q795" s="7">
        <v>270000</v>
      </c>
    </row>
    <row r="796" spans="1:17">
      <c r="A796" t="s">
        <v>1691</v>
      </c>
      <c r="B796" s="6">
        <v>45758</v>
      </c>
      <c r="C796" t="s">
        <v>228</v>
      </c>
      <c r="D796" t="s">
        <v>771</v>
      </c>
      <c r="E796">
        <v>1</v>
      </c>
      <c r="F796" s="7">
        <v>500000</v>
      </c>
      <c r="G796" s="7">
        <v>500000</v>
      </c>
      <c r="H796" t="s">
        <v>872</v>
      </c>
      <c r="I796" s="7">
        <v>0</v>
      </c>
      <c r="J796" s="7">
        <v>25000</v>
      </c>
      <c r="K796" s="7">
        <v>525000</v>
      </c>
      <c r="L796" t="s">
        <v>889</v>
      </c>
      <c r="M796" t="s">
        <v>903</v>
      </c>
      <c r="N796" t="s">
        <v>911</v>
      </c>
      <c r="O796" t="s">
        <v>891</v>
      </c>
      <c r="P796" t="s">
        <v>892</v>
      </c>
      <c r="Q796" s="7">
        <v>500000</v>
      </c>
    </row>
    <row r="797" spans="1:17">
      <c r="A797" t="s">
        <v>1692</v>
      </c>
      <c r="B797" s="6">
        <v>45780</v>
      </c>
      <c r="C797" t="s">
        <v>462</v>
      </c>
      <c r="D797" t="s">
        <v>729</v>
      </c>
      <c r="E797">
        <v>1</v>
      </c>
      <c r="F797" s="7">
        <v>100000</v>
      </c>
      <c r="G797" s="7">
        <v>100000</v>
      </c>
      <c r="H797" t="s">
        <v>886</v>
      </c>
      <c r="I797" s="7">
        <v>10000</v>
      </c>
      <c r="J797" s="7">
        <v>30000</v>
      </c>
      <c r="K797" s="7">
        <v>120000</v>
      </c>
      <c r="L797" t="s">
        <v>884</v>
      </c>
      <c r="M797" t="s">
        <v>903</v>
      </c>
      <c r="N797" t="s">
        <v>875</v>
      </c>
      <c r="O797" t="s">
        <v>896</v>
      </c>
      <c r="P797" t="s">
        <v>877</v>
      </c>
      <c r="Q797" s="7">
        <v>90000</v>
      </c>
    </row>
    <row r="798" spans="1:17">
      <c r="A798" t="s">
        <v>1693</v>
      </c>
      <c r="B798" s="6">
        <v>45754</v>
      </c>
      <c r="C798" t="s">
        <v>240</v>
      </c>
      <c r="D798" t="s">
        <v>745</v>
      </c>
      <c r="E798">
        <v>2</v>
      </c>
      <c r="F798" s="7">
        <v>500000</v>
      </c>
      <c r="G798" s="7">
        <v>1000000</v>
      </c>
      <c r="H798" t="s">
        <v>895</v>
      </c>
      <c r="I798" s="7">
        <v>150000</v>
      </c>
      <c r="J798" s="7">
        <v>20000</v>
      </c>
      <c r="K798" s="7">
        <v>870000</v>
      </c>
      <c r="L798" t="s">
        <v>880</v>
      </c>
      <c r="M798" t="s">
        <v>874</v>
      </c>
      <c r="N798" t="s">
        <v>875</v>
      </c>
      <c r="O798" t="s">
        <v>891</v>
      </c>
      <c r="P798" t="s">
        <v>877</v>
      </c>
      <c r="Q798" s="7">
        <v>850000</v>
      </c>
    </row>
    <row r="799" spans="1:17">
      <c r="A799" t="s">
        <v>1694</v>
      </c>
      <c r="B799" s="6">
        <v>45690</v>
      </c>
      <c r="C799" t="s">
        <v>97</v>
      </c>
      <c r="D799" t="s">
        <v>799</v>
      </c>
      <c r="E799">
        <v>2</v>
      </c>
      <c r="F799" s="7">
        <v>35000</v>
      </c>
      <c r="G799" s="7">
        <v>70000</v>
      </c>
      <c r="H799" t="s">
        <v>886</v>
      </c>
      <c r="I799" s="7">
        <v>7000</v>
      </c>
      <c r="J799" s="7">
        <v>20000</v>
      </c>
      <c r="K799" s="7">
        <v>83000</v>
      </c>
      <c r="L799" t="s">
        <v>884</v>
      </c>
      <c r="M799" t="s">
        <v>903</v>
      </c>
      <c r="N799" t="s">
        <v>875</v>
      </c>
      <c r="O799" t="s">
        <v>887</v>
      </c>
      <c r="P799" t="s">
        <v>877</v>
      </c>
      <c r="Q799" s="7">
        <v>63000</v>
      </c>
    </row>
    <row r="800" spans="1:17">
      <c r="A800" t="s">
        <v>1695</v>
      </c>
      <c r="B800" s="6">
        <v>45838</v>
      </c>
      <c r="C800" t="s">
        <v>638</v>
      </c>
      <c r="D800" t="s">
        <v>775</v>
      </c>
      <c r="E800">
        <v>1</v>
      </c>
      <c r="F800" s="7">
        <v>75000</v>
      </c>
      <c r="G800" s="7">
        <v>75000</v>
      </c>
      <c r="H800" t="s">
        <v>895</v>
      </c>
      <c r="I800" s="7">
        <v>11250</v>
      </c>
      <c r="J800" s="7">
        <v>15000</v>
      </c>
      <c r="K800" s="7">
        <v>78750</v>
      </c>
      <c r="L800" t="s">
        <v>884</v>
      </c>
      <c r="M800" t="s">
        <v>881</v>
      </c>
      <c r="N800" t="s">
        <v>911</v>
      </c>
      <c r="O800" t="s">
        <v>915</v>
      </c>
      <c r="P800" t="s">
        <v>892</v>
      </c>
      <c r="Q800" s="7">
        <v>63750</v>
      </c>
    </row>
    <row r="801" spans="1:17">
      <c r="A801" t="s">
        <v>1696</v>
      </c>
      <c r="B801" s="6">
        <v>45703</v>
      </c>
      <c r="C801" t="s">
        <v>574</v>
      </c>
      <c r="D801" t="s">
        <v>757</v>
      </c>
      <c r="E801">
        <v>4</v>
      </c>
      <c r="F801" s="7">
        <v>75000</v>
      </c>
      <c r="G801" s="7">
        <v>300000</v>
      </c>
      <c r="H801" t="s">
        <v>886</v>
      </c>
      <c r="I801" s="7">
        <v>30000</v>
      </c>
      <c r="J801" s="7">
        <v>30000</v>
      </c>
      <c r="K801" s="7">
        <v>300000</v>
      </c>
      <c r="L801" t="s">
        <v>873</v>
      </c>
      <c r="M801" t="s">
        <v>903</v>
      </c>
      <c r="N801" t="s">
        <v>875</v>
      </c>
      <c r="O801" t="s">
        <v>887</v>
      </c>
      <c r="P801" t="s">
        <v>877</v>
      </c>
      <c r="Q801" s="7">
        <v>270000</v>
      </c>
    </row>
    <row r="802" spans="1:17">
      <c r="A802" t="s">
        <v>1697</v>
      </c>
      <c r="B802" s="6">
        <v>45749</v>
      </c>
      <c r="C802" t="s">
        <v>610</v>
      </c>
      <c r="D802" t="s">
        <v>803</v>
      </c>
      <c r="E802">
        <v>4</v>
      </c>
      <c r="F802" s="7">
        <v>50000</v>
      </c>
      <c r="G802" s="7">
        <v>200000</v>
      </c>
      <c r="H802" t="s">
        <v>886</v>
      </c>
      <c r="I802" s="7">
        <v>20000</v>
      </c>
      <c r="J802" s="7">
        <v>30000</v>
      </c>
      <c r="K802" s="7">
        <v>210000</v>
      </c>
      <c r="L802" t="s">
        <v>884</v>
      </c>
      <c r="M802" t="s">
        <v>881</v>
      </c>
      <c r="N802" t="s">
        <v>905</v>
      </c>
      <c r="O802" t="s">
        <v>891</v>
      </c>
      <c r="P802" t="s">
        <v>892</v>
      </c>
      <c r="Q802" s="7">
        <v>180000</v>
      </c>
    </row>
    <row r="803" spans="1:17">
      <c r="A803" t="s">
        <v>1698</v>
      </c>
      <c r="B803" s="6">
        <v>45666</v>
      </c>
      <c r="C803" t="s">
        <v>596</v>
      </c>
      <c r="D803" t="s">
        <v>855</v>
      </c>
      <c r="E803">
        <v>1</v>
      </c>
      <c r="F803" s="7">
        <v>150000</v>
      </c>
      <c r="G803" s="7">
        <v>150000</v>
      </c>
      <c r="H803" t="s">
        <v>872</v>
      </c>
      <c r="I803" s="7">
        <v>0</v>
      </c>
      <c r="J803" s="7">
        <v>20000</v>
      </c>
      <c r="K803" s="7">
        <v>170000</v>
      </c>
      <c r="L803" t="s">
        <v>884</v>
      </c>
      <c r="M803" t="s">
        <v>901</v>
      </c>
      <c r="N803" t="s">
        <v>890</v>
      </c>
      <c r="O803" t="s">
        <v>908</v>
      </c>
      <c r="P803" t="s">
        <v>892</v>
      </c>
      <c r="Q803" s="7">
        <v>150000</v>
      </c>
    </row>
    <row r="804" spans="1:17">
      <c r="A804" t="s">
        <v>1699</v>
      </c>
      <c r="B804" s="6">
        <v>45778</v>
      </c>
      <c r="C804" t="s">
        <v>300</v>
      </c>
      <c r="D804" t="s">
        <v>725</v>
      </c>
      <c r="E804">
        <v>2</v>
      </c>
      <c r="F804" s="7">
        <v>300000</v>
      </c>
      <c r="G804" s="7">
        <v>600000</v>
      </c>
      <c r="H804" t="s">
        <v>895</v>
      </c>
      <c r="I804" s="7">
        <v>90000</v>
      </c>
      <c r="J804" s="7">
        <v>10000</v>
      </c>
      <c r="K804" s="7">
        <v>520000</v>
      </c>
      <c r="L804" t="s">
        <v>889</v>
      </c>
      <c r="M804" t="s">
        <v>903</v>
      </c>
      <c r="N804" t="s">
        <v>875</v>
      </c>
      <c r="O804" t="s">
        <v>896</v>
      </c>
      <c r="P804" t="s">
        <v>877</v>
      </c>
      <c r="Q804" s="7">
        <v>510000</v>
      </c>
    </row>
    <row r="805" spans="1:17">
      <c r="A805" t="s">
        <v>1700</v>
      </c>
      <c r="B805" s="6">
        <v>45796</v>
      </c>
      <c r="C805" t="s">
        <v>37</v>
      </c>
      <c r="D805" t="s">
        <v>755</v>
      </c>
      <c r="E805">
        <v>1</v>
      </c>
      <c r="F805" s="7">
        <v>50000</v>
      </c>
      <c r="G805" s="7">
        <v>50000</v>
      </c>
      <c r="H805" t="s">
        <v>886</v>
      </c>
      <c r="I805" s="7">
        <v>5000</v>
      </c>
      <c r="J805" s="7">
        <v>30000</v>
      </c>
      <c r="K805" s="7">
        <v>75000</v>
      </c>
      <c r="L805" t="s">
        <v>880</v>
      </c>
      <c r="M805" t="s">
        <v>903</v>
      </c>
      <c r="N805" t="s">
        <v>875</v>
      </c>
      <c r="O805" t="s">
        <v>896</v>
      </c>
      <c r="P805" t="s">
        <v>877</v>
      </c>
      <c r="Q805" s="7">
        <v>45000</v>
      </c>
    </row>
    <row r="806" spans="1:17">
      <c r="A806" t="s">
        <v>1701</v>
      </c>
      <c r="B806" s="6">
        <v>45713</v>
      </c>
      <c r="C806" t="s">
        <v>129</v>
      </c>
      <c r="D806" t="s">
        <v>843</v>
      </c>
      <c r="E806">
        <v>2</v>
      </c>
      <c r="F806" s="7">
        <v>100000</v>
      </c>
      <c r="G806" s="7">
        <v>200000</v>
      </c>
      <c r="H806" t="s">
        <v>886</v>
      </c>
      <c r="I806" s="7">
        <v>20000</v>
      </c>
      <c r="J806" s="7">
        <v>20000</v>
      </c>
      <c r="K806" s="7">
        <v>200000</v>
      </c>
      <c r="L806" t="s">
        <v>873</v>
      </c>
      <c r="M806" t="s">
        <v>881</v>
      </c>
      <c r="N806" t="s">
        <v>911</v>
      </c>
      <c r="O806" t="s">
        <v>887</v>
      </c>
      <c r="P806" t="s">
        <v>892</v>
      </c>
      <c r="Q806" s="7">
        <v>180000</v>
      </c>
    </row>
    <row r="807" spans="1:17">
      <c r="A807" t="s">
        <v>1702</v>
      </c>
      <c r="B807" s="6">
        <v>45744</v>
      </c>
      <c r="C807" t="s">
        <v>410</v>
      </c>
      <c r="D807" t="s">
        <v>839</v>
      </c>
      <c r="E807">
        <v>4</v>
      </c>
      <c r="F807" s="7">
        <v>200000</v>
      </c>
      <c r="G807" s="7">
        <v>800000</v>
      </c>
      <c r="H807" t="s">
        <v>872</v>
      </c>
      <c r="I807" s="7">
        <v>0</v>
      </c>
      <c r="J807" s="7">
        <v>20000</v>
      </c>
      <c r="K807" s="7">
        <v>820000</v>
      </c>
      <c r="L807" t="s">
        <v>880</v>
      </c>
      <c r="M807" t="s">
        <v>901</v>
      </c>
      <c r="N807" t="s">
        <v>875</v>
      </c>
      <c r="O807" t="s">
        <v>876</v>
      </c>
      <c r="P807" t="s">
        <v>877</v>
      </c>
      <c r="Q807" s="7">
        <v>800000</v>
      </c>
    </row>
    <row r="808" spans="1:17">
      <c r="A808" t="s">
        <v>1703</v>
      </c>
      <c r="B808" s="6">
        <v>45760</v>
      </c>
      <c r="C808" t="s">
        <v>25</v>
      </c>
      <c r="D808" t="s">
        <v>853</v>
      </c>
      <c r="E808">
        <v>4</v>
      </c>
      <c r="F808" s="7">
        <v>75000</v>
      </c>
      <c r="G808" s="7">
        <v>300000</v>
      </c>
      <c r="H808" t="s">
        <v>886</v>
      </c>
      <c r="I808" s="7">
        <v>30000</v>
      </c>
      <c r="J808" s="7">
        <v>10000</v>
      </c>
      <c r="K808" s="7">
        <v>280000</v>
      </c>
      <c r="L808" t="s">
        <v>884</v>
      </c>
      <c r="M808" t="s">
        <v>903</v>
      </c>
      <c r="N808" t="s">
        <v>890</v>
      </c>
      <c r="O808" t="s">
        <v>891</v>
      </c>
      <c r="P808" t="s">
        <v>892</v>
      </c>
      <c r="Q808" s="7">
        <v>270000</v>
      </c>
    </row>
    <row r="809" spans="1:17">
      <c r="A809" t="s">
        <v>1704</v>
      </c>
      <c r="B809" s="6">
        <v>45755</v>
      </c>
      <c r="C809" t="s">
        <v>684</v>
      </c>
      <c r="D809" t="s">
        <v>845</v>
      </c>
      <c r="E809">
        <v>4</v>
      </c>
      <c r="F809" s="7">
        <v>300000</v>
      </c>
      <c r="G809" s="7">
        <v>1200000</v>
      </c>
      <c r="H809" t="s">
        <v>886</v>
      </c>
      <c r="I809" s="7">
        <v>120000</v>
      </c>
      <c r="J809" s="7">
        <v>30000</v>
      </c>
      <c r="K809" s="7">
        <v>1110000</v>
      </c>
      <c r="L809" t="s">
        <v>884</v>
      </c>
      <c r="M809" t="s">
        <v>901</v>
      </c>
      <c r="N809" t="s">
        <v>875</v>
      </c>
      <c r="O809" t="s">
        <v>891</v>
      </c>
      <c r="P809" t="s">
        <v>877</v>
      </c>
      <c r="Q809" s="7">
        <v>1080000</v>
      </c>
    </row>
    <row r="810" spans="1:17">
      <c r="A810" t="s">
        <v>1705</v>
      </c>
      <c r="B810" s="6">
        <v>45771</v>
      </c>
      <c r="C810" t="s">
        <v>586</v>
      </c>
      <c r="D810" t="s">
        <v>855</v>
      </c>
      <c r="E810">
        <v>1</v>
      </c>
      <c r="F810" s="7">
        <v>150000</v>
      </c>
      <c r="G810" s="7">
        <v>150000</v>
      </c>
      <c r="H810" t="s">
        <v>883</v>
      </c>
      <c r="I810" s="7">
        <v>15000</v>
      </c>
      <c r="J810" s="7">
        <v>25000</v>
      </c>
      <c r="K810" s="7">
        <v>160000</v>
      </c>
      <c r="L810" t="s">
        <v>884</v>
      </c>
      <c r="M810" t="s">
        <v>901</v>
      </c>
      <c r="N810" t="s">
        <v>875</v>
      </c>
      <c r="O810" t="s">
        <v>891</v>
      </c>
      <c r="P810" t="s">
        <v>877</v>
      </c>
      <c r="Q810" s="7">
        <v>135000</v>
      </c>
    </row>
    <row r="811" spans="1:17">
      <c r="A811" t="s">
        <v>1706</v>
      </c>
      <c r="B811" s="6">
        <v>45758</v>
      </c>
      <c r="C811" t="s">
        <v>420</v>
      </c>
      <c r="D811" t="s">
        <v>781</v>
      </c>
      <c r="E811">
        <v>3</v>
      </c>
      <c r="F811" s="7">
        <v>50000</v>
      </c>
      <c r="G811" s="7">
        <v>150000</v>
      </c>
      <c r="H811" t="s">
        <v>886</v>
      </c>
      <c r="I811" s="7">
        <v>15000</v>
      </c>
      <c r="J811" s="7">
        <v>30000</v>
      </c>
      <c r="K811" s="7">
        <v>165000</v>
      </c>
      <c r="L811" t="s">
        <v>889</v>
      </c>
      <c r="M811" t="s">
        <v>901</v>
      </c>
      <c r="N811" t="s">
        <v>875</v>
      </c>
      <c r="O811" t="s">
        <v>891</v>
      </c>
      <c r="P811" t="s">
        <v>877</v>
      </c>
      <c r="Q811" s="7">
        <v>135000</v>
      </c>
    </row>
    <row r="812" spans="1:17">
      <c r="A812" t="s">
        <v>1707</v>
      </c>
      <c r="B812" s="6">
        <v>45779</v>
      </c>
      <c r="C812" t="s">
        <v>638</v>
      </c>
      <c r="D812" t="s">
        <v>741</v>
      </c>
      <c r="E812">
        <v>2</v>
      </c>
      <c r="F812" s="7">
        <v>75000</v>
      </c>
      <c r="G812" s="7">
        <v>150000</v>
      </c>
      <c r="H812" t="s">
        <v>883</v>
      </c>
      <c r="I812" s="7">
        <v>15000</v>
      </c>
      <c r="J812" s="7">
        <v>20000</v>
      </c>
      <c r="K812" s="7">
        <v>155000</v>
      </c>
      <c r="L812" t="s">
        <v>889</v>
      </c>
      <c r="M812" t="s">
        <v>881</v>
      </c>
      <c r="N812" t="s">
        <v>875</v>
      </c>
      <c r="O812" t="s">
        <v>896</v>
      </c>
      <c r="P812" t="s">
        <v>877</v>
      </c>
      <c r="Q812" s="7">
        <v>135000</v>
      </c>
    </row>
    <row r="813" spans="1:17">
      <c r="A813" t="s">
        <v>1708</v>
      </c>
      <c r="B813" s="6">
        <v>45719</v>
      </c>
      <c r="C813" t="s">
        <v>236</v>
      </c>
      <c r="D813" t="s">
        <v>813</v>
      </c>
      <c r="E813">
        <v>2</v>
      </c>
      <c r="F813" s="7">
        <v>35000</v>
      </c>
      <c r="G813" s="7">
        <v>70000</v>
      </c>
      <c r="H813" t="s">
        <v>872</v>
      </c>
      <c r="I813" s="7">
        <v>0</v>
      </c>
      <c r="J813" s="7">
        <v>20000</v>
      </c>
      <c r="K813" s="7">
        <v>90000</v>
      </c>
      <c r="L813" t="s">
        <v>884</v>
      </c>
      <c r="M813" t="s">
        <v>874</v>
      </c>
      <c r="N813" t="s">
        <v>905</v>
      </c>
      <c r="O813" t="s">
        <v>876</v>
      </c>
      <c r="P813" t="s">
        <v>892</v>
      </c>
      <c r="Q813" s="7">
        <v>70000</v>
      </c>
    </row>
    <row r="814" spans="1:17">
      <c r="A814" t="s">
        <v>1709</v>
      </c>
      <c r="B814" s="6">
        <v>45690</v>
      </c>
      <c r="C814" t="s">
        <v>692</v>
      </c>
      <c r="D814" t="s">
        <v>819</v>
      </c>
      <c r="E814">
        <v>2</v>
      </c>
      <c r="F814" s="7">
        <v>300000</v>
      </c>
      <c r="G814" s="7">
        <v>600000</v>
      </c>
      <c r="H814" t="s">
        <v>872</v>
      </c>
      <c r="I814" s="7">
        <v>0</v>
      </c>
      <c r="J814" s="7">
        <v>25000</v>
      </c>
      <c r="K814" s="7">
        <v>625000</v>
      </c>
      <c r="L814" t="s">
        <v>884</v>
      </c>
      <c r="M814" t="s">
        <v>874</v>
      </c>
      <c r="N814" t="s">
        <v>875</v>
      </c>
      <c r="O814" t="s">
        <v>887</v>
      </c>
      <c r="P814" t="s">
        <v>877</v>
      </c>
      <c r="Q814" s="7">
        <v>600000</v>
      </c>
    </row>
    <row r="815" spans="1:17">
      <c r="A815" t="s">
        <v>1710</v>
      </c>
      <c r="B815" s="6">
        <v>45763</v>
      </c>
      <c r="C815" t="s">
        <v>146</v>
      </c>
      <c r="D815" t="s">
        <v>853</v>
      </c>
      <c r="E815">
        <v>3</v>
      </c>
      <c r="F815" s="7">
        <v>75000</v>
      </c>
      <c r="G815" s="7">
        <v>225000</v>
      </c>
      <c r="H815" t="s">
        <v>895</v>
      </c>
      <c r="I815" s="7">
        <v>33750</v>
      </c>
      <c r="J815" s="7">
        <v>30000</v>
      </c>
      <c r="K815" s="7">
        <v>221250</v>
      </c>
      <c r="L815" t="s">
        <v>880</v>
      </c>
      <c r="M815" t="s">
        <v>901</v>
      </c>
      <c r="N815" t="s">
        <v>875</v>
      </c>
      <c r="O815" t="s">
        <v>891</v>
      </c>
      <c r="P815" t="s">
        <v>877</v>
      </c>
      <c r="Q815" s="7">
        <v>191250</v>
      </c>
    </row>
    <row r="816" spans="1:17">
      <c r="A816" t="s">
        <v>1711</v>
      </c>
      <c r="B816" s="6">
        <v>45750</v>
      </c>
      <c r="C816" t="s">
        <v>228</v>
      </c>
      <c r="D816" t="s">
        <v>807</v>
      </c>
      <c r="E816">
        <v>1</v>
      </c>
      <c r="F816" s="7">
        <v>150000</v>
      </c>
      <c r="G816" s="7">
        <v>150000</v>
      </c>
      <c r="H816" t="s">
        <v>872</v>
      </c>
      <c r="I816" s="7">
        <v>0</v>
      </c>
      <c r="J816" s="7">
        <v>10000</v>
      </c>
      <c r="K816" s="7">
        <v>160000</v>
      </c>
      <c r="L816" t="s">
        <v>889</v>
      </c>
      <c r="M816" t="s">
        <v>881</v>
      </c>
      <c r="N816" t="s">
        <v>875</v>
      </c>
      <c r="O816" t="s">
        <v>891</v>
      </c>
      <c r="P816" t="s">
        <v>877</v>
      </c>
      <c r="Q816" s="7">
        <v>150000</v>
      </c>
    </row>
    <row r="817" spans="1:17">
      <c r="A817" t="s">
        <v>1712</v>
      </c>
      <c r="B817" s="6">
        <v>45824</v>
      </c>
      <c r="C817" t="s">
        <v>370</v>
      </c>
      <c r="D817" t="s">
        <v>759</v>
      </c>
      <c r="E817">
        <v>1</v>
      </c>
      <c r="F817" s="7">
        <v>300000</v>
      </c>
      <c r="G817" s="7">
        <v>300000</v>
      </c>
      <c r="H817" t="s">
        <v>879</v>
      </c>
      <c r="I817" s="7">
        <v>60000</v>
      </c>
      <c r="J817" s="7">
        <v>20000</v>
      </c>
      <c r="K817" s="7">
        <v>260000</v>
      </c>
      <c r="L817" t="s">
        <v>873</v>
      </c>
      <c r="M817" t="s">
        <v>903</v>
      </c>
      <c r="N817" t="s">
        <v>890</v>
      </c>
      <c r="O817" t="s">
        <v>915</v>
      </c>
      <c r="P817" t="s">
        <v>892</v>
      </c>
      <c r="Q817" s="7">
        <v>240000</v>
      </c>
    </row>
    <row r="818" spans="1:17">
      <c r="A818" t="s">
        <v>1713</v>
      </c>
      <c r="B818" s="6">
        <v>45773</v>
      </c>
      <c r="C818" t="s">
        <v>344</v>
      </c>
      <c r="D818" t="s">
        <v>803</v>
      </c>
      <c r="E818">
        <v>3</v>
      </c>
      <c r="F818" s="7">
        <v>50000</v>
      </c>
      <c r="G818" s="7">
        <v>150000</v>
      </c>
      <c r="H818" t="s">
        <v>879</v>
      </c>
      <c r="I818" s="7">
        <v>30000</v>
      </c>
      <c r="J818" s="7">
        <v>10000</v>
      </c>
      <c r="K818" s="7">
        <v>130000</v>
      </c>
      <c r="L818" t="s">
        <v>889</v>
      </c>
      <c r="M818" t="s">
        <v>901</v>
      </c>
      <c r="N818" t="s">
        <v>875</v>
      </c>
      <c r="O818" t="s">
        <v>891</v>
      </c>
      <c r="P818" t="s">
        <v>877</v>
      </c>
      <c r="Q818" s="7">
        <v>120000</v>
      </c>
    </row>
    <row r="819" spans="1:17">
      <c r="A819" t="s">
        <v>1714</v>
      </c>
      <c r="B819" s="6">
        <v>45753</v>
      </c>
      <c r="C819" t="s">
        <v>710</v>
      </c>
      <c r="D819" t="s">
        <v>839</v>
      </c>
      <c r="E819">
        <v>3</v>
      </c>
      <c r="F819" s="7">
        <v>200000</v>
      </c>
      <c r="G819" s="7">
        <v>600000</v>
      </c>
      <c r="H819" t="s">
        <v>886</v>
      </c>
      <c r="I819" s="7">
        <v>60000</v>
      </c>
      <c r="J819" s="7">
        <v>25000</v>
      </c>
      <c r="K819" s="7">
        <v>565000</v>
      </c>
      <c r="L819" t="s">
        <v>884</v>
      </c>
      <c r="M819" t="s">
        <v>901</v>
      </c>
      <c r="N819" t="s">
        <v>890</v>
      </c>
      <c r="O819" t="s">
        <v>891</v>
      </c>
      <c r="P819" t="s">
        <v>892</v>
      </c>
      <c r="Q819" s="7">
        <v>540000</v>
      </c>
    </row>
    <row r="820" spans="1:17">
      <c r="A820" t="s">
        <v>1715</v>
      </c>
      <c r="B820" s="6">
        <v>45727</v>
      </c>
      <c r="C820" t="s">
        <v>284</v>
      </c>
      <c r="D820" t="s">
        <v>781</v>
      </c>
      <c r="E820">
        <v>1</v>
      </c>
      <c r="F820" s="7">
        <v>50000</v>
      </c>
      <c r="G820" s="7">
        <v>50000</v>
      </c>
      <c r="H820" t="s">
        <v>872</v>
      </c>
      <c r="I820" s="7">
        <v>0</v>
      </c>
      <c r="J820" s="7">
        <v>20000</v>
      </c>
      <c r="K820" s="7">
        <v>70000</v>
      </c>
      <c r="L820" t="s">
        <v>880</v>
      </c>
      <c r="M820" t="s">
        <v>903</v>
      </c>
      <c r="N820" t="s">
        <v>921</v>
      </c>
      <c r="O820" t="s">
        <v>876</v>
      </c>
      <c r="P820" t="s">
        <v>892</v>
      </c>
      <c r="Q820" s="7">
        <v>50000</v>
      </c>
    </row>
    <row r="821" spans="1:17">
      <c r="A821" t="s">
        <v>1716</v>
      </c>
      <c r="B821" s="6">
        <v>45677</v>
      </c>
      <c r="C821" t="s">
        <v>376</v>
      </c>
      <c r="D821" t="s">
        <v>763</v>
      </c>
      <c r="E821">
        <v>4</v>
      </c>
      <c r="F821" s="7">
        <v>75000</v>
      </c>
      <c r="G821" s="7">
        <v>300000</v>
      </c>
      <c r="H821" t="s">
        <v>886</v>
      </c>
      <c r="I821" s="7">
        <v>30000</v>
      </c>
      <c r="J821" s="7">
        <v>20000</v>
      </c>
      <c r="K821" s="7">
        <v>290000</v>
      </c>
      <c r="L821" t="s">
        <v>880</v>
      </c>
      <c r="M821" t="s">
        <v>903</v>
      </c>
      <c r="N821" t="s">
        <v>875</v>
      </c>
      <c r="O821" t="s">
        <v>908</v>
      </c>
      <c r="P821" t="s">
        <v>877</v>
      </c>
      <c r="Q821" s="7">
        <v>270000</v>
      </c>
    </row>
    <row r="822" spans="1:17">
      <c r="A822" t="s">
        <v>1717</v>
      </c>
      <c r="B822" s="6">
        <v>45711</v>
      </c>
      <c r="C822" t="s">
        <v>85</v>
      </c>
      <c r="D822" t="s">
        <v>835</v>
      </c>
      <c r="E822">
        <v>4</v>
      </c>
      <c r="F822" s="7">
        <v>200000</v>
      </c>
      <c r="G822" s="7">
        <v>800000</v>
      </c>
      <c r="H822" t="s">
        <v>879</v>
      </c>
      <c r="I822" s="7">
        <v>160000</v>
      </c>
      <c r="J822" s="7">
        <v>10000</v>
      </c>
      <c r="K822" s="7">
        <v>650000</v>
      </c>
      <c r="L822" t="s">
        <v>889</v>
      </c>
      <c r="M822" t="s">
        <v>881</v>
      </c>
      <c r="N822" t="s">
        <v>875</v>
      </c>
      <c r="O822" t="s">
        <v>887</v>
      </c>
      <c r="P822" t="s">
        <v>877</v>
      </c>
      <c r="Q822" s="7">
        <v>640000</v>
      </c>
    </row>
    <row r="823" spans="1:17">
      <c r="A823" t="s">
        <v>1718</v>
      </c>
      <c r="B823" s="6">
        <v>45788</v>
      </c>
      <c r="C823" t="s">
        <v>442</v>
      </c>
      <c r="D823" t="s">
        <v>803</v>
      </c>
      <c r="E823">
        <v>1</v>
      </c>
      <c r="F823" s="7">
        <v>50000</v>
      </c>
      <c r="G823" s="7">
        <v>50000</v>
      </c>
      <c r="H823" t="s">
        <v>879</v>
      </c>
      <c r="I823" s="7">
        <v>10000</v>
      </c>
      <c r="J823" s="7">
        <v>20000</v>
      </c>
      <c r="K823" s="7">
        <v>60000</v>
      </c>
      <c r="L823" t="s">
        <v>873</v>
      </c>
      <c r="M823" t="s">
        <v>901</v>
      </c>
      <c r="N823" t="s">
        <v>875</v>
      </c>
      <c r="O823" t="s">
        <v>896</v>
      </c>
      <c r="P823" t="s">
        <v>877</v>
      </c>
      <c r="Q823" s="7">
        <v>40000</v>
      </c>
    </row>
    <row r="824" spans="1:17">
      <c r="A824" t="s">
        <v>1719</v>
      </c>
      <c r="B824" s="6">
        <v>45741</v>
      </c>
      <c r="C824" t="s">
        <v>107</v>
      </c>
      <c r="D824" t="s">
        <v>823</v>
      </c>
      <c r="E824">
        <v>1</v>
      </c>
      <c r="F824" s="7">
        <v>500000</v>
      </c>
      <c r="G824" s="7">
        <v>500000</v>
      </c>
      <c r="H824" t="s">
        <v>895</v>
      </c>
      <c r="I824" s="7">
        <v>75000</v>
      </c>
      <c r="J824" s="7">
        <v>15000</v>
      </c>
      <c r="K824" s="7">
        <v>440000</v>
      </c>
      <c r="L824" t="s">
        <v>880</v>
      </c>
      <c r="M824" t="s">
        <v>874</v>
      </c>
      <c r="N824" t="s">
        <v>875</v>
      </c>
      <c r="O824" t="s">
        <v>876</v>
      </c>
      <c r="P824" t="s">
        <v>877</v>
      </c>
      <c r="Q824" s="7">
        <v>425000</v>
      </c>
    </row>
    <row r="825" spans="1:17">
      <c r="A825" t="s">
        <v>1720</v>
      </c>
      <c r="B825" s="6">
        <v>45668</v>
      </c>
      <c r="C825" t="s">
        <v>670</v>
      </c>
      <c r="D825" t="s">
        <v>853</v>
      </c>
      <c r="E825">
        <v>1</v>
      </c>
      <c r="F825" s="7">
        <v>75000</v>
      </c>
      <c r="G825" s="7">
        <v>75000</v>
      </c>
      <c r="H825" t="s">
        <v>886</v>
      </c>
      <c r="I825" s="7">
        <v>7500</v>
      </c>
      <c r="J825" s="7">
        <v>25000</v>
      </c>
      <c r="K825" s="7">
        <v>92500</v>
      </c>
      <c r="L825" t="s">
        <v>880</v>
      </c>
      <c r="M825" t="s">
        <v>901</v>
      </c>
      <c r="N825" t="s">
        <v>890</v>
      </c>
      <c r="O825" t="s">
        <v>908</v>
      </c>
      <c r="P825" t="s">
        <v>892</v>
      </c>
      <c r="Q825" s="7">
        <v>67500</v>
      </c>
    </row>
    <row r="826" spans="1:17">
      <c r="A826" t="s">
        <v>1721</v>
      </c>
      <c r="B826" s="6">
        <v>45697</v>
      </c>
      <c r="C826" t="s">
        <v>568</v>
      </c>
      <c r="D826" t="s">
        <v>733</v>
      </c>
      <c r="E826">
        <v>1</v>
      </c>
      <c r="F826" s="7">
        <v>150000</v>
      </c>
      <c r="G826" s="7">
        <v>150000</v>
      </c>
      <c r="H826" t="s">
        <v>872</v>
      </c>
      <c r="I826" s="7">
        <v>0</v>
      </c>
      <c r="J826" s="7">
        <v>15000</v>
      </c>
      <c r="K826" s="7">
        <v>165000</v>
      </c>
      <c r="L826" t="s">
        <v>884</v>
      </c>
      <c r="M826" t="s">
        <v>881</v>
      </c>
      <c r="N826" t="s">
        <v>875</v>
      </c>
      <c r="O826" t="s">
        <v>887</v>
      </c>
      <c r="P826" t="s">
        <v>877</v>
      </c>
      <c r="Q826" s="7">
        <v>150000</v>
      </c>
    </row>
    <row r="827" spans="1:17">
      <c r="A827" t="s">
        <v>1722</v>
      </c>
      <c r="B827" s="6">
        <v>45837</v>
      </c>
      <c r="C827" t="s">
        <v>360</v>
      </c>
      <c r="D827" t="s">
        <v>813</v>
      </c>
      <c r="E827">
        <v>1</v>
      </c>
      <c r="F827" s="7">
        <v>35000</v>
      </c>
      <c r="G827" s="7">
        <v>35000</v>
      </c>
      <c r="H827" t="s">
        <v>872</v>
      </c>
      <c r="I827" s="7">
        <v>0</v>
      </c>
      <c r="J827" s="7">
        <v>10000</v>
      </c>
      <c r="K827" s="7">
        <v>45000</v>
      </c>
      <c r="L827" t="s">
        <v>889</v>
      </c>
      <c r="M827" t="s">
        <v>881</v>
      </c>
      <c r="N827" t="s">
        <v>875</v>
      </c>
      <c r="O827" t="s">
        <v>915</v>
      </c>
      <c r="P827" t="s">
        <v>877</v>
      </c>
      <c r="Q827" s="7">
        <v>35000</v>
      </c>
    </row>
    <row r="828" spans="1:17">
      <c r="A828" t="s">
        <v>1723</v>
      </c>
      <c r="B828" s="6">
        <v>45706</v>
      </c>
      <c r="C828" t="s">
        <v>346</v>
      </c>
      <c r="D828" t="s">
        <v>777</v>
      </c>
      <c r="E828">
        <v>2</v>
      </c>
      <c r="F828" s="7">
        <v>200000</v>
      </c>
      <c r="G828" s="7">
        <v>400000</v>
      </c>
      <c r="H828" t="s">
        <v>872</v>
      </c>
      <c r="I828" s="7">
        <v>0</v>
      </c>
      <c r="J828" s="7">
        <v>10000</v>
      </c>
      <c r="K828" s="7">
        <v>410000</v>
      </c>
      <c r="L828" t="s">
        <v>884</v>
      </c>
      <c r="M828" t="s">
        <v>881</v>
      </c>
      <c r="N828" t="s">
        <v>911</v>
      </c>
      <c r="O828" t="s">
        <v>887</v>
      </c>
      <c r="P828" t="s">
        <v>892</v>
      </c>
      <c r="Q828" s="7">
        <v>400000</v>
      </c>
    </row>
    <row r="829" spans="1:17">
      <c r="A829" t="s">
        <v>1724</v>
      </c>
      <c r="B829" s="6">
        <v>45750</v>
      </c>
      <c r="C829" t="s">
        <v>206</v>
      </c>
      <c r="D829" t="s">
        <v>749</v>
      </c>
      <c r="E829">
        <v>1</v>
      </c>
      <c r="F829" s="7">
        <v>150000</v>
      </c>
      <c r="G829" s="7">
        <v>150000</v>
      </c>
      <c r="H829" t="s">
        <v>872</v>
      </c>
      <c r="I829" s="7">
        <v>0</v>
      </c>
      <c r="J829" s="7">
        <v>25000</v>
      </c>
      <c r="K829" s="7">
        <v>175000</v>
      </c>
      <c r="L829" t="s">
        <v>880</v>
      </c>
      <c r="M829" t="s">
        <v>901</v>
      </c>
      <c r="N829" t="s">
        <v>921</v>
      </c>
      <c r="O829" t="s">
        <v>891</v>
      </c>
      <c r="P829" t="s">
        <v>892</v>
      </c>
      <c r="Q829" s="7">
        <v>150000</v>
      </c>
    </row>
    <row r="830" spans="1:17">
      <c r="A830" t="s">
        <v>1725</v>
      </c>
      <c r="B830" s="6">
        <v>45798</v>
      </c>
      <c r="C830" t="s">
        <v>63</v>
      </c>
      <c r="D830" t="s">
        <v>773</v>
      </c>
      <c r="E830">
        <v>1</v>
      </c>
      <c r="F830" s="7">
        <v>500000</v>
      </c>
      <c r="G830" s="7">
        <v>500000</v>
      </c>
      <c r="H830" t="s">
        <v>883</v>
      </c>
      <c r="I830" s="7">
        <v>50000</v>
      </c>
      <c r="J830" s="7">
        <v>20000</v>
      </c>
      <c r="K830" s="7">
        <v>470000</v>
      </c>
      <c r="L830" t="s">
        <v>889</v>
      </c>
      <c r="M830" t="s">
        <v>901</v>
      </c>
      <c r="N830" t="s">
        <v>911</v>
      </c>
      <c r="O830" t="s">
        <v>896</v>
      </c>
      <c r="P830" t="s">
        <v>892</v>
      </c>
      <c r="Q830" s="7">
        <v>450000</v>
      </c>
    </row>
    <row r="831" spans="1:17">
      <c r="A831" t="s">
        <v>1726</v>
      </c>
      <c r="B831" s="6">
        <v>45816</v>
      </c>
      <c r="C831" t="s">
        <v>274</v>
      </c>
      <c r="D831" t="s">
        <v>761</v>
      </c>
      <c r="E831">
        <v>4</v>
      </c>
      <c r="F831" s="7">
        <v>75000</v>
      </c>
      <c r="G831" s="7">
        <v>300000</v>
      </c>
      <c r="H831" t="s">
        <v>895</v>
      </c>
      <c r="I831" s="7">
        <v>45000</v>
      </c>
      <c r="J831" s="7">
        <v>25000</v>
      </c>
      <c r="K831" s="7">
        <v>280000</v>
      </c>
      <c r="L831" t="s">
        <v>880</v>
      </c>
      <c r="M831" t="s">
        <v>881</v>
      </c>
      <c r="N831" t="s">
        <v>890</v>
      </c>
      <c r="O831" t="s">
        <v>915</v>
      </c>
      <c r="P831" t="s">
        <v>892</v>
      </c>
      <c r="Q831" s="7">
        <v>255000</v>
      </c>
    </row>
    <row r="832" spans="1:17">
      <c r="A832" t="s">
        <v>1727</v>
      </c>
      <c r="B832" s="6">
        <v>45732</v>
      </c>
      <c r="C832" t="s">
        <v>75</v>
      </c>
      <c r="D832" t="s">
        <v>729</v>
      </c>
      <c r="E832">
        <v>2</v>
      </c>
      <c r="F832" s="7">
        <v>100000</v>
      </c>
      <c r="G832" s="7">
        <v>200000</v>
      </c>
      <c r="H832" t="s">
        <v>895</v>
      </c>
      <c r="I832" s="7">
        <v>30000</v>
      </c>
      <c r="J832" s="7">
        <v>25000</v>
      </c>
      <c r="K832" s="7">
        <v>195000</v>
      </c>
      <c r="L832" t="s">
        <v>889</v>
      </c>
      <c r="M832" t="s">
        <v>901</v>
      </c>
      <c r="N832" t="s">
        <v>875</v>
      </c>
      <c r="O832" t="s">
        <v>876</v>
      </c>
      <c r="P832" t="s">
        <v>877</v>
      </c>
      <c r="Q832" s="7">
        <v>170000</v>
      </c>
    </row>
    <row r="833" spans="1:17">
      <c r="A833" t="s">
        <v>1728</v>
      </c>
      <c r="B833" s="6">
        <v>45676</v>
      </c>
      <c r="C833" t="s">
        <v>222</v>
      </c>
      <c r="D833" t="s">
        <v>751</v>
      </c>
      <c r="E833">
        <v>2</v>
      </c>
      <c r="F833" s="7">
        <v>150000</v>
      </c>
      <c r="G833" s="7">
        <v>300000</v>
      </c>
      <c r="H833" t="s">
        <v>879</v>
      </c>
      <c r="I833" s="7">
        <v>60000</v>
      </c>
      <c r="J833" s="7">
        <v>30000</v>
      </c>
      <c r="K833" s="7">
        <v>270000</v>
      </c>
      <c r="L833" t="s">
        <v>889</v>
      </c>
      <c r="M833" t="s">
        <v>881</v>
      </c>
      <c r="N833" t="s">
        <v>905</v>
      </c>
      <c r="O833" t="s">
        <v>908</v>
      </c>
      <c r="P833" t="s">
        <v>892</v>
      </c>
      <c r="Q833" s="7">
        <v>240000</v>
      </c>
    </row>
    <row r="834" spans="1:17">
      <c r="A834" t="s">
        <v>1729</v>
      </c>
      <c r="B834" s="6">
        <v>45683</v>
      </c>
      <c r="C834" t="s">
        <v>160</v>
      </c>
      <c r="D834" t="s">
        <v>849</v>
      </c>
      <c r="E834">
        <v>4</v>
      </c>
      <c r="F834" s="7">
        <v>500000</v>
      </c>
      <c r="G834" s="7">
        <v>2000000</v>
      </c>
      <c r="H834" t="s">
        <v>886</v>
      </c>
      <c r="I834" s="7">
        <v>200000</v>
      </c>
      <c r="J834" s="7">
        <v>20000</v>
      </c>
      <c r="K834" s="7">
        <v>1820000</v>
      </c>
      <c r="L834" t="s">
        <v>884</v>
      </c>
      <c r="M834" t="s">
        <v>881</v>
      </c>
      <c r="N834" t="s">
        <v>905</v>
      </c>
      <c r="O834" t="s">
        <v>908</v>
      </c>
      <c r="P834" t="s">
        <v>892</v>
      </c>
      <c r="Q834" s="7">
        <v>1800000</v>
      </c>
    </row>
    <row r="835" spans="1:17">
      <c r="A835" t="s">
        <v>1730</v>
      </c>
      <c r="B835" s="6">
        <v>45725</v>
      </c>
      <c r="C835" t="s">
        <v>390</v>
      </c>
      <c r="D835" t="s">
        <v>745</v>
      </c>
      <c r="E835">
        <v>1</v>
      </c>
      <c r="F835" s="7">
        <v>500000</v>
      </c>
      <c r="G835" s="7">
        <v>500000</v>
      </c>
      <c r="H835" t="s">
        <v>886</v>
      </c>
      <c r="I835" s="7">
        <v>50000</v>
      </c>
      <c r="J835" s="7">
        <v>10000</v>
      </c>
      <c r="K835" s="7">
        <v>460000</v>
      </c>
      <c r="L835" t="s">
        <v>884</v>
      </c>
      <c r="M835" t="s">
        <v>903</v>
      </c>
      <c r="N835" t="s">
        <v>875</v>
      </c>
      <c r="O835" t="s">
        <v>876</v>
      </c>
      <c r="P835" t="s">
        <v>877</v>
      </c>
      <c r="Q835" s="7">
        <v>450000</v>
      </c>
    </row>
    <row r="836" spans="1:17">
      <c r="A836" t="s">
        <v>1731</v>
      </c>
      <c r="B836" s="6">
        <v>45784</v>
      </c>
      <c r="C836" t="s">
        <v>404</v>
      </c>
      <c r="D836" t="s">
        <v>837</v>
      </c>
      <c r="E836">
        <v>3</v>
      </c>
      <c r="F836" s="7">
        <v>300000</v>
      </c>
      <c r="G836" s="7">
        <v>900000</v>
      </c>
      <c r="H836" t="s">
        <v>872</v>
      </c>
      <c r="I836" s="7">
        <v>0</v>
      </c>
      <c r="J836" s="7">
        <v>30000</v>
      </c>
      <c r="K836" s="7">
        <v>930000</v>
      </c>
      <c r="L836" t="s">
        <v>884</v>
      </c>
      <c r="M836" t="s">
        <v>901</v>
      </c>
      <c r="N836" t="s">
        <v>875</v>
      </c>
      <c r="O836" t="s">
        <v>896</v>
      </c>
      <c r="P836" t="s">
        <v>877</v>
      </c>
      <c r="Q836" s="7">
        <v>900000</v>
      </c>
    </row>
    <row r="837" spans="1:17">
      <c r="A837" t="s">
        <v>1732</v>
      </c>
      <c r="B837" s="6">
        <v>45741</v>
      </c>
      <c r="C837" t="s">
        <v>121</v>
      </c>
      <c r="D837" t="s">
        <v>733</v>
      </c>
      <c r="E837">
        <v>1</v>
      </c>
      <c r="F837" s="7">
        <v>150000</v>
      </c>
      <c r="G837" s="7">
        <v>150000</v>
      </c>
      <c r="H837" t="s">
        <v>872</v>
      </c>
      <c r="I837" s="7">
        <v>0</v>
      </c>
      <c r="J837" s="7">
        <v>30000</v>
      </c>
      <c r="K837" s="7">
        <v>180000</v>
      </c>
      <c r="L837" t="s">
        <v>884</v>
      </c>
      <c r="M837" t="s">
        <v>901</v>
      </c>
      <c r="N837" t="s">
        <v>875</v>
      </c>
      <c r="O837" t="s">
        <v>876</v>
      </c>
      <c r="P837" t="s">
        <v>877</v>
      </c>
      <c r="Q837" s="7">
        <v>150000</v>
      </c>
    </row>
    <row r="838" spans="1:17">
      <c r="A838" t="s">
        <v>1733</v>
      </c>
      <c r="B838" s="6">
        <v>45821</v>
      </c>
      <c r="C838" t="s">
        <v>636</v>
      </c>
      <c r="D838" t="s">
        <v>769</v>
      </c>
      <c r="E838">
        <v>3</v>
      </c>
      <c r="F838" s="7">
        <v>100000</v>
      </c>
      <c r="G838" s="7">
        <v>300000</v>
      </c>
      <c r="H838" t="s">
        <v>872</v>
      </c>
      <c r="I838" s="7">
        <v>0</v>
      </c>
      <c r="J838" s="7">
        <v>25000</v>
      </c>
      <c r="K838" s="7">
        <v>325000</v>
      </c>
      <c r="L838" t="s">
        <v>884</v>
      </c>
      <c r="M838" t="s">
        <v>903</v>
      </c>
      <c r="N838" t="s">
        <v>875</v>
      </c>
      <c r="O838" t="s">
        <v>915</v>
      </c>
      <c r="P838" t="s">
        <v>877</v>
      </c>
      <c r="Q838" s="7">
        <v>300000</v>
      </c>
    </row>
    <row r="839" spans="1:17">
      <c r="A839" t="s">
        <v>1734</v>
      </c>
      <c r="B839" s="6">
        <v>45663</v>
      </c>
      <c r="C839" t="s">
        <v>316</v>
      </c>
      <c r="D839" t="s">
        <v>761</v>
      </c>
      <c r="E839">
        <v>3</v>
      </c>
      <c r="F839" s="7">
        <v>75000</v>
      </c>
      <c r="G839" s="7">
        <v>225000</v>
      </c>
      <c r="H839" t="s">
        <v>886</v>
      </c>
      <c r="I839" s="7">
        <v>22500</v>
      </c>
      <c r="J839" s="7">
        <v>10000</v>
      </c>
      <c r="K839" s="7">
        <v>212500</v>
      </c>
      <c r="L839" t="s">
        <v>884</v>
      </c>
      <c r="M839" t="s">
        <v>881</v>
      </c>
      <c r="N839" t="s">
        <v>875</v>
      </c>
      <c r="O839" t="s">
        <v>908</v>
      </c>
      <c r="P839" t="s">
        <v>877</v>
      </c>
      <c r="Q839" s="7">
        <v>202500</v>
      </c>
    </row>
    <row r="840" spans="1:17">
      <c r="A840" t="s">
        <v>1735</v>
      </c>
      <c r="B840" s="6">
        <v>45671</v>
      </c>
      <c r="C840" t="s">
        <v>129</v>
      </c>
      <c r="D840" t="s">
        <v>807</v>
      </c>
      <c r="E840">
        <v>1</v>
      </c>
      <c r="F840" s="7">
        <v>150000</v>
      </c>
      <c r="G840" s="7">
        <v>150000</v>
      </c>
      <c r="H840" t="s">
        <v>872</v>
      </c>
      <c r="I840" s="7">
        <v>0</v>
      </c>
      <c r="J840" s="7">
        <v>30000</v>
      </c>
      <c r="K840" s="7">
        <v>180000</v>
      </c>
      <c r="L840" t="s">
        <v>873</v>
      </c>
      <c r="M840" t="s">
        <v>874</v>
      </c>
      <c r="N840" t="s">
        <v>875</v>
      </c>
      <c r="O840" t="s">
        <v>908</v>
      </c>
      <c r="P840" t="s">
        <v>877</v>
      </c>
      <c r="Q840" s="7">
        <v>150000</v>
      </c>
    </row>
    <row r="841" spans="1:17">
      <c r="A841" t="s">
        <v>1736</v>
      </c>
      <c r="B841" s="6">
        <v>45665</v>
      </c>
      <c r="C841" t="s">
        <v>706</v>
      </c>
      <c r="D841" t="s">
        <v>733</v>
      </c>
      <c r="E841">
        <v>1</v>
      </c>
      <c r="F841" s="7">
        <v>150000</v>
      </c>
      <c r="G841" s="7">
        <v>150000</v>
      </c>
      <c r="H841" t="s">
        <v>872</v>
      </c>
      <c r="I841" s="7">
        <v>0</v>
      </c>
      <c r="J841" s="7">
        <v>15000</v>
      </c>
      <c r="K841" s="7">
        <v>165000</v>
      </c>
      <c r="L841" t="s">
        <v>880</v>
      </c>
      <c r="M841" t="s">
        <v>903</v>
      </c>
      <c r="N841" t="s">
        <v>875</v>
      </c>
      <c r="O841" t="s">
        <v>908</v>
      </c>
      <c r="P841" t="s">
        <v>877</v>
      </c>
      <c r="Q841" s="7">
        <v>150000</v>
      </c>
    </row>
    <row r="842" spans="1:17">
      <c r="A842" t="s">
        <v>1737</v>
      </c>
      <c r="B842" s="6">
        <v>45807</v>
      </c>
      <c r="C842" t="s">
        <v>109</v>
      </c>
      <c r="D842" t="s">
        <v>833</v>
      </c>
      <c r="E842">
        <v>1</v>
      </c>
      <c r="F842" s="7">
        <v>200000</v>
      </c>
      <c r="G842" s="7">
        <v>200000</v>
      </c>
      <c r="H842" t="s">
        <v>895</v>
      </c>
      <c r="I842" s="7">
        <v>30000</v>
      </c>
      <c r="J842" s="7">
        <v>20000</v>
      </c>
      <c r="K842" s="7">
        <v>190000</v>
      </c>
      <c r="L842" t="s">
        <v>884</v>
      </c>
      <c r="M842" t="s">
        <v>901</v>
      </c>
      <c r="N842" t="s">
        <v>890</v>
      </c>
      <c r="O842" t="s">
        <v>896</v>
      </c>
      <c r="P842" t="s">
        <v>892</v>
      </c>
      <c r="Q842" s="7">
        <v>170000</v>
      </c>
    </row>
    <row r="843" spans="1:17">
      <c r="A843" t="s">
        <v>1738</v>
      </c>
      <c r="B843" s="6">
        <v>45772</v>
      </c>
      <c r="C843" t="s">
        <v>656</v>
      </c>
      <c r="D843" t="s">
        <v>833</v>
      </c>
      <c r="E843">
        <v>3</v>
      </c>
      <c r="F843" s="7">
        <v>200000</v>
      </c>
      <c r="G843" s="7">
        <v>600000</v>
      </c>
      <c r="H843" t="s">
        <v>872</v>
      </c>
      <c r="I843" s="7">
        <v>0</v>
      </c>
      <c r="J843" s="7">
        <v>30000</v>
      </c>
      <c r="K843" s="7">
        <v>630000</v>
      </c>
      <c r="L843" t="s">
        <v>880</v>
      </c>
      <c r="M843" t="s">
        <v>874</v>
      </c>
      <c r="N843" t="s">
        <v>875</v>
      </c>
      <c r="O843" t="s">
        <v>891</v>
      </c>
      <c r="P843" t="s">
        <v>877</v>
      </c>
      <c r="Q843" s="7">
        <v>600000</v>
      </c>
    </row>
    <row r="844" spans="1:17">
      <c r="A844" t="s">
        <v>1739</v>
      </c>
      <c r="B844" s="6">
        <v>45828</v>
      </c>
      <c r="C844" t="s">
        <v>610</v>
      </c>
      <c r="D844" t="s">
        <v>833</v>
      </c>
      <c r="E844">
        <v>2</v>
      </c>
      <c r="F844" s="7">
        <v>200000</v>
      </c>
      <c r="G844" s="7">
        <v>400000</v>
      </c>
      <c r="H844" t="s">
        <v>886</v>
      </c>
      <c r="I844" s="7">
        <v>40000</v>
      </c>
      <c r="J844" s="7">
        <v>15000</v>
      </c>
      <c r="K844" s="7">
        <v>375000</v>
      </c>
      <c r="L844" t="s">
        <v>884</v>
      </c>
      <c r="M844" t="s">
        <v>881</v>
      </c>
      <c r="N844" t="s">
        <v>875</v>
      </c>
      <c r="O844" t="s">
        <v>915</v>
      </c>
      <c r="P844" t="s">
        <v>877</v>
      </c>
      <c r="Q844" s="7">
        <v>360000</v>
      </c>
    </row>
    <row r="845" spans="1:17">
      <c r="A845" t="s">
        <v>1740</v>
      </c>
      <c r="B845" s="6">
        <v>45731</v>
      </c>
      <c r="C845" t="s">
        <v>450</v>
      </c>
      <c r="D845" t="s">
        <v>759</v>
      </c>
      <c r="E845">
        <v>1</v>
      </c>
      <c r="F845" s="7">
        <v>300000</v>
      </c>
      <c r="G845" s="7">
        <v>300000</v>
      </c>
      <c r="H845" t="s">
        <v>872</v>
      </c>
      <c r="I845" s="7">
        <v>0</v>
      </c>
      <c r="J845" s="7">
        <v>10000</v>
      </c>
      <c r="K845" s="7">
        <v>310000</v>
      </c>
      <c r="L845" t="s">
        <v>889</v>
      </c>
      <c r="M845" t="s">
        <v>901</v>
      </c>
      <c r="N845" t="s">
        <v>875</v>
      </c>
      <c r="O845" t="s">
        <v>876</v>
      </c>
      <c r="P845" t="s">
        <v>877</v>
      </c>
      <c r="Q845" s="7">
        <v>300000</v>
      </c>
    </row>
    <row r="846" spans="1:17">
      <c r="A846" t="s">
        <v>1741</v>
      </c>
      <c r="B846" s="6">
        <v>45791</v>
      </c>
      <c r="C846" t="s">
        <v>61</v>
      </c>
      <c r="D846" t="s">
        <v>817</v>
      </c>
      <c r="E846">
        <v>1</v>
      </c>
      <c r="F846" s="7">
        <v>75000</v>
      </c>
      <c r="G846" s="7">
        <v>75000</v>
      </c>
      <c r="H846" t="s">
        <v>872</v>
      </c>
      <c r="I846" s="7">
        <v>0</v>
      </c>
      <c r="J846" s="7">
        <v>30000</v>
      </c>
      <c r="K846" s="7">
        <v>105000</v>
      </c>
      <c r="L846" t="s">
        <v>884</v>
      </c>
      <c r="M846" t="s">
        <v>881</v>
      </c>
      <c r="N846" t="s">
        <v>875</v>
      </c>
      <c r="O846" t="s">
        <v>896</v>
      </c>
      <c r="P846" t="s">
        <v>877</v>
      </c>
      <c r="Q846" s="7">
        <v>75000</v>
      </c>
    </row>
    <row r="847" spans="1:17">
      <c r="A847" t="s">
        <v>1742</v>
      </c>
      <c r="B847" s="6">
        <v>45763</v>
      </c>
      <c r="C847" t="s">
        <v>404</v>
      </c>
      <c r="D847" t="s">
        <v>855</v>
      </c>
      <c r="E847">
        <v>3</v>
      </c>
      <c r="F847" s="7">
        <v>150000</v>
      </c>
      <c r="G847" s="7">
        <v>450000</v>
      </c>
      <c r="H847" t="s">
        <v>872</v>
      </c>
      <c r="I847" s="7">
        <v>0</v>
      </c>
      <c r="J847" s="7">
        <v>15000</v>
      </c>
      <c r="K847" s="7">
        <v>465000</v>
      </c>
      <c r="L847" t="s">
        <v>880</v>
      </c>
      <c r="M847" t="s">
        <v>881</v>
      </c>
      <c r="N847" t="s">
        <v>875</v>
      </c>
      <c r="O847" t="s">
        <v>891</v>
      </c>
      <c r="P847" t="s">
        <v>877</v>
      </c>
      <c r="Q847" s="7">
        <v>450000</v>
      </c>
    </row>
    <row r="848" spans="1:17">
      <c r="A848" t="s">
        <v>1743</v>
      </c>
      <c r="B848" s="6">
        <v>45696</v>
      </c>
      <c r="C848" t="s">
        <v>296</v>
      </c>
      <c r="D848" t="s">
        <v>807</v>
      </c>
      <c r="E848">
        <v>2</v>
      </c>
      <c r="F848" s="7">
        <v>150000</v>
      </c>
      <c r="G848" s="7">
        <v>300000</v>
      </c>
      <c r="H848" t="s">
        <v>886</v>
      </c>
      <c r="I848" s="7">
        <v>30000</v>
      </c>
      <c r="J848" s="7">
        <v>10000</v>
      </c>
      <c r="K848" s="7">
        <v>280000</v>
      </c>
      <c r="L848" t="s">
        <v>880</v>
      </c>
      <c r="M848" t="s">
        <v>901</v>
      </c>
      <c r="N848" t="s">
        <v>875</v>
      </c>
      <c r="O848" t="s">
        <v>887</v>
      </c>
      <c r="P848" t="s">
        <v>877</v>
      </c>
      <c r="Q848" s="7">
        <v>270000</v>
      </c>
    </row>
    <row r="849" spans="1:17">
      <c r="A849" t="s">
        <v>1744</v>
      </c>
      <c r="B849" s="6">
        <v>45785</v>
      </c>
      <c r="C849" t="s">
        <v>592</v>
      </c>
      <c r="D849" t="s">
        <v>845</v>
      </c>
      <c r="E849">
        <v>2</v>
      </c>
      <c r="F849" s="7">
        <v>300000</v>
      </c>
      <c r="G849" s="7">
        <v>600000</v>
      </c>
      <c r="H849" t="s">
        <v>872</v>
      </c>
      <c r="I849" s="7">
        <v>0</v>
      </c>
      <c r="J849" s="7">
        <v>20000</v>
      </c>
      <c r="K849" s="7">
        <v>620000</v>
      </c>
      <c r="L849" t="s">
        <v>884</v>
      </c>
      <c r="M849" t="s">
        <v>903</v>
      </c>
      <c r="N849" t="s">
        <v>875</v>
      </c>
      <c r="O849" t="s">
        <v>896</v>
      </c>
      <c r="P849" t="s">
        <v>877</v>
      </c>
      <c r="Q849" s="7">
        <v>600000</v>
      </c>
    </row>
    <row r="850" spans="1:17">
      <c r="A850" t="s">
        <v>1745</v>
      </c>
      <c r="B850" s="6">
        <v>45816</v>
      </c>
      <c r="C850" t="s">
        <v>414</v>
      </c>
      <c r="D850" t="s">
        <v>733</v>
      </c>
      <c r="E850">
        <v>4</v>
      </c>
      <c r="F850" s="7">
        <v>150000</v>
      </c>
      <c r="G850" s="7">
        <v>600000</v>
      </c>
      <c r="H850" t="s">
        <v>883</v>
      </c>
      <c r="I850" s="7">
        <v>60000</v>
      </c>
      <c r="J850" s="7">
        <v>10000</v>
      </c>
      <c r="K850" s="7">
        <v>550000</v>
      </c>
      <c r="L850" t="s">
        <v>884</v>
      </c>
      <c r="M850" t="s">
        <v>874</v>
      </c>
      <c r="N850" t="s">
        <v>875</v>
      </c>
      <c r="O850" t="s">
        <v>915</v>
      </c>
      <c r="P850" t="s">
        <v>877</v>
      </c>
      <c r="Q850" s="7">
        <v>540000</v>
      </c>
    </row>
    <row r="851" spans="1:17">
      <c r="A851" t="s">
        <v>1746</v>
      </c>
      <c r="B851" s="6">
        <v>45707</v>
      </c>
      <c r="C851" t="s">
        <v>160</v>
      </c>
      <c r="D851" t="s">
        <v>765</v>
      </c>
      <c r="E851">
        <v>1</v>
      </c>
      <c r="F851" s="7">
        <v>500000</v>
      </c>
      <c r="G851" s="7">
        <v>500000</v>
      </c>
      <c r="H851" t="s">
        <v>872</v>
      </c>
      <c r="I851" s="7">
        <v>0</v>
      </c>
      <c r="J851" s="7">
        <v>15000</v>
      </c>
      <c r="K851" s="7">
        <v>515000</v>
      </c>
      <c r="L851" t="s">
        <v>884</v>
      </c>
      <c r="M851" t="s">
        <v>903</v>
      </c>
      <c r="N851" t="s">
        <v>875</v>
      </c>
      <c r="O851" t="s">
        <v>887</v>
      </c>
      <c r="P851" t="s">
        <v>877</v>
      </c>
      <c r="Q851" s="7">
        <v>500000</v>
      </c>
    </row>
    <row r="852" spans="1:17">
      <c r="A852" t="s">
        <v>1747</v>
      </c>
      <c r="B852" s="6">
        <v>45700</v>
      </c>
      <c r="C852" t="s">
        <v>326</v>
      </c>
      <c r="D852" t="s">
        <v>749</v>
      </c>
      <c r="E852">
        <v>3</v>
      </c>
      <c r="F852" s="7">
        <v>150000</v>
      </c>
      <c r="G852" s="7">
        <v>450000</v>
      </c>
      <c r="H852" t="s">
        <v>886</v>
      </c>
      <c r="I852" s="7">
        <v>45000</v>
      </c>
      <c r="J852" s="7">
        <v>10000</v>
      </c>
      <c r="K852" s="7">
        <v>415000</v>
      </c>
      <c r="L852" t="s">
        <v>873</v>
      </c>
      <c r="M852" t="s">
        <v>901</v>
      </c>
      <c r="N852" t="s">
        <v>875</v>
      </c>
      <c r="O852" t="s">
        <v>887</v>
      </c>
      <c r="P852" t="s">
        <v>877</v>
      </c>
      <c r="Q852" s="7">
        <v>405000</v>
      </c>
    </row>
    <row r="853" spans="1:17">
      <c r="A853" t="s">
        <v>1748</v>
      </c>
      <c r="B853" s="6">
        <v>45787</v>
      </c>
      <c r="C853" t="s">
        <v>444</v>
      </c>
      <c r="D853" t="s">
        <v>775</v>
      </c>
      <c r="E853">
        <v>2</v>
      </c>
      <c r="F853" s="7">
        <v>75000</v>
      </c>
      <c r="G853" s="7">
        <v>150000</v>
      </c>
      <c r="H853" t="s">
        <v>879</v>
      </c>
      <c r="I853" s="7">
        <v>30000</v>
      </c>
      <c r="J853" s="7">
        <v>25000</v>
      </c>
      <c r="K853" s="7">
        <v>145000</v>
      </c>
      <c r="L853" t="s">
        <v>873</v>
      </c>
      <c r="M853" t="s">
        <v>881</v>
      </c>
      <c r="N853" t="s">
        <v>911</v>
      </c>
      <c r="O853" t="s">
        <v>896</v>
      </c>
      <c r="P853" t="s">
        <v>892</v>
      </c>
      <c r="Q853" s="7">
        <v>120000</v>
      </c>
    </row>
    <row r="854" spans="1:17">
      <c r="A854" t="s">
        <v>1749</v>
      </c>
      <c r="B854" s="6">
        <v>45739</v>
      </c>
      <c r="C854" t="s">
        <v>276</v>
      </c>
      <c r="D854" t="s">
        <v>795</v>
      </c>
      <c r="E854">
        <v>3</v>
      </c>
      <c r="F854" s="7">
        <v>100000</v>
      </c>
      <c r="G854" s="7">
        <v>300000</v>
      </c>
      <c r="H854" t="s">
        <v>872</v>
      </c>
      <c r="I854" s="7">
        <v>0</v>
      </c>
      <c r="J854" s="7">
        <v>25000</v>
      </c>
      <c r="K854" s="7">
        <v>325000</v>
      </c>
      <c r="L854" t="s">
        <v>880</v>
      </c>
      <c r="M854" t="s">
        <v>901</v>
      </c>
      <c r="N854" t="s">
        <v>875</v>
      </c>
      <c r="O854" t="s">
        <v>876</v>
      </c>
      <c r="P854" t="s">
        <v>877</v>
      </c>
      <c r="Q854" s="7">
        <v>300000</v>
      </c>
    </row>
    <row r="855" spans="1:17">
      <c r="A855" t="s">
        <v>1750</v>
      </c>
      <c r="B855" s="6">
        <v>45752</v>
      </c>
      <c r="C855" t="s">
        <v>640</v>
      </c>
      <c r="D855" t="s">
        <v>761</v>
      </c>
      <c r="E855">
        <v>2</v>
      </c>
      <c r="F855" s="7">
        <v>75000</v>
      </c>
      <c r="G855" s="7">
        <v>150000</v>
      </c>
      <c r="H855" t="s">
        <v>872</v>
      </c>
      <c r="I855" s="7">
        <v>0</v>
      </c>
      <c r="J855" s="7">
        <v>10000</v>
      </c>
      <c r="K855" s="7">
        <v>160000</v>
      </c>
      <c r="L855" t="s">
        <v>884</v>
      </c>
      <c r="M855" t="s">
        <v>874</v>
      </c>
      <c r="N855" t="s">
        <v>875</v>
      </c>
      <c r="O855" t="s">
        <v>891</v>
      </c>
      <c r="P855" t="s">
        <v>877</v>
      </c>
      <c r="Q855" s="7">
        <v>150000</v>
      </c>
    </row>
    <row r="856" spans="1:17">
      <c r="A856" t="s">
        <v>1751</v>
      </c>
      <c r="B856" s="6">
        <v>45732</v>
      </c>
      <c r="C856" t="s">
        <v>344</v>
      </c>
      <c r="D856" t="s">
        <v>821</v>
      </c>
      <c r="E856">
        <v>2</v>
      </c>
      <c r="F856" s="7">
        <v>50000</v>
      </c>
      <c r="G856" s="7">
        <v>100000</v>
      </c>
      <c r="H856" t="s">
        <v>872</v>
      </c>
      <c r="I856" s="7">
        <v>0</v>
      </c>
      <c r="J856" s="7">
        <v>30000</v>
      </c>
      <c r="K856" s="7">
        <v>130000</v>
      </c>
      <c r="L856" t="s">
        <v>889</v>
      </c>
      <c r="M856" t="s">
        <v>881</v>
      </c>
      <c r="N856" t="s">
        <v>890</v>
      </c>
      <c r="O856" t="s">
        <v>876</v>
      </c>
      <c r="P856" t="s">
        <v>892</v>
      </c>
      <c r="Q856" s="7">
        <v>100000</v>
      </c>
    </row>
    <row r="857" spans="1:17">
      <c r="A857" t="s">
        <v>1752</v>
      </c>
      <c r="B857" s="6">
        <v>45828</v>
      </c>
      <c r="C857" t="s">
        <v>294</v>
      </c>
      <c r="D857" t="s">
        <v>853</v>
      </c>
      <c r="E857">
        <v>1</v>
      </c>
      <c r="F857" s="7">
        <v>75000</v>
      </c>
      <c r="G857" s="7">
        <v>75000</v>
      </c>
      <c r="H857" t="s">
        <v>872</v>
      </c>
      <c r="I857" s="7">
        <v>0</v>
      </c>
      <c r="J857" s="7">
        <v>15000</v>
      </c>
      <c r="K857" s="7">
        <v>90000</v>
      </c>
      <c r="L857" t="s">
        <v>873</v>
      </c>
      <c r="M857" t="s">
        <v>903</v>
      </c>
      <c r="N857" t="s">
        <v>875</v>
      </c>
      <c r="O857" t="s">
        <v>915</v>
      </c>
      <c r="P857" t="s">
        <v>877</v>
      </c>
      <c r="Q857" s="7">
        <v>75000</v>
      </c>
    </row>
    <row r="858" spans="1:17">
      <c r="A858" t="s">
        <v>1753</v>
      </c>
      <c r="B858" s="6">
        <v>45817</v>
      </c>
      <c r="C858" t="s">
        <v>69</v>
      </c>
      <c r="D858" t="s">
        <v>837</v>
      </c>
      <c r="E858">
        <v>1</v>
      </c>
      <c r="F858" s="7">
        <v>300000</v>
      </c>
      <c r="G858" s="7">
        <v>300000</v>
      </c>
      <c r="H858" t="s">
        <v>872</v>
      </c>
      <c r="I858" s="7">
        <v>0</v>
      </c>
      <c r="J858" s="7">
        <v>25000</v>
      </c>
      <c r="K858" s="7">
        <v>325000</v>
      </c>
      <c r="L858" t="s">
        <v>880</v>
      </c>
      <c r="M858" t="s">
        <v>903</v>
      </c>
      <c r="N858" t="s">
        <v>875</v>
      </c>
      <c r="O858" t="s">
        <v>915</v>
      </c>
      <c r="P858" t="s">
        <v>877</v>
      </c>
      <c r="Q858" s="7">
        <v>300000</v>
      </c>
    </row>
    <row r="859" spans="1:17">
      <c r="A859" t="s">
        <v>1754</v>
      </c>
      <c r="B859" s="6">
        <v>45748</v>
      </c>
      <c r="C859" t="s">
        <v>61</v>
      </c>
      <c r="D859" t="s">
        <v>803</v>
      </c>
      <c r="E859">
        <v>3</v>
      </c>
      <c r="F859" s="7">
        <v>50000</v>
      </c>
      <c r="G859" s="7">
        <v>150000</v>
      </c>
      <c r="H859" t="s">
        <v>872</v>
      </c>
      <c r="I859" s="7">
        <v>0</v>
      </c>
      <c r="J859" s="7">
        <v>25000</v>
      </c>
      <c r="K859" s="7">
        <v>175000</v>
      </c>
      <c r="L859" t="s">
        <v>880</v>
      </c>
      <c r="M859" t="s">
        <v>901</v>
      </c>
      <c r="N859" t="s">
        <v>905</v>
      </c>
      <c r="O859" t="s">
        <v>891</v>
      </c>
      <c r="P859" t="s">
        <v>892</v>
      </c>
      <c r="Q859" s="7">
        <v>150000</v>
      </c>
    </row>
    <row r="860" spans="1:17">
      <c r="A860" t="s">
        <v>1755</v>
      </c>
      <c r="B860" s="6">
        <v>45825</v>
      </c>
      <c r="C860" t="s">
        <v>107</v>
      </c>
      <c r="D860" t="s">
        <v>737</v>
      </c>
      <c r="E860">
        <v>1</v>
      </c>
      <c r="F860" s="7">
        <v>300000</v>
      </c>
      <c r="G860" s="7">
        <v>300000</v>
      </c>
      <c r="H860" t="s">
        <v>872</v>
      </c>
      <c r="I860" s="7">
        <v>0</v>
      </c>
      <c r="J860" s="7">
        <v>10000</v>
      </c>
      <c r="K860" s="7">
        <v>310000</v>
      </c>
      <c r="L860" t="s">
        <v>873</v>
      </c>
      <c r="M860" t="s">
        <v>874</v>
      </c>
      <c r="N860" t="s">
        <v>875</v>
      </c>
      <c r="O860" t="s">
        <v>915</v>
      </c>
      <c r="P860" t="s">
        <v>877</v>
      </c>
      <c r="Q860" s="7">
        <v>300000</v>
      </c>
    </row>
    <row r="861" spans="1:17">
      <c r="A861" t="s">
        <v>1756</v>
      </c>
      <c r="B861" s="6">
        <v>45791</v>
      </c>
      <c r="C861" t="s">
        <v>440</v>
      </c>
      <c r="D861" t="s">
        <v>831</v>
      </c>
      <c r="E861">
        <v>3</v>
      </c>
      <c r="F861" s="7">
        <v>300000</v>
      </c>
      <c r="G861" s="7">
        <v>900000</v>
      </c>
      <c r="H861" t="s">
        <v>895</v>
      </c>
      <c r="I861" s="7">
        <v>135000</v>
      </c>
      <c r="J861" s="7">
        <v>30000</v>
      </c>
      <c r="K861" s="7">
        <v>795000</v>
      </c>
      <c r="L861" t="s">
        <v>884</v>
      </c>
      <c r="M861" t="s">
        <v>874</v>
      </c>
      <c r="N861" t="s">
        <v>875</v>
      </c>
      <c r="O861" t="s">
        <v>896</v>
      </c>
      <c r="P861" t="s">
        <v>877</v>
      </c>
      <c r="Q861" s="7">
        <v>765000</v>
      </c>
    </row>
    <row r="862" spans="1:17">
      <c r="A862" t="s">
        <v>1757</v>
      </c>
      <c r="B862" s="6">
        <v>45822</v>
      </c>
      <c r="C862" t="s">
        <v>268</v>
      </c>
      <c r="D862" t="s">
        <v>769</v>
      </c>
      <c r="E862">
        <v>1</v>
      </c>
      <c r="F862" s="7">
        <v>100000</v>
      </c>
      <c r="G862" s="7">
        <v>100000</v>
      </c>
      <c r="H862" t="s">
        <v>879</v>
      </c>
      <c r="I862" s="7">
        <v>20000</v>
      </c>
      <c r="J862" s="7">
        <v>25000</v>
      </c>
      <c r="K862" s="7">
        <v>105000</v>
      </c>
      <c r="L862" t="s">
        <v>889</v>
      </c>
      <c r="M862" t="s">
        <v>901</v>
      </c>
      <c r="N862" t="s">
        <v>890</v>
      </c>
      <c r="O862" t="s">
        <v>915</v>
      </c>
      <c r="P862" t="s">
        <v>892</v>
      </c>
      <c r="Q862" s="7">
        <v>80000</v>
      </c>
    </row>
    <row r="863" spans="1:17">
      <c r="A863" t="s">
        <v>1758</v>
      </c>
      <c r="B863" s="6">
        <v>45739</v>
      </c>
      <c r="C863" t="s">
        <v>422</v>
      </c>
      <c r="D863" t="s">
        <v>783</v>
      </c>
      <c r="E863">
        <v>2</v>
      </c>
      <c r="F863" s="7">
        <v>500000</v>
      </c>
      <c r="G863" s="7">
        <v>1000000</v>
      </c>
      <c r="H863" t="s">
        <v>872</v>
      </c>
      <c r="I863" s="7">
        <v>0</v>
      </c>
      <c r="J863" s="7">
        <v>20000</v>
      </c>
      <c r="K863" s="7">
        <v>1020000</v>
      </c>
      <c r="L863" t="s">
        <v>873</v>
      </c>
      <c r="M863" t="s">
        <v>901</v>
      </c>
      <c r="N863" t="s">
        <v>875</v>
      </c>
      <c r="O863" t="s">
        <v>876</v>
      </c>
      <c r="P863" t="s">
        <v>877</v>
      </c>
      <c r="Q863" s="7">
        <v>1000000</v>
      </c>
    </row>
    <row r="864" spans="1:17">
      <c r="A864" t="s">
        <v>1759</v>
      </c>
      <c r="B864" s="6">
        <v>45745</v>
      </c>
      <c r="C864" t="s">
        <v>406</v>
      </c>
      <c r="D864" t="s">
        <v>831</v>
      </c>
      <c r="E864">
        <v>1</v>
      </c>
      <c r="F864" s="7">
        <v>300000</v>
      </c>
      <c r="G864" s="7">
        <v>300000</v>
      </c>
      <c r="H864" t="s">
        <v>883</v>
      </c>
      <c r="I864" s="7">
        <v>30000</v>
      </c>
      <c r="J864" s="7">
        <v>30000</v>
      </c>
      <c r="K864" s="7">
        <v>300000</v>
      </c>
      <c r="L864" t="s">
        <v>873</v>
      </c>
      <c r="M864" t="s">
        <v>881</v>
      </c>
      <c r="N864" t="s">
        <v>890</v>
      </c>
      <c r="O864" t="s">
        <v>876</v>
      </c>
      <c r="P864" t="s">
        <v>892</v>
      </c>
      <c r="Q864" s="7">
        <v>270000</v>
      </c>
    </row>
    <row r="865" spans="1:17">
      <c r="A865" t="s">
        <v>1760</v>
      </c>
      <c r="B865" s="6">
        <v>45795</v>
      </c>
      <c r="C865" t="s">
        <v>660</v>
      </c>
      <c r="D865" t="s">
        <v>819</v>
      </c>
      <c r="E865">
        <v>2</v>
      </c>
      <c r="F865" s="7">
        <v>300000</v>
      </c>
      <c r="G865" s="7">
        <v>600000</v>
      </c>
      <c r="H865" t="s">
        <v>872</v>
      </c>
      <c r="I865" s="7">
        <v>0</v>
      </c>
      <c r="J865" s="7">
        <v>10000</v>
      </c>
      <c r="K865" s="7">
        <v>610000</v>
      </c>
      <c r="L865" t="s">
        <v>873</v>
      </c>
      <c r="M865" t="s">
        <v>881</v>
      </c>
      <c r="N865" t="s">
        <v>875</v>
      </c>
      <c r="O865" t="s">
        <v>896</v>
      </c>
      <c r="P865" t="s">
        <v>877</v>
      </c>
      <c r="Q865" s="7">
        <v>600000</v>
      </c>
    </row>
    <row r="866" spans="1:17">
      <c r="A866" t="s">
        <v>1761</v>
      </c>
      <c r="B866" s="6">
        <v>45807</v>
      </c>
      <c r="C866" t="s">
        <v>658</v>
      </c>
      <c r="D866" t="s">
        <v>817</v>
      </c>
      <c r="E866">
        <v>4</v>
      </c>
      <c r="F866" s="7">
        <v>75000</v>
      </c>
      <c r="G866" s="7">
        <v>300000</v>
      </c>
      <c r="H866" t="s">
        <v>872</v>
      </c>
      <c r="I866" s="7">
        <v>0</v>
      </c>
      <c r="J866" s="7">
        <v>15000</v>
      </c>
      <c r="K866" s="7">
        <v>315000</v>
      </c>
      <c r="L866" t="s">
        <v>889</v>
      </c>
      <c r="M866" t="s">
        <v>901</v>
      </c>
      <c r="N866" t="s">
        <v>875</v>
      </c>
      <c r="O866" t="s">
        <v>896</v>
      </c>
      <c r="P866" t="s">
        <v>877</v>
      </c>
      <c r="Q866" s="7">
        <v>300000</v>
      </c>
    </row>
    <row r="867" spans="1:17">
      <c r="A867" t="s">
        <v>1762</v>
      </c>
      <c r="B867" s="6">
        <v>45666</v>
      </c>
      <c r="C867" t="s">
        <v>138</v>
      </c>
      <c r="D867" t="s">
        <v>833</v>
      </c>
      <c r="E867">
        <v>1</v>
      </c>
      <c r="F867" s="7">
        <v>200000</v>
      </c>
      <c r="G867" s="7">
        <v>200000</v>
      </c>
      <c r="H867" t="s">
        <v>879</v>
      </c>
      <c r="I867" s="7">
        <v>40000</v>
      </c>
      <c r="J867" s="7">
        <v>30000</v>
      </c>
      <c r="K867" s="7">
        <v>190000</v>
      </c>
      <c r="L867" t="s">
        <v>889</v>
      </c>
      <c r="M867" t="s">
        <v>881</v>
      </c>
      <c r="N867" t="s">
        <v>875</v>
      </c>
      <c r="O867" t="s">
        <v>908</v>
      </c>
      <c r="P867" t="s">
        <v>877</v>
      </c>
      <c r="Q867" s="7">
        <v>160000</v>
      </c>
    </row>
    <row r="868" spans="1:17">
      <c r="A868" t="s">
        <v>1763</v>
      </c>
      <c r="B868" s="6">
        <v>45671</v>
      </c>
      <c r="C868" t="s">
        <v>346</v>
      </c>
      <c r="D868" t="s">
        <v>807</v>
      </c>
      <c r="E868">
        <v>2</v>
      </c>
      <c r="F868" s="7">
        <v>150000</v>
      </c>
      <c r="G868" s="7">
        <v>300000</v>
      </c>
      <c r="H868" t="s">
        <v>886</v>
      </c>
      <c r="I868" s="7">
        <v>30000</v>
      </c>
      <c r="J868" s="7">
        <v>25000</v>
      </c>
      <c r="K868" s="7">
        <v>295000</v>
      </c>
      <c r="L868" t="s">
        <v>884</v>
      </c>
      <c r="M868" t="s">
        <v>874</v>
      </c>
      <c r="N868" t="s">
        <v>911</v>
      </c>
      <c r="O868" t="s">
        <v>908</v>
      </c>
      <c r="P868" t="s">
        <v>892</v>
      </c>
      <c r="Q868" s="7">
        <v>270000</v>
      </c>
    </row>
    <row r="869" spans="1:17">
      <c r="A869" t="s">
        <v>1764</v>
      </c>
      <c r="B869" s="6">
        <v>45708</v>
      </c>
      <c r="C869" t="s">
        <v>226</v>
      </c>
      <c r="D869" t="s">
        <v>811</v>
      </c>
      <c r="E869">
        <v>1</v>
      </c>
      <c r="F869" s="7">
        <v>35000</v>
      </c>
      <c r="G869" s="7">
        <v>35000</v>
      </c>
      <c r="H869" t="s">
        <v>872</v>
      </c>
      <c r="I869" s="7">
        <v>0</v>
      </c>
      <c r="J869" s="7">
        <v>15000</v>
      </c>
      <c r="K869" s="7">
        <v>50000</v>
      </c>
      <c r="L869" t="s">
        <v>884</v>
      </c>
      <c r="M869" t="s">
        <v>903</v>
      </c>
      <c r="N869" t="s">
        <v>875</v>
      </c>
      <c r="O869" t="s">
        <v>887</v>
      </c>
      <c r="P869" t="s">
        <v>877</v>
      </c>
      <c r="Q869" s="7">
        <v>35000</v>
      </c>
    </row>
    <row r="870" spans="1:17">
      <c r="A870" t="s">
        <v>1765</v>
      </c>
      <c r="B870" s="6">
        <v>45658</v>
      </c>
      <c r="C870" t="s">
        <v>608</v>
      </c>
      <c r="D870" t="s">
        <v>777</v>
      </c>
      <c r="E870">
        <v>1</v>
      </c>
      <c r="F870" s="7">
        <v>200000</v>
      </c>
      <c r="G870" s="7">
        <v>200000</v>
      </c>
      <c r="H870" t="s">
        <v>883</v>
      </c>
      <c r="I870" s="7">
        <v>20000</v>
      </c>
      <c r="J870" s="7">
        <v>10000</v>
      </c>
      <c r="K870" s="7">
        <v>190000</v>
      </c>
      <c r="L870" t="s">
        <v>884</v>
      </c>
      <c r="M870" t="s">
        <v>874</v>
      </c>
      <c r="N870" t="s">
        <v>875</v>
      </c>
      <c r="O870" t="s">
        <v>908</v>
      </c>
      <c r="P870" t="s">
        <v>877</v>
      </c>
      <c r="Q870" s="7">
        <v>180000</v>
      </c>
    </row>
    <row r="871" spans="1:17">
      <c r="A871" t="s">
        <v>1766</v>
      </c>
      <c r="B871" s="6">
        <v>45691</v>
      </c>
      <c r="C871" t="s">
        <v>238</v>
      </c>
      <c r="D871" t="s">
        <v>831</v>
      </c>
      <c r="E871">
        <v>1</v>
      </c>
      <c r="F871" s="7">
        <v>300000</v>
      </c>
      <c r="G871" s="7">
        <v>300000</v>
      </c>
      <c r="H871" t="s">
        <v>872</v>
      </c>
      <c r="I871" s="7">
        <v>0</v>
      </c>
      <c r="J871" s="7">
        <v>30000</v>
      </c>
      <c r="K871" s="7">
        <v>330000</v>
      </c>
      <c r="L871" t="s">
        <v>880</v>
      </c>
      <c r="M871" t="s">
        <v>903</v>
      </c>
      <c r="N871" t="s">
        <v>875</v>
      </c>
      <c r="O871" t="s">
        <v>887</v>
      </c>
      <c r="P871" t="s">
        <v>877</v>
      </c>
      <c r="Q871" s="7">
        <v>300000</v>
      </c>
    </row>
    <row r="872" spans="1:17">
      <c r="A872" t="s">
        <v>1767</v>
      </c>
      <c r="B872" s="6">
        <v>45658</v>
      </c>
      <c r="C872" t="s">
        <v>284</v>
      </c>
      <c r="D872" t="s">
        <v>767</v>
      </c>
      <c r="E872">
        <v>4</v>
      </c>
      <c r="F872" s="7">
        <v>150000</v>
      </c>
      <c r="G872" s="7">
        <v>600000</v>
      </c>
      <c r="H872" t="s">
        <v>872</v>
      </c>
      <c r="I872" s="7">
        <v>0</v>
      </c>
      <c r="J872" s="7">
        <v>10000</v>
      </c>
      <c r="K872" s="7">
        <v>610000</v>
      </c>
      <c r="L872" t="s">
        <v>880</v>
      </c>
      <c r="M872" t="s">
        <v>874</v>
      </c>
      <c r="N872" t="s">
        <v>875</v>
      </c>
      <c r="O872" t="s">
        <v>908</v>
      </c>
      <c r="P872" t="s">
        <v>877</v>
      </c>
      <c r="Q872" s="7">
        <v>600000</v>
      </c>
    </row>
    <row r="873" spans="1:17">
      <c r="A873" t="s">
        <v>1768</v>
      </c>
      <c r="B873" s="6">
        <v>45770</v>
      </c>
      <c r="C873" t="s">
        <v>296</v>
      </c>
      <c r="D873" t="s">
        <v>791</v>
      </c>
      <c r="E873">
        <v>1</v>
      </c>
      <c r="F873" s="7">
        <v>50000</v>
      </c>
      <c r="G873" s="7">
        <v>50000</v>
      </c>
      <c r="H873" t="s">
        <v>895</v>
      </c>
      <c r="I873" s="7">
        <v>7500</v>
      </c>
      <c r="J873" s="7">
        <v>10000</v>
      </c>
      <c r="K873" s="7">
        <v>52500</v>
      </c>
      <c r="L873" t="s">
        <v>884</v>
      </c>
      <c r="M873" t="s">
        <v>874</v>
      </c>
      <c r="N873" t="s">
        <v>875</v>
      </c>
      <c r="O873" t="s">
        <v>891</v>
      </c>
      <c r="P873" t="s">
        <v>877</v>
      </c>
      <c r="Q873" s="7">
        <v>42500</v>
      </c>
    </row>
    <row r="874" spans="1:17">
      <c r="A874" t="s">
        <v>1769</v>
      </c>
      <c r="B874" s="6">
        <v>45667</v>
      </c>
      <c r="C874" t="s">
        <v>27</v>
      </c>
      <c r="D874" t="s">
        <v>777</v>
      </c>
      <c r="E874">
        <v>2</v>
      </c>
      <c r="F874" s="7">
        <v>200000</v>
      </c>
      <c r="G874" s="7">
        <v>400000</v>
      </c>
      <c r="H874" t="s">
        <v>872</v>
      </c>
      <c r="I874" s="7">
        <v>0</v>
      </c>
      <c r="J874" s="7">
        <v>20000</v>
      </c>
      <c r="K874" s="7">
        <v>420000</v>
      </c>
      <c r="L874" t="s">
        <v>873</v>
      </c>
      <c r="M874" t="s">
        <v>903</v>
      </c>
      <c r="N874" t="s">
        <v>875</v>
      </c>
      <c r="O874" t="s">
        <v>908</v>
      </c>
      <c r="P874" t="s">
        <v>877</v>
      </c>
      <c r="Q874" s="7">
        <v>400000</v>
      </c>
    </row>
    <row r="875" spans="1:17">
      <c r="A875" t="s">
        <v>1770</v>
      </c>
      <c r="B875" s="6">
        <v>45677</v>
      </c>
      <c r="C875" t="s">
        <v>113</v>
      </c>
      <c r="D875" t="s">
        <v>753</v>
      </c>
      <c r="E875">
        <v>1</v>
      </c>
      <c r="F875" s="7">
        <v>300000</v>
      </c>
      <c r="G875" s="7">
        <v>300000</v>
      </c>
      <c r="H875" t="s">
        <v>879</v>
      </c>
      <c r="I875" s="7">
        <v>60000</v>
      </c>
      <c r="J875" s="7">
        <v>20000</v>
      </c>
      <c r="K875" s="7">
        <v>260000</v>
      </c>
      <c r="L875" t="s">
        <v>889</v>
      </c>
      <c r="M875" t="s">
        <v>903</v>
      </c>
      <c r="N875" t="s">
        <v>875</v>
      </c>
      <c r="O875" t="s">
        <v>908</v>
      </c>
      <c r="P875" t="s">
        <v>877</v>
      </c>
      <c r="Q875" s="7">
        <v>240000</v>
      </c>
    </row>
    <row r="876" spans="1:17">
      <c r="A876" t="s">
        <v>1771</v>
      </c>
      <c r="B876" s="6">
        <v>45666</v>
      </c>
      <c r="C876" t="s">
        <v>448</v>
      </c>
      <c r="D876" t="s">
        <v>759</v>
      </c>
      <c r="E876">
        <v>1</v>
      </c>
      <c r="F876" s="7">
        <v>300000</v>
      </c>
      <c r="G876" s="7">
        <v>300000</v>
      </c>
      <c r="H876" t="s">
        <v>872</v>
      </c>
      <c r="I876" s="7">
        <v>0</v>
      </c>
      <c r="J876" s="7">
        <v>15000</v>
      </c>
      <c r="K876" s="7">
        <v>315000</v>
      </c>
      <c r="L876" t="s">
        <v>873</v>
      </c>
      <c r="M876" t="s">
        <v>903</v>
      </c>
      <c r="N876" t="s">
        <v>911</v>
      </c>
      <c r="O876" t="s">
        <v>908</v>
      </c>
      <c r="P876" t="s">
        <v>892</v>
      </c>
      <c r="Q876" s="7">
        <v>300000</v>
      </c>
    </row>
    <row r="877" spans="1:17">
      <c r="A877" t="s">
        <v>1772</v>
      </c>
      <c r="B877" s="6">
        <v>45751</v>
      </c>
      <c r="C877" t="s">
        <v>406</v>
      </c>
      <c r="D877" t="s">
        <v>799</v>
      </c>
      <c r="E877">
        <v>1</v>
      </c>
      <c r="F877" s="7">
        <v>35000</v>
      </c>
      <c r="G877" s="7">
        <v>35000</v>
      </c>
      <c r="H877" t="s">
        <v>879</v>
      </c>
      <c r="I877" s="7">
        <v>7000</v>
      </c>
      <c r="J877" s="7">
        <v>30000</v>
      </c>
      <c r="K877" s="7">
        <v>58000</v>
      </c>
      <c r="L877" t="s">
        <v>880</v>
      </c>
      <c r="M877" t="s">
        <v>874</v>
      </c>
      <c r="N877" t="s">
        <v>875</v>
      </c>
      <c r="O877" t="s">
        <v>891</v>
      </c>
      <c r="P877" t="s">
        <v>877</v>
      </c>
      <c r="Q877" s="7">
        <v>28000</v>
      </c>
    </row>
    <row r="878" spans="1:17">
      <c r="A878" t="s">
        <v>1773</v>
      </c>
      <c r="B878" s="6">
        <v>45672</v>
      </c>
      <c r="C878" t="s">
        <v>123</v>
      </c>
      <c r="D878" t="s">
        <v>823</v>
      </c>
      <c r="E878">
        <v>1</v>
      </c>
      <c r="F878" s="7">
        <v>500000</v>
      </c>
      <c r="G878" s="7">
        <v>500000</v>
      </c>
      <c r="H878" t="s">
        <v>872</v>
      </c>
      <c r="I878" s="7">
        <v>0</v>
      </c>
      <c r="J878" s="7">
        <v>20000</v>
      </c>
      <c r="K878" s="7">
        <v>520000</v>
      </c>
      <c r="L878" t="s">
        <v>889</v>
      </c>
      <c r="M878" t="s">
        <v>881</v>
      </c>
      <c r="N878" t="s">
        <v>911</v>
      </c>
      <c r="O878" t="s">
        <v>908</v>
      </c>
      <c r="P878" t="s">
        <v>892</v>
      </c>
      <c r="Q878" s="7">
        <v>500000</v>
      </c>
    </row>
    <row r="879" spans="1:17">
      <c r="A879" t="s">
        <v>1774</v>
      </c>
      <c r="B879" s="6">
        <v>45774</v>
      </c>
      <c r="C879" t="s">
        <v>616</v>
      </c>
      <c r="D879" t="s">
        <v>775</v>
      </c>
      <c r="E879">
        <v>2</v>
      </c>
      <c r="F879" s="7">
        <v>75000</v>
      </c>
      <c r="G879" s="7">
        <v>150000</v>
      </c>
      <c r="H879" t="s">
        <v>895</v>
      </c>
      <c r="I879" s="7">
        <v>22500</v>
      </c>
      <c r="J879" s="7">
        <v>10000</v>
      </c>
      <c r="K879" s="7">
        <v>137500</v>
      </c>
      <c r="L879" t="s">
        <v>889</v>
      </c>
      <c r="M879" t="s">
        <v>903</v>
      </c>
      <c r="N879" t="s">
        <v>911</v>
      </c>
      <c r="O879" t="s">
        <v>891</v>
      </c>
      <c r="P879" t="s">
        <v>892</v>
      </c>
      <c r="Q879" s="7">
        <v>127500</v>
      </c>
    </row>
    <row r="880" spans="1:17">
      <c r="A880" t="s">
        <v>1775</v>
      </c>
      <c r="B880" s="6">
        <v>45767</v>
      </c>
      <c r="C880" t="s">
        <v>248</v>
      </c>
      <c r="D880" t="s">
        <v>797</v>
      </c>
      <c r="E880">
        <v>1</v>
      </c>
      <c r="F880" s="7">
        <v>150000</v>
      </c>
      <c r="G880" s="7">
        <v>150000</v>
      </c>
      <c r="H880" t="s">
        <v>872</v>
      </c>
      <c r="I880" s="7">
        <v>0</v>
      </c>
      <c r="J880" s="7">
        <v>15000</v>
      </c>
      <c r="K880" s="7">
        <v>165000</v>
      </c>
      <c r="L880" t="s">
        <v>884</v>
      </c>
      <c r="M880" t="s">
        <v>903</v>
      </c>
      <c r="N880" t="s">
        <v>875</v>
      </c>
      <c r="O880" t="s">
        <v>891</v>
      </c>
      <c r="P880" t="s">
        <v>877</v>
      </c>
      <c r="Q880" s="7">
        <v>150000</v>
      </c>
    </row>
    <row r="881" spans="1:17">
      <c r="A881" t="s">
        <v>1776</v>
      </c>
      <c r="B881" s="6">
        <v>45768</v>
      </c>
      <c r="C881" t="s">
        <v>308</v>
      </c>
      <c r="D881" t="s">
        <v>773</v>
      </c>
      <c r="E881">
        <v>2</v>
      </c>
      <c r="F881" s="7">
        <v>500000</v>
      </c>
      <c r="G881" s="7">
        <v>1000000</v>
      </c>
      <c r="H881" t="s">
        <v>886</v>
      </c>
      <c r="I881" s="7">
        <v>100000</v>
      </c>
      <c r="J881" s="7">
        <v>10000</v>
      </c>
      <c r="K881" s="7">
        <v>910000</v>
      </c>
      <c r="L881" t="s">
        <v>889</v>
      </c>
      <c r="M881" t="s">
        <v>901</v>
      </c>
      <c r="N881" t="s">
        <v>875</v>
      </c>
      <c r="O881" t="s">
        <v>891</v>
      </c>
      <c r="P881" t="s">
        <v>877</v>
      </c>
      <c r="Q881" s="7">
        <v>900000</v>
      </c>
    </row>
    <row r="882" spans="1:17">
      <c r="A882" t="s">
        <v>1777</v>
      </c>
      <c r="B882" s="6">
        <v>45761</v>
      </c>
      <c r="C882" t="s">
        <v>168</v>
      </c>
      <c r="D882" t="s">
        <v>749</v>
      </c>
      <c r="E882">
        <v>1</v>
      </c>
      <c r="F882" s="7">
        <v>150000</v>
      </c>
      <c r="G882" s="7">
        <v>150000</v>
      </c>
      <c r="H882" t="s">
        <v>872</v>
      </c>
      <c r="I882" s="7">
        <v>0</v>
      </c>
      <c r="J882" s="7">
        <v>10000</v>
      </c>
      <c r="K882" s="7">
        <v>160000</v>
      </c>
      <c r="L882" t="s">
        <v>880</v>
      </c>
      <c r="M882" t="s">
        <v>881</v>
      </c>
      <c r="N882" t="s">
        <v>875</v>
      </c>
      <c r="O882" t="s">
        <v>891</v>
      </c>
      <c r="P882" t="s">
        <v>877</v>
      </c>
      <c r="Q882" s="7">
        <v>150000</v>
      </c>
    </row>
    <row r="883" spans="1:17">
      <c r="A883" t="s">
        <v>1778</v>
      </c>
      <c r="B883" s="6">
        <v>45680</v>
      </c>
      <c r="C883" t="s">
        <v>111</v>
      </c>
      <c r="D883" t="s">
        <v>761</v>
      </c>
      <c r="E883">
        <v>1</v>
      </c>
      <c r="F883" s="7">
        <v>75000</v>
      </c>
      <c r="G883" s="7">
        <v>75000</v>
      </c>
      <c r="H883" t="s">
        <v>872</v>
      </c>
      <c r="I883" s="7">
        <v>0</v>
      </c>
      <c r="J883" s="7">
        <v>10000</v>
      </c>
      <c r="K883" s="7">
        <v>85000</v>
      </c>
      <c r="L883" t="s">
        <v>884</v>
      </c>
      <c r="M883" t="s">
        <v>874</v>
      </c>
      <c r="N883" t="s">
        <v>875</v>
      </c>
      <c r="O883" t="s">
        <v>908</v>
      </c>
      <c r="P883" t="s">
        <v>877</v>
      </c>
      <c r="Q883" s="7">
        <v>75000</v>
      </c>
    </row>
    <row r="884" spans="1:17">
      <c r="A884" t="s">
        <v>1779</v>
      </c>
      <c r="B884" s="6">
        <v>45688</v>
      </c>
      <c r="C884" t="s">
        <v>188</v>
      </c>
      <c r="D884" t="s">
        <v>799</v>
      </c>
      <c r="E884">
        <v>3</v>
      </c>
      <c r="F884" s="7">
        <v>35000</v>
      </c>
      <c r="G884" s="7">
        <v>105000</v>
      </c>
      <c r="H884" t="s">
        <v>872</v>
      </c>
      <c r="I884" s="7">
        <v>0</v>
      </c>
      <c r="J884" s="7">
        <v>15000</v>
      </c>
      <c r="K884" s="7">
        <v>120000</v>
      </c>
      <c r="L884" t="s">
        <v>884</v>
      </c>
      <c r="M884" t="s">
        <v>874</v>
      </c>
      <c r="N884" t="s">
        <v>875</v>
      </c>
      <c r="O884" t="s">
        <v>908</v>
      </c>
      <c r="P884" t="s">
        <v>877</v>
      </c>
      <c r="Q884" s="7">
        <v>105000</v>
      </c>
    </row>
    <row r="885" spans="1:17">
      <c r="A885" t="s">
        <v>1780</v>
      </c>
      <c r="B885" s="6">
        <v>45813</v>
      </c>
      <c r="C885" t="s">
        <v>228</v>
      </c>
      <c r="D885" t="s">
        <v>725</v>
      </c>
      <c r="E885">
        <v>1</v>
      </c>
      <c r="F885" s="7">
        <v>300000</v>
      </c>
      <c r="G885" s="7">
        <v>300000</v>
      </c>
      <c r="H885" t="s">
        <v>879</v>
      </c>
      <c r="I885" s="7">
        <v>60000</v>
      </c>
      <c r="J885" s="7">
        <v>20000</v>
      </c>
      <c r="K885" s="7">
        <v>260000</v>
      </c>
      <c r="L885" t="s">
        <v>884</v>
      </c>
      <c r="M885" t="s">
        <v>903</v>
      </c>
      <c r="N885" t="s">
        <v>875</v>
      </c>
      <c r="O885" t="s">
        <v>915</v>
      </c>
      <c r="P885" t="s">
        <v>877</v>
      </c>
      <c r="Q885" s="7">
        <v>240000</v>
      </c>
    </row>
    <row r="886" spans="1:17">
      <c r="A886" t="s">
        <v>1781</v>
      </c>
      <c r="B886" s="6">
        <v>45671</v>
      </c>
      <c r="C886" t="s">
        <v>93</v>
      </c>
      <c r="D886" t="s">
        <v>759</v>
      </c>
      <c r="E886">
        <v>2</v>
      </c>
      <c r="F886" s="7">
        <v>300000</v>
      </c>
      <c r="G886" s="7">
        <v>600000</v>
      </c>
      <c r="H886" t="s">
        <v>886</v>
      </c>
      <c r="I886" s="7">
        <v>60000</v>
      </c>
      <c r="J886" s="7">
        <v>20000</v>
      </c>
      <c r="K886" s="7">
        <v>560000</v>
      </c>
      <c r="L886" t="s">
        <v>884</v>
      </c>
      <c r="M886" t="s">
        <v>881</v>
      </c>
      <c r="N886" t="s">
        <v>905</v>
      </c>
      <c r="O886" t="s">
        <v>908</v>
      </c>
      <c r="P886" t="s">
        <v>892</v>
      </c>
      <c r="Q886" s="7">
        <v>540000</v>
      </c>
    </row>
    <row r="887" spans="1:17">
      <c r="A887" t="s">
        <v>1782</v>
      </c>
      <c r="B887" s="6">
        <v>45686</v>
      </c>
      <c r="C887" t="s">
        <v>566</v>
      </c>
      <c r="D887" t="s">
        <v>775</v>
      </c>
      <c r="E887">
        <v>4</v>
      </c>
      <c r="F887" s="7">
        <v>75000</v>
      </c>
      <c r="G887" s="7">
        <v>300000</v>
      </c>
      <c r="H887" t="s">
        <v>883</v>
      </c>
      <c r="I887" s="7">
        <v>30000</v>
      </c>
      <c r="J887" s="7">
        <v>15000</v>
      </c>
      <c r="K887" s="7">
        <v>285000</v>
      </c>
      <c r="L887" t="s">
        <v>884</v>
      </c>
      <c r="M887" t="s">
        <v>881</v>
      </c>
      <c r="N887" t="s">
        <v>890</v>
      </c>
      <c r="O887" t="s">
        <v>908</v>
      </c>
      <c r="P887" t="s">
        <v>892</v>
      </c>
      <c r="Q887" s="7">
        <v>270000</v>
      </c>
    </row>
    <row r="888" spans="1:17">
      <c r="A888" t="s">
        <v>1783</v>
      </c>
      <c r="B888" s="6">
        <v>45785</v>
      </c>
      <c r="C888" t="s">
        <v>438</v>
      </c>
      <c r="D888" t="s">
        <v>795</v>
      </c>
      <c r="E888">
        <v>1</v>
      </c>
      <c r="F888" s="7">
        <v>100000</v>
      </c>
      <c r="G888" s="7">
        <v>100000</v>
      </c>
      <c r="H888" t="s">
        <v>886</v>
      </c>
      <c r="I888" s="7">
        <v>10000</v>
      </c>
      <c r="J888" s="7">
        <v>20000</v>
      </c>
      <c r="K888" s="7">
        <v>110000</v>
      </c>
      <c r="L888" t="s">
        <v>889</v>
      </c>
      <c r="M888" t="s">
        <v>874</v>
      </c>
      <c r="N888" t="s">
        <v>875</v>
      </c>
      <c r="O888" t="s">
        <v>896</v>
      </c>
      <c r="P888" t="s">
        <v>877</v>
      </c>
      <c r="Q888" s="7">
        <v>90000</v>
      </c>
    </row>
    <row r="889" spans="1:17">
      <c r="A889" t="s">
        <v>1784</v>
      </c>
      <c r="B889" s="6">
        <v>45743</v>
      </c>
      <c r="C889" t="s">
        <v>474</v>
      </c>
      <c r="D889" t="s">
        <v>769</v>
      </c>
      <c r="E889">
        <v>3</v>
      </c>
      <c r="F889" s="7">
        <v>100000</v>
      </c>
      <c r="G889" s="7">
        <v>300000</v>
      </c>
      <c r="H889" t="s">
        <v>872</v>
      </c>
      <c r="I889" s="7">
        <v>0</v>
      </c>
      <c r="J889" s="7">
        <v>20000</v>
      </c>
      <c r="K889" s="7">
        <v>320000</v>
      </c>
      <c r="L889" t="s">
        <v>884</v>
      </c>
      <c r="M889" t="s">
        <v>901</v>
      </c>
      <c r="N889" t="s">
        <v>905</v>
      </c>
      <c r="O889" t="s">
        <v>876</v>
      </c>
      <c r="P889" t="s">
        <v>892</v>
      </c>
      <c r="Q889" s="7">
        <v>300000</v>
      </c>
    </row>
    <row r="890" spans="1:17">
      <c r="A890" t="s">
        <v>1785</v>
      </c>
      <c r="B890" s="6">
        <v>45677</v>
      </c>
      <c r="C890" t="s">
        <v>600</v>
      </c>
      <c r="D890" t="s">
        <v>841</v>
      </c>
      <c r="E890">
        <v>4</v>
      </c>
      <c r="F890" s="7">
        <v>75000</v>
      </c>
      <c r="G890" s="7">
        <v>300000</v>
      </c>
      <c r="H890" t="s">
        <v>879</v>
      </c>
      <c r="I890" s="7">
        <v>60000</v>
      </c>
      <c r="J890" s="7">
        <v>25000</v>
      </c>
      <c r="K890" s="7">
        <v>265000</v>
      </c>
      <c r="L890" t="s">
        <v>873</v>
      </c>
      <c r="M890" t="s">
        <v>874</v>
      </c>
      <c r="N890" t="s">
        <v>875</v>
      </c>
      <c r="O890" t="s">
        <v>908</v>
      </c>
      <c r="P890" t="s">
        <v>877</v>
      </c>
      <c r="Q890" s="7">
        <v>240000</v>
      </c>
    </row>
    <row r="891" spans="1:17">
      <c r="A891" t="s">
        <v>1786</v>
      </c>
      <c r="B891" s="6">
        <v>45705</v>
      </c>
      <c r="C891" t="s">
        <v>498</v>
      </c>
      <c r="D891" t="s">
        <v>789</v>
      </c>
      <c r="E891">
        <v>2</v>
      </c>
      <c r="F891" s="7">
        <v>200000</v>
      </c>
      <c r="G891" s="7">
        <v>400000</v>
      </c>
      <c r="H891" t="s">
        <v>872</v>
      </c>
      <c r="I891" s="7">
        <v>0</v>
      </c>
      <c r="J891" s="7">
        <v>10000</v>
      </c>
      <c r="K891" s="7">
        <v>410000</v>
      </c>
      <c r="L891" t="s">
        <v>880</v>
      </c>
      <c r="M891" t="s">
        <v>881</v>
      </c>
      <c r="N891" t="s">
        <v>905</v>
      </c>
      <c r="O891" t="s">
        <v>887</v>
      </c>
      <c r="P891" t="s">
        <v>892</v>
      </c>
      <c r="Q891" s="7">
        <v>400000</v>
      </c>
    </row>
    <row r="892" spans="1:17">
      <c r="A892" t="s">
        <v>1787</v>
      </c>
      <c r="B892" s="6">
        <v>45661</v>
      </c>
      <c r="C892" t="s">
        <v>170</v>
      </c>
      <c r="D892" t="s">
        <v>753</v>
      </c>
      <c r="E892">
        <v>2</v>
      </c>
      <c r="F892" s="7">
        <v>300000</v>
      </c>
      <c r="G892" s="7">
        <v>600000</v>
      </c>
      <c r="I892" s="7">
        <v>0</v>
      </c>
      <c r="J892" s="7">
        <v>25000</v>
      </c>
      <c r="K892" s="7">
        <v>625000</v>
      </c>
      <c r="L892" t="s">
        <v>880</v>
      </c>
      <c r="M892" t="s">
        <v>903</v>
      </c>
      <c r="N892" t="s">
        <v>890</v>
      </c>
      <c r="O892" t="s">
        <v>908</v>
      </c>
      <c r="P892" t="s">
        <v>892</v>
      </c>
      <c r="Q892" s="7">
        <v>600000</v>
      </c>
    </row>
    <row r="893" spans="1:17">
      <c r="A893" t="s">
        <v>1788</v>
      </c>
      <c r="B893" s="6">
        <v>45715</v>
      </c>
      <c r="C893" t="s">
        <v>568</v>
      </c>
      <c r="D893" t="s">
        <v>783</v>
      </c>
      <c r="E893">
        <v>1</v>
      </c>
      <c r="F893" s="7">
        <v>500000</v>
      </c>
      <c r="G893" s="7">
        <v>500000</v>
      </c>
      <c r="H893" t="s">
        <v>895</v>
      </c>
      <c r="I893" s="7">
        <v>75000</v>
      </c>
      <c r="J893" s="7">
        <v>15000</v>
      </c>
      <c r="K893" s="7">
        <v>440000</v>
      </c>
      <c r="L893" t="s">
        <v>889</v>
      </c>
      <c r="M893" t="s">
        <v>874</v>
      </c>
      <c r="N893" t="s">
        <v>875</v>
      </c>
      <c r="O893" t="s">
        <v>887</v>
      </c>
      <c r="P893" t="s">
        <v>877</v>
      </c>
      <c r="Q893" s="7">
        <v>425000</v>
      </c>
    </row>
    <row r="894" spans="1:17">
      <c r="A894" t="s">
        <v>1789</v>
      </c>
      <c r="B894" s="6">
        <v>45783</v>
      </c>
      <c r="C894" t="s">
        <v>428</v>
      </c>
      <c r="D894" t="s">
        <v>851</v>
      </c>
      <c r="E894">
        <v>1</v>
      </c>
      <c r="F894" s="7">
        <v>35000</v>
      </c>
      <c r="G894" s="7">
        <v>35000</v>
      </c>
      <c r="H894" t="s">
        <v>872</v>
      </c>
      <c r="I894" s="7">
        <v>0</v>
      </c>
      <c r="J894" s="7">
        <v>10000</v>
      </c>
      <c r="K894" s="7">
        <v>45000</v>
      </c>
      <c r="L894" t="s">
        <v>873</v>
      </c>
      <c r="M894" t="s">
        <v>874</v>
      </c>
      <c r="N894" t="s">
        <v>905</v>
      </c>
      <c r="O894" t="s">
        <v>896</v>
      </c>
      <c r="P894" t="s">
        <v>892</v>
      </c>
      <c r="Q894" s="7">
        <v>35000</v>
      </c>
    </row>
    <row r="895" spans="1:17">
      <c r="A895" t="s">
        <v>1790</v>
      </c>
      <c r="B895" s="6">
        <v>45802</v>
      </c>
      <c r="C895" t="s">
        <v>322</v>
      </c>
      <c r="D895" t="s">
        <v>795</v>
      </c>
      <c r="E895">
        <v>3</v>
      </c>
      <c r="F895" s="7">
        <v>100000</v>
      </c>
      <c r="G895" s="7">
        <v>300000</v>
      </c>
      <c r="H895" t="s">
        <v>895</v>
      </c>
      <c r="I895" s="7">
        <v>45000</v>
      </c>
      <c r="J895" s="7">
        <v>10000</v>
      </c>
      <c r="K895" s="7">
        <v>265000</v>
      </c>
      <c r="L895" t="s">
        <v>880</v>
      </c>
      <c r="M895" t="s">
        <v>874</v>
      </c>
      <c r="N895" t="s">
        <v>875</v>
      </c>
      <c r="O895" t="s">
        <v>896</v>
      </c>
      <c r="P895" t="s">
        <v>877</v>
      </c>
      <c r="Q895" s="7">
        <v>255000</v>
      </c>
    </row>
    <row r="896" spans="1:17">
      <c r="A896" t="s">
        <v>1791</v>
      </c>
      <c r="B896" s="6">
        <v>45700</v>
      </c>
      <c r="C896" t="s">
        <v>546</v>
      </c>
      <c r="D896" t="s">
        <v>839</v>
      </c>
      <c r="E896">
        <v>1</v>
      </c>
      <c r="F896" s="7">
        <v>200000</v>
      </c>
      <c r="G896" s="7">
        <v>200000</v>
      </c>
      <c r="H896" t="s">
        <v>886</v>
      </c>
      <c r="I896" s="7">
        <v>20000</v>
      </c>
      <c r="J896" s="7">
        <v>30000</v>
      </c>
      <c r="K896" s="7">
        <v>210000</v>
      </c>
      <c r="L896" t="s">
        <v>880</v>
      </c>
      <c r="M896" t="s">
        <v>903</v>
      </c>
      <c r="N896" t="s">
        <v>875</v>
      </c>
      <c r="O896" t="s">
        <v>887</v>
      </c>
      <c r="P896" t="s">
        <v>877</v>
      </c>
      <c r="Q896" s="7">
        <v>180000</v>
      </c>
    </row>
    <row r="897" spans="1:17">
      <c r="A897" t="s">
        <v>1792</v>
      </c>
      <c r="B897" s="6">
        <v>45834</v>
      </c>
      <c r="C897" t="s">
        <v>144</v>
      </c>
      <c r="D897" t="s">
        <v>821</v>
      </c>
      <c r="E897">
        <v>1</v>
      </c>
      <c r="F897" s="7">
        <v>50000</v>
      </c>
      <c r="G897" s="7">
        <v>50000</v>
      </c>
      <c r="H897" t="s">
        <v>879</v>
      </c>
      <c r="I897" s="7">
        <v>10000</v>
      </c>
      <c r="J897" s="7">
        <v>15000</v>
      </c>
      <c r="K897" s="7">
        <v>55000</v>
      </c>
      <c r="L897" t="s">
        <v>884</v>
      </c>
      <c r="M897" t="s">
        <v>881</v>
      </c>
      <c r="N897" t="s">
        <v>875</v>
      </c>
      <c r="O897" t="s">
        <v>915</v>
      </c>
      <c r="P897" t="s">
        <v>877</v>
      </c>
      <c r="Q897" s="7">
        <v>40000</v>
      </c>
    </row>
    <row r="898" spans="1:17">
      <c r="A898" t="s">
        <v>1793</v>
      </c>
      <c r="B898" s="6">
        <v>45749</v>
      </c>
      <c r="C898" t="s">
        <v>576</v>
      </c>
      <c r="D898" t="s">
        <v>763</v>
      </c>
      <c r="E898">
        <v>3</v>
      </c>
      <c r="F898" s="7">
        <v>75000</v>
      </c>
      <c r="G898" s="7">
        <v>225000</v>
      </c>
      <c r="H898" t="s">
        <v>872</v>
      </c>
      <c r="I898" s="7">
        <v>0</v>
      </c>
      <c r="J898" s="7">
        <v>15000</v>
      </c>
      <c r="K898" s="7">
        <v>240000</v>
      </c>
      <c r="L898" t="s">
        <v>873</v>
      </c>
      <c r="M898" t="s">
        <v>881</v>
      </c>
      <c r="N898" t="s">
        <v>875</v>
      </c>
      <c r="O898" t="s">
        <v>891</v>
      </c>
      <c r="P898" t="s">
        <v>877</v>
      </c>
      <c r="Q898" s="7">
        <v>225000</v>
      </c>
    </row>
    <row r="899" spans="1:17">
      <c r="A899" t="s">
        <v>1794</v>
      </c>
      <c r="B899" s="6">
        <v>45703</v>
      </c>
      <c r="C899" t="s">
        <v>146</v>
      </c>
      <c r="D899" t="s">
        <v>811</v>
      </c>
      <c r="E899">
        <v>3</v>
      </c>
      <c r="F899" s="7">
        <v>35000</v>
      </c>
      <c r="G899" s="7">
        <v>105000</v>
      </c>
      <c r="H899" t="s">
        <v>872</v>
      </c>
      <c r="I899" s="7">
        <v>0</v>
      </c>
      <c r="J899" s="7">
        <v>10000</v>
      </c>
      <c r="K899" s="7">
        <v>115000</v>
      </c>
      <c r="L899" t="s">
        <v>884</v>
      </c>
      <c r="M899" t="s">
        <v>881</v>
      </c>
      <c r="N899" t="s">
        <v>875</v>
      </c>
      <c r="O899" t="s">
        <v>887</v>
      </c>
      <c r="P899" t="s">
        <v>877</v>
      </c>
      <c r="Q899" s="7">
        <v>105000</v>
      </c>
    </row>
    <row r="900" spans="1:17">
      <c r="A900" t="s">
        <v>1795</v>
      </c>
      <c r="B900" s="6">
        <v>45709</v>
      </c>
      <c r="C900" t="s">
        <v>194</v>
      </c>
      <c r="D900" t="s">
        <v>849</v>
      </c>
      <c r="E900">
        <v>1</v>
      </c>
      <c r="F900" s="7">
        <v>500000</v>
      </c>
      <c r="G900" s="7">
        <v>500000</v>
      </c>
      <c r="H900" t="s">
        <v>872</v>
      </c>
      <c r="I900" s="7">
        <v>0</v>
      </c>
      <c r="J900" s="7">
        <v>10000</v>
      </c>
      <c r="K900" s="7">
        <v>510000</v>
      </c>
      <c r="L900" t="s">
        <v>884</v>
      </c>
      <c r="M900" t="s">
        <v>874</v>
      </c>
      <c r="N900" t="s">
        <v>875</v>
      </c>
      <c r="O900" t="s">
        <v>887</v>
      </c>
      <c r="P900" t="s">
        <v>877</v>
      </c>
      <c r="Q900" s="7">
        <v>500000</v>
      </c>
    </row>
    <row r="901" spans="1:17">
      <c r="A901" t="s">
        <v>1796</v>
      </c>
      <c r="B901" s="6">
        <v>45755</v>
      </c>
      <c r="C901" t="s">
        <v>644</v>
      </c>
      <c r="D901" t="s">
        <v>781</v>
      </c>
      <c r="E901">
        <v>2</v>
      </c>
      <c r="F901" s="7">
        <v>50000</v>
      </c>
      <c r="G901" s="7">
        <v>100000</v>
      </c>
      <c r="H901" t="s">
        <v>872</v>
      </c>
      <c r="I901" s="7">
        <v>0</v>
      </c>
      <c r="J901" s="7">
        <v>30000</v>
      </c>
      <c r="K901" s="7">
        <v>130000</v>
      </c>
      <c r="L901" t="s">
        <v>884</v>
      </c>
      <c r="M901" t="s">
        <v>874</v>
      </c>
      <c r="N901" t="s">
        <v>875</v>
      </c>
      <c r="O901" t="s">
        <v>891</v>
      </c>
      <c r="P901" t="s">
        <v>877</v>
      </c>
      <c r="Q901" s="7">
        <v>100000</v>
      </c>
    </row>
    <row r="902" spans="1:17">
      <c r="A902" t="s">
        <v>1797</v>
      </c>
      <c r="B902" s="6">
        <v>45773</v>
      </c>
      <c r="C902" t="s">
        <v>652</v>
      </c>
      <c r="D902" t="s">
        <v>765</v>
      </c>
      <c r="E902">
        <v>1</v>
      </c>
      <c r="F902" s="7">
        <v>500000</v>
      </c>
      <c r="G902" s="7">
        <v>500000</v>
      </c>
      <c r="H902" t="s">
        <v>883</v>
      </c>
      <c r="I902" s="7">
        <v>50000</v>
      </c>
      <c r="J902" s="7">
        <v>10000</v>
      </c>
      <c r="K902" s="7">
        <v>460000</v>
      </c>
      <c r="L902" t="s">
        <v>889</v>
      </c>
      <c r="M902" t="s">
        <v>903</v>
      </c>
      <c r="N902" t="s">
        <v>875</v>
      </c>
      <c r="O902" t="s">
        <v>891</v>
      </c>
      <c r="P902" t="s">
        <v>877</v>
      </c>
      <c r="Q902" s="7">
        <v>450000</v>
      </c>
    </row>
    <row r="903" spans="1:17">
      <c r="A903" t="s">
        <v>1798</v>
      </c>
      <c r="B903" s="6">
        <v>45739</v>
      </c>
      <c r="C903" t="s">
        <v>152</v>
      </c>
      <c r="D903" t="s">
        <v>755</v>
      </c>
      <c r="E903">
        <v>1</v>
      </c>
      <c r="F903" s="7">
        <v>50000</v>
      </c>
      <c r="G903" s="7">
        <v>50000</v>
      </c>
      <c r="H903" t="s">
        <v>872</v>
      </c>
      <c r="I903" s="7">
        <v>0</v>
      </c>
      <c r="J903" s="7">
        <v>10000</v>
      </c>
      <c r="K903" s="7">
        <v>60000</v>
      </c>
      <c r="L903" t="s">
        <v>889</v>
      </c>
      <c r="M903" t="s">
        <v>901</v>
      </c>
      <c r="N903" t="s">
        <v>905</v>
      </c>
      <c r="O903" t="s">
        <v>876</v>
      </c>
      <c r="P903" t="s">
        <v>892</v>
      </c>
      <c r="Q903" s="7">
        <v>50000</v>
      </c>
    </row>
    <row r="904" spans="1:17">
      <c r="A904" t="s">
        <v>1799</v>
      </c>
      <c r="B904" s="6">
        <v>45790</v>
      </c>
      <c r="C904" t="s">
        <v>160</v>
      </c>
      <c r="D904" t="s">
        <v>773</v>
      </c>
      <c r="E904">
        <v>1</v>
      </c>
      <c r="F904" s="7">
        <v>500000</v>
      </c>
      <c r="G904" s="7">
        <v>500000</v>
      </c>
      <c r="H904" t="s">
        <v>872</v>
      </c>
      <c r="I904" s="7">
        <v>0</v>
      </c>
      <c r="J904" s="7">
        <v>25000</v>
      </c>
      <c r="K904" s="7">
        <v>525000</v>
      </c>
      <c r="L904" t="s">
        <v>884</v>
      </c>
      <c r="M904" t="s">
        <v>881</v>
      </c>
      <c r="N904" t="s">
        <v>875</v>
      </c>
      <c r="O904" t="s">
        <v>896</v>
      </c>
      <c r="P904" t="s">
        <v>877</v>
      </c>
      <c r="Q904" s="7">
        <v>500000</v>
      </c>
    </row>
    <row r="905" spans="1:17">
      <c r="A905" t="s">
        <v>1800</v>
      </c>
      <c r="B905" s="6">
        <v>45815</v>
      </c>
      <c r="C905" t="s">
        <v>57</v>
      </c>
      <c r="D905" t="s">
        <v>809</v>
      </c>
      <c r="E905">
        <v>1</v>
      </c>
      <c r="F905" s="7">
        <v>100000</v>
      </c>
      <c r="G905" s="7">
        <v>100000</v>
      </c>
      <c r="H905" t="s">
        <v>872</v>
      </c>
      <c r="I905" s="7">
        <v>0</v>
      </c>
      <c r="J905" s="7">
        <v>20000</v>
      </c>
      <c r="K905" s="7">
        <v>120000</v>
      </c>
      <c r="L905" t="s">
        <v>889</v>
      </c>
      <c r="M905" t="s">
        <v>903</v>
      </c>
      <c r="N905" t="s">
        <v>875</v>
      </c>
      <c r="O905" t="s">
        <v>915</v>
      </c>
      <c r="P905" t="s">
        <v>877</v>
      </c>
      <c r="Q905" s="7">
        <v>100000</v>
      </c>
    </row>
    <row r="906" spans="1:17">
      <c r="A906" t="s">
        <v>1801</v>
      </c>
      <c r="B906" s="6">
        <v>45801</v>
      </c>
      <c r="C906" t="s">
        <v>30</v>
      </c>
      <c r="D906" t="s">
        <v>761</v>
      </c>
      <c r="E906">
        <v>2</v>
      </c>
      <c r="F906" s="7">
        <v>75000</v>
      </c>
      <c r="G906" s="7">
        <v>150000</v>
      </c>
      <c r="I906" s="7">
        <v>15000</v>
      </c>
      <c r="J906" s="7">
        <v>10000</v>
      </c>
      <c r="K906" s="7">
        <v>145000</v>
      </c>
      <c r="L906" t="s">
        <v>880</v>
      </c>
      <c r="M906" t="s">
        <v>901</v>
      </c>
      <c r="N906" t="s">
        <v>875</v>
      </c>
      <c r="O906" t="s">
        <v>896</v>
      </c>
      <c r="P906" t="s">
        <v>877</v>
      </c>
      <c r="Q906" s="7">
        <v>135000</v>
      </c>
    </row>
    <row r="907" spans="1:17">
      <c r="A907" t="s">
        <v>1802</v>
      </c>
      <c r="B907" s="6">
        <v>45803</v>
      </c>
      <c r="C907" t="s">
        <v>400</v>
      </c>
      <c r="D907" t="s">
        <v>837</v>
      </c>
      <c r="E907">
        <v>1</v>
      </c>
      <c r="F907" s="7">
        <v>300000</v>
      </c>
      <c r="G907" s="7">
        <v>300000</v>
      </c>
      <c r="H907" t="s">
        <v>872</v>
      </c>
      <c r="I907" s="7">
        <v>0</v>
      </c>
      <c r="J907" s="7">
        <v>25000</v>
      </c>
      <c r="K907" s="7">
        <v>325000</v>
      </c>
      <c r="L907" t="s">
        <v>884</v>
      </c>
      <c r="M907" t="s">
        <v>881</v>
      </c>
      <c r="N907" t="s">
        <v>890</v>
      </c>
      <c r="O907" t="s">
        <v>896</v>
      </c>
      <c r="P907" t="s">
        <v>892</v>
      </c>
      <c r="Q907" s="7">
        <v>300000</v>
      </c>
    </row>
    <row r="908" spans="1:17">
      <c r="A908" t="s">
        <v>1803</v>
      </c>
      <c r="B908" s="6">
        <v>45818</v>
      </c>
      <c r="C908" t="s">
        <v>322</v>
      </c>
      <c r="D908" t="s">
        <v>807</v>
      </c>
      <c r="E908">
        <v>1</v>
      </c>
      <c r="F908" s="7">
        <v>150000</v>
      </c>
      <c r="G908" s="7">
        <v>150000</v>
      </c>
      <c r="H908" t="s">
        <v>886</v>
      </c>
      <c r="I908" s="7">
        <v>15000</v>
      </c>
      <c r="J908" s="7">
        <v>30000</v>
      </c>
      <c r="K908" s="7">
        <v>165000</v>
      </c>
      <c r="L908" t="s">
        <v>884</v>
      </c>
      <c r="M908" t="s">
        <v>874</v>
      </c>
      <c r="N908" t="s">
        <v>875</v>
      </c>
      <c r="O908" t="s">
        <v>915</v>
      </c>
      <c r="P908" t="s">
        <v>877</v>
      </c>
      <c r="Q908" s="7">
        <v>135000</v>
      </c>
    </row>
    <row r="909" spans="1:17">
      <c r="A909" t="s">
        <v>1804</v>
      </c>
      <c r="B909" s="6">
        <v>45765</v>
      </c>
      <c r="C909" t="s">
        <v>298</v>
      </c>
      <c r="D909" t="s">
        <v>771</v>
      </c>
      <c r="E909">
        <v>3</v>
      </c>
      <c r="F909" s="7">
        <v>500000</v>
      </c>
      <c r="G909" s="7">
        <v>1500000</v>
      </c>
      <c r="H909" t="s">
        <v>872</v>
      </c>
      <c r="I909" s="7">
        <v>0</v>
      </c>
      <c r="J909" s="7">
        <v>30000</v>
      </c>
      <c r="K909" s="7">
        <v>1530000</v>
      </c>
      <c r="L909" t="s">
        <v>884</v>
      </c>
      <c r="M909" t="s">
        <v>874</v>
      </c>
      <c r="N909" t="s">
        <v>875</v>
      </c>
      <c r="O909" t="s">
        <v>891</v>
      </c>
      <c r="P909" t="s">
        <v>877</v>
      </c>
      <c r="Q909" s="7">
        <v>1500000</v>
      </c>
    </row>
    <row r="910" spans="1:17">
      <c r="A910" t="s">
        <v>1805</v>
      </c>
      <c r="B910" s="6">
        <v>45682</v>
      </c>
      <c r="C910" t="s">
        <v>34</v>
      </c>
      <c r="D910" t="s">
        <v>753</v>
      </c>
      <c r="E910">
        <v>3</v>
      </c>
      <c r="F910" s="7">
        <v>300000</v>
      </c>
      <c r="G910" s="7">
        <v>900000</v>
      </c>
      <c r="H910" t="s">
        <v>895</v>
      </c>
      <c r="I910" s="7">
        <v>135000</v>
      </c>
      <c r="J910" s="7">
        <v>10000</v>
      </c>
      <c r="K910" s="7">
        <v>775000</v>
      </c>
      <c r="L910" t="s">
        <v>889</v>
      </c>
      <c r="M910" t="s">
        <v>881</v>
      </c>
      <c r="N910" t="s">
        <v>911</v>
      </c>
      <c r="O910" t="s">
        <v>908</v>
      </c>
      <c r="P910" t="s">
        <v>892</v>
      </c>
      <c r="Q910" s="7">
        <v>765000</v>
      </c>
    </row>
    <row r="911" spans="1:17">
      <c r="A911" t="s">
        <v>1806</v>
      </c>
      <c r="B911" s="6">
        <v>45671</v>
      </c>
      <c r="C911" t="s">
        <v>532</v>
      </c>
      <c r="D911" t="s">
        <v>769</v>
      </c>
      <c r="E911">
        <v>1</v>
      </c>
      <c r="F911" s="7">
        <v>100000</v>
      </c>
      <c r="G911" s="7">
        <v>100000</v>
      </c>
      <c r="H911" t="s">
        <v>879</v>
      </c>
      <c r="I911" s="7">
        <v>20000</v>
      </c>
      <c r="J911" s="7">
        <v>10000</v>
      </c>
      <c r="K911" s="7">
        <v>90000</v>
      </c>
      <c r="L911" t="s">
        <v>880</v>
      </c>
      <c r="M911" t="s">
        <v>901</v>
      </c>
      <c r="N911" t="s">
        <v>875</v>
      </c>
      <c r="O911" t="s">
        <v>908</v>
      </c>
      <c r="P911" t="s">
        <v>877</v>
      </c>
      <c r="Q911" s="7">
        <v>80000</v>
      </c>
    </row>
    <row r="912" spans="1:17">
      <c r="A912" t="s">
        <v>1807</v>
      </c>
      <c r="B912" s="6">
        <v>45775</v>
      </c>
      <c r="C912" t="s">
        <v>206</v>
      </c>
      <c r="D912" t="s">
        <v>835</v>
      </c>
      <c r="E912">
        <v>1</v>
      </c>
      <c r="F912" s="7">
        <v>200000</v>
      </c>
      <c r="G912" s="7">
        <v>200000</v>
      </c>
      <c r="H912" t="s">
        <v>879</v>
      </c>
      <c r="I912" s="7">
        <v>40000</v>
      </c>
      <c r="J912" s="7">
        <v>15000</v>
      </c>
      <c r="K912" s="7">
        <v>175000</v>
      </c>
      <c r="L912" t="s">
        <v>884</v>
      </c>
      <c r="M912" t="s">
        <v>903</v>
      </c>
      <c r="N912" t="s">
        <v>875</v>
      </c>
      <c r="O912" t="s">
        <v>891</v>
      </c>
      <c r="P912" t="s">
        <v>877</v>
      </c>
      <c r="Q912" s="7">
        <v>160000</v>
      </c>
    </row>
    <row r="913" spans="1:17">
      <c r="A913" t="s">
        <v>1808</v>
      </c>
      <c r="B913" s="6">
        <v>45832</v>
      </c>
      <c r="C913" t="s">
        <v>362</v>
      </c>
      <c r="D913" t="s">
        <v>767</v>
      </c>
      <c r="E913">
        <v>3</v>
      </c>
      <c r="F913" s="7">
        <v>150000</v>
      </c>
      <c r="G913" s="7">
        <v>450000</v>
      </c>
      <c r="H913" t="s">
        <v>872</v>
      </c>
      <c r="I913" s="7">
        <v>0</v>
      </c>
      <c r="J913" s="7">
        <v>15000</v>
      </c>
      <c r="K913" s="7">
        <v>465000</v>
      </c>
      <c r="L913" t="s">
        <v>884</v>
      </c>
      <c r="M913" t="s">
        <v>881</v>
      </c>
      <c r="N913" t="s">
        <v>875</v>
      </c>
      <c r="O913" t="s">
        <v>915</v>
      </c>
      <c r="P913" t="s">
        <v>877</v>
      </c>
      <c r="Q913" s="7">
        <v>450000</v>
      </c>
    </row>
    <row r="914" spans="1:17">
      <c r="A914" t="s">
        <v>1809</v>
      </c>
      <c r="B914" s="6">
        <v>45787</v>
      </c>
      <c r="C914" t="s">
        <v>584</v>
      </c>
      <c r="D914" t="s">
        <v>755</v>
      </c>
      <c r="E914">
        <v>1</v>
      </c>
      <c r="F914" s="7">
        <v>50000</v>
      </c>
      <c r="G914" s="7">
        <v>50000</v>
      </c>
      <c r="H914" t="s">
        <v>886</v>
      </c>
      <c r="I914" s="7">
        <v>5000</v>
      </c>
      <c r="J914" s="7">
        <v>30000</v>
      </c>
      <c r="K914" s="7">
        <v>75000</v>
      </c>
      <c r="L914" t="s">
        <v>889</v>
      </c>
      <c r="M914" t="s">
        <v>881</v>
      </c>
      <c r="N914" t="s">
        <v>875</v>
      </c>
      <c r="O914" t="s">
        <v>896</v>
      </c>
      <c r="P914" t="s">
        <v>877</v>
      </c>
      <c r="Q914" s="7">
        <v>45000</v>
      </c>
    </row>
    <row r="915" spans="1:17">
      <c r="A915" t="s">
        <v>1810</v>
      </c>
      <c r="B915" s="6">
        <v>45763</v>
      </c>
      <c r="C915" t="s">
        <v>204</v>
      </c>
      <c r="D915" t="s">
        <v>725</v>
      </c>
      <c r="E915">
        <v>2</v>
      </c>
      <c r="F915" s="7">
        <v>300000</v>
      </c>
      <c r="G915" s="7">
        <v>600000</v>
      </c>
      <c r="H915" t="s">
        <v>886</v>
      </c>
      <c r="I915" s="7">
        <v>60000</v>
      </c>
      <c r="J915" s="7">
        <v>25000</v>
      </c>
      <c r="K915" s="7">
        <v>565000</v>
      </c>
      <c r="L915" t="s">
        <v>873</v>
      </c>
      <c r="M915" t="s">
        <v>901</v>
      </c>
      <c r="N915" t="s">
        <v>875</v>
      </c>
      <c r="O915" t="s">
        <v>891</v>
      </c>
      <c r="P915" t="s">
        <v>877</v>
      </c>
      <c r="Q915" s="7">
        <v>540000</v>
      </c>
    </row>
    <row r="916" spans="1:17">
      <c r="A916" t="s">
        <v>1811</v>
      </c>
      <c r="B916" s="6">
        <v>45670</v>
      </c>
      <c r="C916" t="s">
        <v>406</v>
      </c>
      <c r="D916" t="s">
        <v>855</v>
      </c>
      <c r="E916">
        <v>1</v>
      </c>
      <c r="F916" s="7">
        <v>150000</v>
      </c>
      <c r="G916" s="7">
        <v>150000</v>
      </c>
      <c r="H916" t="s">
        <v>872</v>
      </c>
      <c r="I916" s="7">
        <v>0</v>
      </c>
      <c r="J916" s="7">
        <v>15000</v>
      </c>
      <c r="K916" s="7">
        <v>165000</v>
      </c>
      <c r="L916" t="s">
        <v>873</v>
      </c>
      <c r="M916" t="s">
        <v>881</v>
      </c>
      <c r="N916" t="s">
        <v>875</v>
      </c>
      <c r="O916" t="s">
        <v>908</v>
      </c>
      <c r="P916" t="s">
        <v>877</v>
      </c>
      <c r="Q916" s="7">
        <v>150000</v>
      </c>
    </row>
    <row r="917" spans="1:17">
      <c r="A917" t="s">
        <v>1812</v>
      </c>
      <c r="B917" s="6">
        <v>45698</v>
      </c>
      <c r="C917" t="s">
        <v>164</v>
      </c>
      <c r="D917" t="s">
        <v>839</v>
      </c>
      <c r="E917">
        <v>2</v>
      </c>
      <c r="F917" s="7">
        <v>200000</v>
      </c>
      <c r="G917" s="7">
        <v>400000</v>
      </c>
      <c r="H917" t="s">
        <v>886</v>
      </c>
      <c r="I917" s="7">
        <v>40000</v>
      </c>
      <c r="J917" s="7">
        <v>30000</v>
      </c>
      <c r="K917" s="7">
        <v>390000</v>
      </c>
      <c r="L917" t="s">
        <v>889</v>
      </c>
      <c r="M917" t="s">
        <v>903</v>
      </c>
      <c r="N917" t="s">
        <v>875</v>
      </c>
      <c r="O917" t="s">
        <v>887</v>
      </c>
      <c r="P917" t="s">
        <v>877</v>
      </c>
      <c r="Q917" s="7">
        <v>360000</v>
      </c>
    </row>
    <row r="918" spans="1:17">
      <c r="A918" t="s">
        <v>1813</v>
      </c>
      <c r="B918" s="6">
        <v>45832</v>
      </c>
      <c r="C918" t="s">
        <v>606</v>
      </c>
      <c r="D918" t="s">
        <v>813</v>
      </c>
      <c r="E918">
        <v>1</v>
      </c>
      <c r="F918" s="7">
        <v>35000</v>
      </c>
      <c r="G918" s="7">
        <v>35000</v>
      </c>
      <c r="H918" t="s">
        <v>879</v>
      </c>
      <c r="I918" s="7">
        <v>7000</v>
      </c>
      <c r="J918" s="7">
        <v>15000</v>
      </c>
      <c r="K918" s="7">
        <v>43000</v>
      </c>
      <c r="L918" t="s">
        <v>884</v>
      </c>
      <c r="M918" t="s">
        <v>903</v>
      </c>
      <c r="N918" t="s">
        <v>921</v>
      </c>
      <c r="O918" t="s">
        <v>915</v>
      </c>
      <c r="P918" t="s">
        <v>892</v>
      </c>
      <c r="Q918" s="7">
        <v>28000</v>
      </c>
    </row>
    <row r="919" spans="1:17">
      <c r="A919" t="s">
        <v>1814</v>
      </c>
      <c r="B919" s="6">
        <v>45711</v>
      </c>
      <c r="C919" t="s">
        <v>570</v>
      </c>
      <c r="D919" t="s">
        <v>765</v>
      </c>
      <c r="E919">
        <v>4</v>
      </c>
      <c r="F919" s="7">
        <v>500000</v>
      </c>
      <c r="G919" s="7">
        <v>2000000</v>
      </c>
      <c r="H919" t="s">
        <v>883</v>
      </c>
      <c r="I919" s="7">
        <v>200000</v>
      </c>
      <c r="J919" s="7">
        <v>25000</v>
      </c>
      <c r="K919" s="7">
        <v>1825000</v>
      </c>
      <c r="L919" t="s">
        <v>873</v>
      </c>
      <c r="M919" t="s">
        <v>903</v>
      </c>
      <c r="N919" t="s">
        <v>875</v>
      </c>
      <c r="O919" t="s">
        <v>887</v>
      </c>
      <c r="P919" t="s">
        <v>877</v>
      </c>
      <c r="Q919" s="7">
        <v>1800000</v>
      </c>
    </row>
    <row r="920" spans="1:17">
      <c r="A920" t="s">
        <v>1815</v>
      </c>
      <c r="B920" s="6">
        <v>45815</v>
      </c>
      <c r="C920" t="s">
        <v>91</v>
      </c>
      <c r="D920" t="s">
        <v>845</v>
      </c>
      <c r="E920">
        <v>1</v>
      </c>
      <c r="F920" s="7">
        <v>300000</v>
      </c>
      <c r="G920" s="7">
        <v>300000</v>
      </c>
      <c r="H920" t="s">
        <v>895</v>
      </c>
      <c r="I920" s="7">
        <v>45000</v>
      </c>
      <c r="J920" s="7">
        <v>25000</v>
      </c>
      <c r="K920" s="7">
        <v>280000</v>
      </c>
      <c r="L920" t="s">
        <v>889</v>
      </c>
      <c r="M920" t="s">
        <v>874</v>
      </c>
      <c r="N920" t="s">
        <v>875</v>
      </c>
      <c r="O920" t="s">
        <v>915</v>
      </c>
      <c r="P920" t="s">
        <v>877</v>
      </c>
      <c r="Q920" s="7">
        <v>255000</v>
      </c>
    </row>
    <row r="921" spans="1:17">
      <c r="A921" t="s">
        <v>1816</v>
      </c>
      <c r="B921" s="6">
        <v>45725</v>
      </c>
      <c r="C921" t="s">
        <v>496</v>
      </c>
      <c r="D921" t="s">
        <v>753</v>
      </c>
      <c r="E921">
        <v>4</v>
      </c>
      <c r="F921" s="7">
        <v>300000</v>
      </c>
      <c r="G921" s="7">
        <v>1200000</v>
      </c>
      <c r="H921" t="s">
        <v>895</v>
      </c>
      <c r="I921" s="7">
        <v>180000</v>
      </c>
      <c r="J921" s="7">
        <v>25000</v>
      </c>
      <c r="K921" s="7">
        <v>1045000</v>
      </c>
      <c r="L921" t="s">
        <v>884</v>
      </c>
      <c r="M921" t="s">
        <v>881</v>
      </c>
      <c r="N921" t="s">
        <v>890</v>
      </c>
      <c r="O921" t="s">
        <v>876</v>
      </c>
      <c r="P921" t="s">
        <v>892</v>
      </c>
      <c r="Q921" s="7">
        <v>1020000</v>
      </c>
    </row>
    <row r="922" spans="1:17">
      <c r="A922" t="s">
        <v>1817</v>
      </c>
      <c r="B922" s="6">
        <v>45809</v>
      </c>
      <c r="C922" t="s">
        <v>454</v>
      </c>
      <c r="D922" t="s">
        <v>795</v>
      </c>
      <c r="E922">
        <v>1</v>
      </c>
      <c r="F922" s="7">
        <v>100000</v>
      </c>
      <c r="G922" s="7">
        <v>100000</v>
      </c>
      <c r="H922" t="s">
        <v>872</v>
      </c>
      <c r="I922" s="7">
        <v>0</v>
      </c>
      <c r="J922" s="7">
        <v>15000</v>
      </c>
      <c r="K922" s="7">
        <v>115000</v>
      </c>
      <c r="L922" t="s">
        <v>884</v>
      </c>
      <c r="M922" t="s">
        <v>903</v>
      </c>
      <c r="N922" t="s">
        <v>875</v>
      </c>
      <c r="O922" t="s">
        <v>915</v>
      </c>
      <c r="P922" t="s">
        <v>877</v>
      </c>
      <c r="Q922" s="7">
        <v>100000</v>
      </c>
    </row>
    <row r="923" spans="1:17">
      <c r="A923" t="s">
        <v>1818</v>
      </c>
      <c r="B923" s="6">
        <v>45728</v>
      </c>
      <c r="C923" t="s">
        <v>502</v>
      </c>
      <c r="D923" t="s">
        <v>787</v>
      </c>
      <c r="E923">
        <v>3</v>
      </c>
      <c r="F923" s="7">
        <v>200000</v>
      </c>
      <c r="G923" s="7">
        <v>600000</v>
      </c>
      <c r="H923" t="s">
        <v>895</v>
      </c>
      <c r="I923" s="7">
        <v>90000</v>
      </c>
      <c r="J923" s="7">
        <v>10000</v>
      </c>
      <c r="K923" s="7">
        <v>520000</v>
      </c>
      <c r="L923" t="s">
        <v>873</v>
      </c>
      <c r="M923" t="s">
        <v>903</v>
      </c>
      <c r="N923" t="s">
        <v>875</v>
      </c>
      <c r="O923" t="s">
        <v>876</v>
      </c>
      <c r="P923" t="s">
        <v>877</v>
      </c>
      <c r="Q923" s="7">
        <v>510000</v>
      </c>
    </row>
    <row r="924" spans="1:17">
      <c r="A924" t="s">
        <v>1819</v>
      </c>
      <c r="B924" s="6">
        <v>45766</v>
      </c>
      <c r="C924" t="s">
        <v>548</v>
      </c>
      <c r="D924" t="s">
        <v>797</v>
      </c>
      <c r="E924">
        <v>4</v>
      </c>
      <c r="F924" s="7">
        <v>150000</v>
      </c>
      <c r="G924" s="7">
        <v>600000</v>
      </c>
      <c r="H924" t="s">
        <v>872</v>
      </c>
      <c r="I924" s="7">
        <v>0</v>
      </c>
      <c r="J924" s="7">
        <v>25000</v>
      </c>
      <c r="K924" s="7">
        <v>625000</v>
      </c>
      <c r="L924" t="s">
        <v>873</v>
      </c>
      <c r="M924" t="s">
        <v>881</v>
      </c>
      <c r="N924" t="s">
        <v>890</v>
      </c>
      <c r="O924" t="s">
        <v>891</v>
      </c>
      <c r="P924" t="s">
        <v>892</v>
      </c>
      <c r="Q924" s="7">
        <v>600000</v>
      </c>
    </row>
    <row r="925" spans="1:17">
      <c r="A925" t="s">
        <v>1820</v>
      </c>
      <c r="B925" s="6">
        <v>45691</v>
      </c>
      <c r="C925" t="s">
        <v>344</v>
      </c>
      <c r="D925" t="s">
        <v>765</v>
      </c>
      <c r="E925">
        <v>3</v>
      </c>
      <c r="F925" s="7">
        <v>500000</v>
      </c>
      <c r="G925" s="7">
        <v>1500000</v>
      </c>
      <c r="H925" t="s">
        <v>895</v>
      </c>
      <c r="I925" s="7">
        <v>225000</v>
      </c>
      <c r="J925" s="7">
        <v>10000</v>
      </c>
      <c r="K925" s="7">
        <v>1285000</v>
      </c>
      <c r="L925" t="s">
        <v>889</v>
      </c>
      <c r="M925" t="s">
        <v>874</v>
      </c>
      <c r="N925" t="s">
        <v>875</v>
      </c>
      <c r="O925" t="s">
        <v>887</v>
      </c>
      <c r="P925" t="s">
        <v>877</v>
      </c>
      <c r="Q925" s="7">
        <v>1275000</v>
      </c>
    </row>
    <row r="926" spans="1:17">
      <c r="A926" t="s">
        <v>1821</v>
      </c>
      <c r="B926" s="6">
        <v>45813</v>
      </c>
      <c r="C926" t="s">
        <v>464</v>
      </c>
      <c r="D926" t="s">
        <v>777</v>
      </c>
      <c r="E926">
        <v>3</v>
      </c>
      <c r="F926" s="7">
        <v>200000</v>
      </c>
      <c r="G926" s="7">
        <v>600000</v>
      </c>
      <c r="H926" t="s">
        <v>886</v>
      </c>
      <c r="I926" s="7">
        <v>60000</v>
      </c>
      <c r="J926" s="7">
        <v>25000</v>
      </c>
      <c r="K926" s="7">
        <v>565000</v>
      </c>
      <c r="L926" t="s">
        <v>884</v>
      </c>
      <c r="M926" t="s">
        <v>881</v>
      </c>
      <c r="N926" t="s">
        <v>905</v>
      </c>
      <c r="O926" t="s">
        <v>915</v>
      </c>
      <c r="P926" t="s">
        <v>892</v>
      </c>
      <c r="Q926" s="7">
        <v>540000</v>
      </c>
    </row>
    <row r="927" spans="1:17">
      <c r="A927" t="s">
        <v>1822</v>
      </c>
      <c r="B927" s="6">
        <v>45730</v>
      </c>
      <c r="C927" t="s">
        <v>69</v>
      </c>
      <c r="D927" t="s">
        <v>771</v>
      </c>
      <c r="E927">
        <v>2</v>
      </c>
      <c r="F927" s="7">
        <v>500000</v>
      </c>
      <c r="G927" s="7">
        <v>1000000</v>
      </c>
      <c r="H927" t="s">
        <v>872</v>
      </c>
      <c r="I927" s="7">
        <v>0</v>
      </c>
      <c r="J927" s="7">
        <v>20000</v>
      </c>
      <c r="K927" s="7">
        <v>1020000</v>
      </c>
      <c r="L927" t="s">
        <v>884</v>
      </c>
      <c r="M927" t="s">
        <v>874</v>
      </c>
      <c r="N927" t="s">
        <v>875</v>
      </c>
      <c r="O927" t="s">
        <v>876</v>
      </c>
      <c r="P927" t="s">
        <v>877</v>
      </c>
      <c r="Q927" s="7">
        <v>1000000</v>
      </c>
    </row>
    <row r="928" spans="1:17">
      <c r="A928" t="s">
        <v>1823</v>
      </c>
      <c r="B928" s="6">
        <v>45735</v>
      </c>
      <c r="C928" t="s">
        <v>714</v>
      </c>
      <c r="D928" t="s">
        <v>851</v>
      </c>
      <c r="E928">
        <v>2</v>
      </c>
      <c r="F928" s="7">
        <v>35000</v>
      </c>
      <c r="G928" s="7">
        <v>70000</v>
      </c>
      <c r="H928" t="s">
        <v>883</v>
      </c>
      <c r="I928" s="7">
        <v>7000</v>
      </c>
      <c r="J928" s="7">
        <v>15000</v>
      </c>
      <c r="K928" s="7">
        <v>78000</v>
      </c>
      <c r="L928" t="s">
        <v>880</v>
      </c>
      <c r="M928" t="s">
        <v>881</v>
      </c>
      <c r="N928" t="s">
        <v>875</v>
      </c>
      <c r="O928" t="s">
        <v>876</v>
      </c>
      <c r="P928" t="s">
        <v>877</v>
      </c>
      <c r="Q928" s="7">
        <v>63000</v>
      </c>
    </row>
    <row r="929" spans="1:17">
      <c r="A929" t="s">
        <v>1824</v>
      </c>
      <c r="B929" s="6">
        <v>45681</v>
      </c>
      <c r="C929" t="s">
        <v>69</v>
      </c>
      <c r="D929" t="s">
        <v>825</v>
      </c>
      <c r="E929">
        <v>2</v>
      </c>
      <c r="F929" s="7">
        <v>100000</v>
      </c>
      <c r="G929" s="7">
        <v>200000</v>
      </c>
      <c r="H929" t="s">
        <v>886</v>
      </c>
      <c r="I929" s="7">
        <v>20000</v>
      </c>
      <c r="J929" s="7">
        <v>10000</v>
      </c>
      <c r="K929" s="7">
        <v>190000</v>
      </c>
      <c r="L929" t="s">
        <v>884</v>
      </c>
      <c r="M929" t="s">
        <v>874</v>
      </c>
      <c r="N929" t="s">
        <v>875</v>
      </c>
      <c r="O929" t="s">
        <v>908</v>
      </c>
      <c r="P929" t="s">
        <v>877</v>
      </c>
      <c r="Q929" s="7">
        <v>180000</v>
      </c>
    </row>
    <row r="930" spans="1:17">
      <c r="A930" t="s">
        <v>1825</v>
      </c>
      <c r="B930" s="6">
        <v>45725</v>
      </c>
      <c r="C930" t="s">
        <v>105</v>
      </c>
      <c r="D930" t="s">
        <v>825</v>
      </c>
      <c r="E930">
        <v>2</v>
      </c>
      <c r="F930" s="7">
        <v>100000</v>
      </c>
      <c r="G930" s="7">
        <v>200000</v>
      </c>
      <c r="H930" t="s">
        <v>879</v>
      </c>
      <c r="I930" s="7">
        <v>40000</v>
      </c>
      <c r="J930" s="7">
        <v>15000</v>
      </c>
      <c r="K930" s="7">
        <v>175000</v>
      </c>
      <c r="L930" t="s">
        <v>884</v>
      </c>
      <c r="M930" t="s">
        <v>901</v>
      </c>
      <c r="N930" t="s">
        <v>875</v>
      </c>
      <c r="O930" t="s">
        <v>876</v>
      </c>
      <c r="P930" t="s">
        <v>877</v>
      </c>
      <c r="Q930" s="7">
        <v>160000</v>
      </c>
    </row>
    <row r="931" spans="1:17">
      <c r="A931" t="s">
        <v>1826</v>
      </c>
      <c r="B931" s="6">
        <v>45746</v>
      </c>
      <c r="C931" t="s">
        <v>414</v>
      </c>
      <c r="D931" t="s">
        <v>787</v>
      </c>
      <c r="E931">
        <v>1</v>
      </c>
      <c r="F931" s="7">
        <v>200000</v>
      </c>
      <c r="G931" s="7">
        <v>200000</v>
      </c>
      <c r="H931" t="s">
        <v>872</v>
      </c>
      <c r="I931" s="7">
        <v>0</v>
      </c>
      <c r="J931" s="7">
        <v>20000</v>
      </c>
      <c r="K931" s="7">
        <v>220000</v>
      </c>
      <c r="L931" t="s">
        <v>873</v>
      </c>
      <c r="M931" t="s">
        <v>901</v>
      </c>
      <c r="N931" t="s">
        <v>875</v>
      </c>
      <c r="O931" t="s">
        <v>876</v>
      </c>
      <c r="P931" t="s">
        <v>877</v>
      </c>
      <c r="Q931" s="7">
        <v>200000</v>
      </c>
    </row>
    <row r="932" spans="1:17">
      <c r="A932" t="s">
        <v>1827</v>
      </c>
      <c r="B932" s="6">
        <v>45698</v>
      </c>
      <c r="C932" t="s">
        <v>348</v>
      </c>
      <c r="D932" t="s">
        <v>837</v>
      </c>
      <c r="E932">
        <v>4</v>
      </c>
      <c r="F932" s="7">
        <v>300000</v>
      </c>
      <c r="G932" s="7">
        <v>1200000</v>
      </c>
      <c r="H932" t="s">
        <v>886</v>
      </c>
      <c r="I932" s="7">
        <v>120000</v>
      </c>
      <c r="J932" s="7">
        <v>15000</v>
      </c>
      <c r="K932" s="7">
        <v>1095000</v>
      </c>
      <c r="L932" t="s">
        <v>880</v>
      </c>
      <c r="M932" t="s">
        <v>874</v>
      </c>
      <c r="N932" t="s">
        <v>911</v>
      </c>
      <c r="O932" t="s">
        <v>887</v>
      </c>
      <c r="P932" t="s">
        <v>892</v>
      </c>
      <c r="Q932" s="7">
        <v>1080000</v>
      </c>
    </row>
    <row r="933" spans="1:17">
      <c r="A933" t="s">
        <v>1828</v>
      </c>
      <c r="B933" s="6">
        <v>45759</v>
      </c>
      <c r="C933" t="s">
        <v>686</v>
      </c>
      <c r="D933" t="s">
        <v>833</v>
      </c>
      <c r="E933">
        <v>1</v>
      </c>
      <c r="F933" s="7">
        <v>200000</v>
      </c>
      <c r="G933" s="7">
        <v>200000</v>
      </c>
      <c r="H933" t="s">
        <v>872</v>
      </c>
      <c r="I933" s="7">
        <v>0</v>
      </c>
      <c r="J933" s="7">
        <v>25000</v>
      </c>
      <c r="K933" s="7">
        <v>225000</v>
      </c>
      <c r="L933" t="s">
        <v>884</v>
      </c>
      <c r="M933" t="s">
        <v>881</v>
      </c>
      <c r="N933" t="s">
        <v>875</v>
      </c>
      <c r="O933" t="s">
        <v>891</v>
      </c>
      <c r="P933" t="s">
        <v>877</v>
      </c>
      <c r="Q933" s="7">
        <v>200000</v>
      </c>
    </row>
    <row r="934" spans="1:17">
      <c r="A934" t="s">
        <v>1829</v>
      </c>
      <c r="B934" s="6">
        <v>45680</v>
      </c>
      <c r="C934" t="s">
        <v>113</v>
      </c>
      <c r="D934" t="s">
        <v>825</v>
      </c>
      <c r="E934">
        <v>3</v>
      </c>
      <c r="F934" s="7">
        <v>100000</v>
      </c>
      <c r="G934" s="7">
        <v>300000</v>
      </c>
      <c r="H934" t="s">
        <v>872</v>
      </c>
      <c r="I934" s="7">
        <v>0</v>
      </c>
      <c r="J934" s="7">
        <v>10000</v>
      </c>
      <c r="K934" s="7">
        <v>310000</v>
      </c>
      <c r="L934" t="s">
        <v>873</v>
      </c>
      <c r="M934" t="s">
        <v>881</v>
      </c>
      <c r="N934" t="s">
        <v>875</v>
      </c>
      <c r="O934" t="s">
        <v>908</v>
      </c>
      <c r="P934" t="s">
        <v>877</v>
      </c>
      <c r="Q934" s="7">
        <v>300000</v>
      </c>
    </row>
    <row r="935" spans="1:17">
      <c r="A935" t="s">
        <v>1830</v>
      </c>
      <c r="B935" s="6">
        <v>45728</v>
      </c>
      <c r="C935" t="s">
        <v>111</v>
      </c>
      <c r="D935" t="s">
        <v>849</v>
      </c>
      <c r="E935">
        <v>4</v>
      </c>
      <c r="F935" s="7">
        <v>500000</v>
      </c>
      <c r="G935" s="7">
        <v>2000000</v>
      </c>
      <c r="H935" t="s">
        <v>879</v>
      </c>
      <c r="I935" s="7">
        <v>400000</v>
      </c>
      <c r="J935" s="7">
        <v>25000</v>
      </c>
      <c r="K935" s="7">
        <v>1625000</v>
      </c>
      <c r="L935" t="s">
        <v>889</v>
      </c>
      <c r="M935" t="s">
        <v>901</v>
      </c>
      <c r="N935" t="s">
        <v>875</v>
      </c>
      <c r="O935" t="s">
        <v>876</v>
      </c>
      <c r="P935" t="s">
        <v>877</v>
      </c>
      <c r="Q935" s="7">
        <v>1600000</v>
      </c>
    </row>
    <row r="936" spans="1:17">
      <c r="A936" t="s">
        <v>1831</v>
      </c>
      <c r="B936" s="6">
        <v>45681</v>
      </c>
      <c r="C936" t="s">
        <v>460</v>
      </c>
      <c r="D936" t="s">
        <v>753</v>
      </c>
      <c r="E936">
        <v>1</v>
      </c>
      <c r="F936" s="7">
        <v>300000</v>
      </c>
      <c r="G936" s="7">
        <v>300000</v>
      </c>
      <c r="H936" t="s">
        <v>886</v>
      </c>
      <c r="I936" s="7">
        <v>30000</v>
      </c>
      <c r="J936" s="7">
        <v>10000</v>
      </c>
      <c r="K936" s="7">
        <v>280000</v>
      </c>
      <c r="L936" t="s">
        <v>880</v>
      </c>
      <c r="M936" t="s">
        <v>903</v>
      </c>
      <c r="N936" t="s">
        <v>875</v>
      </c>
      <c r="O936" t="s">
        <v>908</v>
      </c>
      <c r="P936" t="s">
        <v>877</v>
      </c>
      <c r="Q936" s="7">
        <v>270000</v>
      </c>
    </row>
    <row r="937" spans="1:17">
      <c r="A937" t="s">
        <v>1832</v>
      </c>
      <c r="B937" s="6">
        <v>45750</v>
      </c>
      <c r="C937" t="s">
        <v>224</v>
      </c>
      <c r="D937" t="s">
        <v>855</v>
      </c>
      <c r="E937">
        <v>1</v>
      </c>
      <c r="F937" s="7">
        <v>150000</v>
      </c>
      <c r="G937" s="7">
        <v>150000</v>
      </c>
      <c r="H937" t="s">
        <v>872</v>
      </c>
      <c r="I937" s="7">
        <v>0</v>
      </c>
      <c r="J937" s="7">
        <v>15000</v>
      </c>
      <c r="K937" s="7">
        <v>165000</v>
      </c>
      <c r="L937" t="s">
        <v>884</v>
      </c>
      <c r="M937" t="s">
        <v>874</v>
      </c>
      <c r="N937" t="s">
        <v>875</v>
      </c>
      <c r="O937" t="s">
        <v>891</v>
      </c>
      <c r="P937" t="s">
        <v>877</v>
      </c>
      <c r="Q937" s="7">
        <v>150000</v>
      </c>
    </row>
    <row r="938" spans="1:17">
      <c r="A938" t="s">
        <v>1833</v>
      </c>
      <c r="B938" s="6">
        <v>45800</v>
      </c>
      <c r="C938" t="s">
        <v>10</v>
      </c>
      <c r="D938" t="s">
        <v>783</v>
      </c>
      <c r="E938">
        <v>3</v>
      </c>
      <c r="F938" s="7">
        <v>500000</v>
      </c>
      <c r="G938" s="7">
        <v>1500000</v>
      </c>
      <c r="H938" t="s">
        <v>895</v>
      </c>
      <c r="I938" s="7">
        <v>225000</v>
      </c>
      <c r="J938" s="7">
        <v>30000</v>
      </c>
      <c r="K938" s="7">
        <v>1305000</v>
      </c>
      <c r="L938" t="s">
        <v>889</v>
      </c>
      <c r="M938" t="s">
        <v>903</v>
      </c>
      <c r="N938" t="s">
        <v>911</v>
      </c>
      <c r="O938" t="s">
        <v>896</v>
      </c>
      <c r="P938" t="s">
        <v>892</v>
      </c>
      <c r="Q938" s="7">
        <v>1275000</v>
      </c>
    </row>
    <row r="939" spans="1:17">
      <c r="A939" t="s">
        <v>1834</v>
      </c>
      <c r="B939" s="6">
        <v>45748</v>
      </c>
      <c r="C939" t="s">
        <v>352</v>
      </c>
      <c r="D939" t="s">
        <v>765</v>
      </c>
      <c r="E939">
        <v>1</v>
      </c>
      <c r="F939" s="7">
        <v>500000</v>
      </c>
      <c r="G939" s="7">
        <v>500000</v>
      </c>
      <c r="H939" t="s">
        <v>879</v>
      </c>
      <c r="I939" s="7">
        <v>100000</v>
      </c>
      <c r="J939" s="7">
        <v>15000</v>
      </c>
      <c r="K939" s="7">
        <v>415000</v>
      </c>
      <c r="L939" t="s">
        <v>884</v>
      </c>
      <c r="M939" t="s">
        <v>901</v>
      </c>
      <c r="N939" t="s">
        <v>875</v>
      </c>
      <c r="O939" t="s">
        <v>891</v>
      </c>
      <c r="P939" t="s">
        <v>877</v>
      </c>
      <c r="Q939" s="7">
        <v>400000</v>
      </c>
    </row>
    <row r="940" spans="1:17">
      <c r="A940" t="s">
        <v>1835</v>
      </c>
      <c r="B940" s="6">
        <v>45767</v>
      </c>
      <c r="C940" t="s">
        <v>166</v>
      </c>
      <c r="D940" t="s">
        <v>853</v>
      </c>
      <c r="E940">
        <v>3</v>
      </c>
      <c r="F940" s="7">
        <v>75000</v>
      </c>
      <c r="G940" s="7">
        <v>225000</v>
      </c>
      <c r="H940" t="s">
        <v>895</v>
      </c>
      <c r="I940" s="7">
        <v>33750</v>
      </c>
      <c r="J940" s="7">
        <v>30000</v>
      </c>
      <c r="K940" s="7">
        <v>221250</v>
      </c>
      <c r="L940" t="s">
        <v>880</v>
      </c>
      <c r="M940" t="s">
        <v>903</v>
      </c>
      <c r="N940" t="s">
        <v>875</v>
      </c>
      <c r="O940" t="s">
        <v>891</v>
      </c>
      <c r="P940" t="s">
        <v>877</v>
      </c>
      <c r="Q940" s="7">
        <v>191250</v>
      </c>
    </row>
    <row r="941" spans="1:17">
      <c r="A941" t="s">
        <v>1836</v>
      </c>
      <c r="B941" s="6">
        <v>45666</v>
      </c>
      <c r="C941" t="s">
        <v>296</v>
      </c>
      <c r="D941" t="s">
        <v>757</v>
      </c>
      <c r="E941">
        <v>3</v>
      </c>
      <c r="F941" s="7">
        <v>75000</v>
      </c>
      <c r="G941" s="7">
        <v>225000</v>
      </c>
      <c r="H941" t="s">
        <v>883</v>
      </c>
      <c r="I941" s="7">
        <v>22500</v>
      </c>
      <c r="J941" s="7">
        <v>30000</v>
      </c>
      <c r="K941" s="7">
        <v>232500</v>
      </c>
      <c r="L941" t="s">
        <v>884</v>
      </c>
      <c r="M941" t="s">
        <v>903</v>
      </c>
      <c r="N941" t="s">
        <v>905</v>
      </c>
      <c r="O941" t="s">
        <v>908</v>
      </c>
      <c r="P941" t="s">
        <v>892</v>
      </c>
      <c r="Q941" s="7">
        <v>202500</v>
      </c>
    </row>
    <row r="942" spans="1:17">
      <c r="A942" t="s">
        <v>1837</v>
      </c>
      <c r="B942" s="6">
        <v>45832</v>
      </c>
      <c r="C942" t="s">
        <v>712</v>
      </c>
      <c r="D942" t="s">
        <v>835</v>
      </c>
      <c r="E942">
        <v>2</v>
      </c>
      <c r="F942" s="7">
        <v>200000</v>
      </c>
      <c r="G942" s="7">
        <v>400000</v>
      </c>
      <c r="H942" t="s">
        <v>872</v>
      </c>
      <c r="I942" s="7">
        <v>0</v>
      </c>
      <c r="J942" s="7">
        <v>15000</v>
      </c>
      <c r="K942" s="7">
        <v>415000</v>
      </c>
      <c r="L942" t="s">
        <v>884</v>
      </c>
      <c r="M942" t="s">
        <v>901</v>
      </c>
      <c r="N942" t="s">
        <v>875</v>
      </c>
      <c r="O942" t="s">
        <v>915</v>
      </c>
      <c r="P942" t="s">
        <v>877</v>
      </c>
      <c r="Q942" s="7">
        <v>400000</v>
      </c>
    </row>
    <row r="943" spans="1:17">
      <c r="A943" t="s">
        <v>1838</v>
      </c>
      <c r="B943" s="6">
        <v>45721</v>
      </c>
      <c r="C943" t="s">
        <v>113</v>
      </c>
      <c r="D943" t="s">
        <v>755</v>
      </c>
      <c r="E943">
        <v>1</v>
      </c>
      <c r="F943" s="7">
        <v>50000</v>
      </c>
      <c r="G943" s="7">
        <v>50000</v>
      </c>
      <c r="H943" t="s">
        <v>895</v>
      </c>
      <c r="I943" s="7">
        <v>7500</v>
      </c>
      <c r="J943" s="7">
        <v>10000</v>
      </c>
      <c r="K943" s="7">
        <v>52500</v>
      </c>
      <c r="L943" t="s">
        <v>884</v>
      </c>
      <c r="M943" t="s">
        <v>901</v>
      </c>
      <c r="N943" t="s">
        <v>875</v>
      </c>
      <c r="O943" t="s">
        <v>876</v>
      </c>
      <c r="P943" t="s">
        <v>877</v>
      </c>
      <c r="Q943" s="7">
        <v>42500</v>
      </c>
    </row>
    <row r="944" spans="1:17">
      <c r="A944" t="s">
        <v>1839</v>
      </c>
      <c r="B944" s="6">
        <v>45695</v>
      </c>
      <c r="C944" t="s">
        <v>67</v>
      </c>
      <c r="D944" t="s">
        <v>787</v>
      </c>
      <c r="E944">
        <v>2</v>
      </c>
      <c r="F944" s="7">
        <v>200000</v>
      </c>
      <c r="G944" s="7">
        <v>400000</v>
      </c>
      <c r="H944" t="s">
        <v>883</v>
      </c>
      <c r="I944" s="7">
        <v>40000</v>
      </c>
      <c r="J944" s="7">
        <v>10000</v>
      </c>
      <c r="K944" s="7">
        <v>370000</v>
      </c>
      <c r="L944" t="s">
        <v>873</v>
      </c>
      <c r="M944" t="s">
        <v>881</v>
      </c>
      <c r="N944" t="s">
        <v>875</v>
      </c>
      <c r="O944" t="s">
        <v>887</v>
      </c>
      <c r="P944" t="s">
        <v>877</v>
      </c>
      <c r="Q944" s="7">
        <v>360000</v>
      </c>
    </row>
    <row r="945" spans="1:17">
      <c r="A945" t="s">
        <v>1840</v>
      </c>
      <c r="B945" s="6">
        <v>45834</v>
      </c>
      <c r="C945" t="s">
        <v>113</v>
      </c>
      <c r="D945" t="s">
        <v>751</v>
      </c>
      <c r="E945">
        <v>1</v>
      </c>
      <c r="F945" s="7">
        <v>150000</v>
      </c>
      <c r="G945" s="7">
        <v>150000</v>
      </c>
      <c r="H945" t="s">
        <v>879</v>
      </c>
      <c r="I945" s="7">
        <v>30000</v>
      </c>
      <c r="J945" s="7">
        <v>10000</v>
      </c>
      <c r="K945" s="7">
        <v>130000</v>
      </c>
      <c r="L945" t="s">
        <v>880</v>
      </c>
      <c r="M945" t="s">
        <v>901</v>
      </c>
      <c r="N945" t="s">
        <v>911</v>
      </c>
      <c r="O945" t="s">
        <v>915</v>
      </c>
      <c r="P945" t="s">
        <v>892</v>
      </c>
      <c r="Q945" s="7">
        <v>120000</v>
      </c>
    </row>
    <row r="946" spans="1:17">
      <c r="A946" t="s">
        <v>1841</v>
      </c>
      <c r="B946" s="6">
        <v>45682</v>
      </c>
      <c r="C946" t="s">
        <v>532</v>
      </c>
      <c r="D946" t="s">
        <v>799</v>
      </c>
      <c r="E946">
        <v>1</v>
      </c>
      <c r="F946" s="7">
        <v>35000</v>
      </c>
      <c r="G946" s="7">
        <v>35000</v>
      </c>
      <c r="H946" t="s">
        <v>872</v>
      </c>
      <c r="I946" s="7">
        <v>0</v>
      </c>
      <c r="J946" s="7">
        <v>15000</v>
      </c>
      <c r="K946" s="7">
        <v>50000</v>
      </c>
      <c r="L946" t="s">
        <v>889</v>
      </c>
      <c r="M946" t="s">
        <v>874</v>
      </c>
      <c r="N946" t="s">
        <v>921</v>
      </c>
      <c r="O946" t="s">
        <v>908</v>
      </c>
      <c r="P946" t="s">
        <v>892</v>
      </c>
      <c r="Q946" s="7">
        <v>35000</v>
      </c>
    </row>
    <row r="947" spans="1:17">
      <c r="A947" t="s">
        <v>1842</v>
      </c>
      <c r="B947" s="6">
        <v>45659</v>
      </c>
      <c r="C947" t="s">
        <v>676</v>
      </c>
      <c r="D947" t="s">
        <v>847</v>
      </c>
      <c r="E947">
        <v>1</v>
      </c>
      <c r="F947" s="7">
        <v>100000</v>
      </c>
      <c r="G947" s="7">
        <v>100000</v>
      </c>
      <c r="H947" t="s">
        <v>895</v>
      </c>
      <c r="I947" s="7">
        <v>15000</v>
      </c>
      <c r="J947" s="7">
        <v>25000</v>
      </c>
      <c r="K947" s="7">
        <v>110000</v>
      </c>
      <c r="L947" t="s">
        <v>884</v>
      </c>
      <c r="M947" t="s">
        <v>901</v>
      </c>
      <c r="N947" t="s">
        <v>875</v>
      </c>
      <c r="O947" t="s">
        <v>908</v>
      </c>
      <c r="P947" t="s">
        <v>877</v>
      </c>
      <c r="Q947" s="7">
        <v>85000</v>
      </c>
    </row>
    <row r="948" spans="1:17">
      <c r="A948" t="s">
        <v>1843</v>
      </c>
      <c r="B948" s="6">
        <v>45805</v>
      </c>
      <c r="C948" t="s">
        <v>280</v>
      </c>
      <c r="D948" t="s">
        <v>821</v>
      </c>
      <c r="E948">
        <v>1</v>
      </c>
      <c r="F948" s="7">
        <v>50000</v>
      </c>
      <c r="G948" s="7">
        <v>50000</v>
      </c>
      <c r="H948" t="s">
        <v>879</v>
      </c>
      <c r="I948" s="7">
        <v>10000</v>
      </c>
      <c r="J948" s="7">
        <v>10000</v>
      </c>
      <c r="K948" s="7">
        <v>50000</v>
      </c>
      <c r="L948" t="s">
        <v>884</v>
      </c>
      <c r="M948" t="s">
        <v>901</v>
      </c>
      <c r="N948" t="s">
        <v>875</v>
      </c>
      <c r="O948" t="s">
        <v>896</v>
      </c>
      <c r="P948" t="s">
        <v>877</v>
      </c>
      <c r="Q948" s="7">
        <v>40000</v>
      </c>
    </row>
    <row r="949" spans="1:17">
      <c r="A949" t="s">
        <v>1844</v>
      </c>
      <c r="B949" s="6">
        <v>45737</v>
      </c>
      <c r="C949" t="s">
        <v>296</v>
      </c>
      <c r="D949" t="s">
        <v>845</v>
      </c>
      <c r="E949">
        <v>2</v>
      </c>
      <c r="F949" s="7">
        <v>300000</v>
      </c>
      <c r="G949" s="7">
        <v>600000</v>
      </c>
      <c r="H949" t="s">
        <v>886</v>
      </c>
      <c r="I949" s="7">
        <v>60000</v>
      </c>
      <c r="J949" s="7">
        <v>15000</v>
      </c>
      <c r="K949" s="7">
        <v>555000</v>
      </c>
      <c r="L949" t="s">
        <v>880</v>
      </c>
      <c r="M949" t="s">
        <v>903</v>
      </c>
      <c r="N949" t="s">
        <v>875</v>
      </c>
      <c r="O949" t="s">
        <v>876</v>
      </c>
      <c r="P949" t="s">
        <v>877</v>
      </c>
      <c r="Q949" s="7">
        <v>540000</v>
      </c>
    </row>
    <row r="950" spans="1:17">
      <c r="A950" t="s">
        <v>1845</v>
      </c>
      <c r="B950" s="6">
        <v>45722</v>
      </c>
      <c r="C950" t="s">
        <v>194</v>
      </c>
      <c r="D950" t="s">
        <v>783</v>
      </c>
      <c r="E950">
        <v>1</v>
      </c>
      <c r="F950" s="7">
        <v>500000</v>
      </c>
      <c r="G950" s="7">
        <v>500000</v>
      </c>
      <c r="H950" t="s">
        <v>872</v>
      </c>
      <c r="I950" s="7">
        <v>0</v>
      </c>
      <c r="J950" s="7">
        <v>20000</v>
      </c>
      <c r="K950" s="7">
        <v>520000</v>
      </c>
      <c r="L950" t="s">
        <v>884</v>
      </c>
      <c r="M950" t="s">
        <v>901</v>
      </c>
      <c r="N950" t="s">
        <v>875</v>
      </c>
      <c r="O950" t="s">
        <v>876</v>
      </c>
      <c r="P950" t="s">
        <v>877</v>
      </c>
      <c r="Q950" s="7">
        <v>500000</v>
      </c>
    </row>
    <row r="951" spans="1:17">
      <c r="A951" t="s">
        <v>1846</v>
      </c>
      <c r="B951" s="6">
        <v>45684</v>
      </c>
      <c r="C951" t="s">
        <v>446</v>
      </c>
      <c r="D951" t="s">
        <v>755</v>
      </c>
      <c r="E951">
        <v>2</v>
      </c>
      <c r="F951" s="7">
        <v>50000</v>
      </c>
      <c r="G951" s="7">
        <v>100000</v>
      </c>
      <c r="H951" t="s">
        <v>886</v>
      </c>
      <c r="I951" s="7">
        <v>10000</v>
      </c>
      <c r="J951" s="7">
        <v>10000</v>
      </c>
      <c r="K951" s="7">
        <v>100000</v>
      </c>
      <c r="L951" t="s">
        <v>889</v>
      </c>
      <c r="M951" t="s">
        <v>903</v>
      </c>
      <c r="N951" t="s">
        <v>890</v>
      </c>
      <c r="O951" t="s">
        <v>908</v>
      </c>
      <c r="P951" t="s">
        <v>892</v>
      </c>
      <c r="Q951" s="7">
        <v>90000</v>
      </c>
    </row>
    <row r="952" spans="1:17">
      <c r="A952" t="s">
        <v>1847</v>
      </c>
      <c r="B952" s="6">
        <v>45838</v>
      </c>
      <c r="C952" t="s">
        <v>652</v>
      </c>
      <c r="D952" t="s">
        <v>827</v>
      </c>
      <c r="E952">
        <v>2</v>
      </c>
      <c r="F952" s="7">
        <v>100000</v>
      </c>
      <c r="G952" s="7">
        <v>200000</v>
      </c>
      <c r="H952" t="s">
        <v>872</v>
      </c>
      <c r="I952" s="7">
        <v>0</v>
      </c>
      <c r="J952" s="7">
        <v>10000</v>
      </c>
      <c r="K952" s="7">
        <v>210000</v>
      </c>
      <c r="L952" t="s">
        <v>889</v>
      </c>
      <c r="M952" t="s">
        <v>881</v>
      </c>
      <c r="N952" t="s">
        <v>875</v>
      </c>
      <c r="O952" t="s">
        <v>915</v>
      </c>
      <c r="P952" t="s">
        <v>877</v>
      </c>
      <c r="Q952" s="7">
        <v>200000</v>
      </c>
    </row>
    <row r="953" spans="1:17">
      <c r="A953" t="s">
        <v>1848</v>
      </c>
      <c r="B953" s="6">
        <v>45816</v>
      </c>
      <c r="C953" t="s">
        <v>424</v>
      </c>
      <c r="D953" t="s">
        <v>831</v>
      </c>
      <c r="E953">
        <v>2</v>
      </c>
      <c r="F953" s="7">
        <v>300000</v>
      </c>
      <c r="G953" s="7">
        <v>600000</v>
      </c>
      <c r="H953" t="s">
        <v>872</v>
      </c>
      <c r="I953" s="7">
        <v>0</v>
      </c>
      <c r="J953" s="7">
        <v>20000</v>
      </c>
      <c r="K953" s="7">
        <v>620000</v>
      </c>
      <c r="L953" t="s">
        <v>873</v>
      </c>
      <c r="M953" t="s">
        <v>881</v>
      </c>
      <c r="N953" t="s">
        <v>875</v>
      </c>
      <c r="O953" t="s">
        <v>915</v>
      </c>
      <c r="P953" t="s">
        <v>877</v>
      </c>
      <c r="Q953" s="7">
        <v>600000</v>
      </c>
    </row>
    <row r="954" spans="1:17">
      <c r="A954" t="s">
        <v>1849</v>
      </c>
      <c r="B954" s="6">
        <v>45815</v>
      </c>
      <c r="C954" t="s">
        <v>472</v>
      </c>
      <c r="D954" t="s">
        <v>817</v>
      </c>
      <c r="E954">
        <v>3</v>
      </c>
      <c r="F954" s="7">
        <v>75000</v>
      </c>
      <c r="G954" s="7">
        <v>225000</v>
      </c>
      <c r="H954" t="s">
        <v>886</v>
      </c>
      <c r="I954" s="7">
        <v>22500</v>
      </c>
      <c r="J954" s="7">
        <v>10000</v>
      </c>
      <c r="K954" s="7">
        <v>212500</v>
      </c>
      <c r="L954" t="s">
        <v>873</v>
      </c>
      <c r="M954" t="s">
        <v>881</v>
      </c>
      <c r="N954" t="s">
        <v>875</v>
      </c>
      <c r="O954" t="s">
        <v>915</v>
      </c>
      <c r="P954" t="s">
        <v>877</v>
      </c>
      <c r="Q954" s="7">
        <v>202500</v>
      </c>
    </row>
    <row r="955" spans="1:17">
      <c r="A955" t="s">
        <v>1850</v>
      </c>
      <c r="B955" s="6">
        <v>45692</v>
      </c>
      <c r="C955" t="s">
        <v>282</v>
      </c>
      <c r="D955" t="s">
        <v>767</v>
      </c>
      <c r="E955">
        <v>2</v>
      </c>
      <c r="F955" s="7">
        <v>150000</v>
      </c>
      <c r="G955" s="7">
        <v>300000</v>
      </c>
      <c r="H955" t="s">
        <v>872</v>
      </c>
      <c r="I955" s="7">
        <v>0</v>
      </c>
      <c r="J955" s="7">
        <v>15000</v>
      </c>
      <c r="K955" s="7">
        <v>315000</v>
      </c>
      <c r="L955" t="s">
        <v>873</v>
      </c>
      <c r="M955" t="s">
        <v>903</v>
      </c>
      <c r="N955" t="s">
        <v>875</v>
      </c>
      <c r="O955" t="s">
        <v>887</v>
      </c>
      <c r="P955" t="s">
        <v>877</v>
      </c>
      <c r="Q955" s="7">
        <v>300000</v>
      </c>
    </row>
    <row r="956" spans="1:17">
      <c r="A956" t="s">
        <v>1851</v>
      </c>
      <c r="B956" s="6">
        <v>45807</v>
      </c>
      <c r="C956" t="s">
        <v>133</v>
      </c>
      <c r="D956" t="s">
        <v>847</v>
      </c>
      <c r="E956">
        <v>2</v>
      </c>
      <c r="F956" s="7">
        <v>100000</v>
      </c>
      <c r="G956" s="7">
        <v>200000</v>
      </c>
      <c r="H956" t="s">
        <v>872</v>
      </c>
      <c r="I956" s="7">
        <v>0</v>
      </c>
      <c r="J956" s="7">
        <v>30000</v>
      </c>
      <c r="K956" s="7">
        <v>230000</v>
      </c>
      <c r="L956" t="s">
        <v>884</v>
      </c>
      <c r="M956" t="s">
        <v>901</v>
      </c>
      <c r="N956" t="s">
        <v>875</v>
      </c>
      <c r="O956" t="s">
        <v>896</v>
      </c>
      <c r="P956" t="s">
        <v>877</v>
      </c>
      <c r="Q956" s="7">
        <v>200000</v>
      </c>
    </row>
    <row r="957" spans="1:17">
      <c r="A957" t="s">
        <v>1852</v>
      </c>
      <c r="B957" s="6">
        <v>45794</v>
      </c>
      <c r="C957" t="s">
        <v>396</v>
      </c>
      <c r="D957" t="s">
        <v>767</v>
      </c>
      <c r="E957">
        <v>1</v>
      </c>
      <c r="F957" s="7">
        <v>150000</v>
      </c>
      <c r="G957" s="7">
        <v>150000</v>
      </c>
      <c r="H957" t="s">
        <v>872</v>
      </c>
      <c r="I957" s="7">
        <v>0</v>
      </c>
      <c r="J957" s="7">
        <v>30000</v>
      </c>
      <c r="K957" s="7">
        <v>180000</v>
      </c>
      <c r="L957" t="s">
        <v>873</v>
      </c>
      <c r="M957" t="s">
        <v>881</v>
      </c>
      <c r="N957" t="s">
        <v>875</v>
      </c>
      <c r="O957" t="s">
        <v>896</v>
      </c>
      <c r="P957" t="s">
        <v>877</v>
      </c>
      <c r="Q957" s="7">
        <v>150000</v>
      </c>
    </row>
    <row r="958" spans="1:17">
      <c r="A958" t="s">
        <v>1853</v>
      </c>
      <c r="B958" s="6">
        <v>45714</v>
      </c>
      <c r="C958" t="s">
        <v>692</v>
      </c>
      <c r="D958" t="s">
        <v>813</v>
      </c>
      <c r="E958">
        <v>1</v>
      </c>
      <c r="F958" s="7">
        <v>35000</v>
      </c>
      <c r="G958" s="7">
        <v>35000</v>
      </c>
      <c r="H958" t="s">
        <v>872</v>
      </c>
      <c r="I958" s="7">
        <v>0</v>
      </c>
      <c r="J958" s="7">
        <v>30000</v>
      </c>
      <c r="K958" s="7">
        <v>65000</v>
      </c>
      <c r="L958" t="s">
        <v>884</v>
      </c>
      <c r="M958" t="s">
        <v>881</v>
      </c>
      <c r="N958" t="s">
        <v>875</v>
      </c>
      <c r="O958" t="s">
        <v>887</v>
      </c>
      <c r="P958" t="s">
        <v>877</v>
      </c>
      <c r="Q958" s="7">
        <v>35000</v>
      </c>
    </row>
    <row r="959" spans="1:17">
      <c r="A959" t="s">
        <v>1854</v>
      </c>
      <c r="B959" s="6">
        <v>45711</v>
      </c>
      <c r="C959" t="s">
        <v>226</v>
      </c>
      <c r="D959" t="s">
        <v>779</v>
      </c>
      <c r="E959">
        <v>1</v>
      </c>
      <c r="F959" s="7">
        <v>150000</v>
      </c>
      <c r="G959" s="7">
        <v>150000</v>
      </c>
      <c r="H959" t="s">
        <v>872</v>
      </c>
      <c r="I959" s="7">
        <v>0</v>
      </c>
      <c r="J959" s="7">
        <v>10000</v>
      </c>
      <c r="K959" s="7">
        <v>160000</v>
      </c>
      <c r="L959" t="s">
        <v>884</v>
      </c>
      <c r="M959" t="s">
        <v>903</v>
      </c>
      <c r="N959" t="s">
        <v>905</v>
      </c>
      <c r="O959" t="s">
        <v>887</v>
      </c>
      <c r="P959" t="s">
        <v>892</v>
      </c>
      <c r="Q959" s="7">
        <v>150000</v>
      </c>
    </row>
    <row r="960" spans="1:17">
      <c r="A960" t="s">
        <v>1855</v>
      </c>
      <c r="B960" s="6">
        <v>45737</v>
      </c>
      <c r="C960" t="s">
        <v>34</v>
      </c>
      <c r="D960" t="s">
        <v>801</v>
      </c>
      <c r="E960">
        <v>3</v>
      </c>
      <c r="F960" s="7">
        <v>100000</v>
      </c>
      <c r="G960" s="7">
        <v>300000</v>
      </c>
      <c r="H960" t="s">
        <v>872</v>
      </c>
      <c r="I960" s="7">
        <v>0</v>
      </c>
      <c r="J960" s="7">
        <v>25000</v>
      </c>
      <c r="K960" s="7">
        <v>325000</v>
      </c>
      <c r="L960" t="s">
        <v>873</v>
      </c>
      <c r="M960" t="s">
        <v>901</v>
      </c>
      <c r="N960" t="s">
        <v>875</v>
      </c>
      <c r="O960" t="s">
        <v>876</v>
      </c>
      <c r="P960" t="s">
        <v>877</v>
      </c>
      <c r="Q960" s="7">
        <v>300000</v>
      </c>
    </row>
    <row r="961" spans="1:17">
      <c r="A961" t="s">
        <v>1856</v>
      </c>
      <c r="B961" s="6">
        <v>45838</v>
      </c>
      <c r="C961" t="s">
        <v>232</v>
      </c>
      <c r="D961" t="s">
        <v>767</v>
      </c>
      <c r="E961">
        <v>1</v>
      </c>
      <c r="F961" s="7">
        <v>150000</v>
      </c>
      <c r="G961" s="7">
        <v>150000</v>
      </c>
      <c r="H961" t="s">
        <v>872</v>
      </c>
      <c r="I961" s="7">
        <v>0</v>
      </c>
      <c r="J961" s="7">
        <v>15000</v>
      </c>
      <c r="K961" s="7">
        <v>165000</v>
      </c>
      <c r="L961" t="s">
        <v>889</v>
      </c>
      <c r="M961" t="s">
        <v>881</v>
      </c>
      <c r="N961" t="s">
        <v>875</v>
      </c>
      <c r="O961" t="s">
        <v>915</v>
      </c>
      <c r="P961" t="s">
        <v>877</v>
      </c>
      <c r="Q961" s="7">
        <v>150000</v>
      </c>
    </row>
    <row r="962" spans="1:17">
      <c r="A962" t="s">
        <v>1857</v>
      </c>
      <c r="B962" s="6">
        <v>45738</v>
      </c>
      <c r="C962" t="s">
        <v>208</v>
      </c>
      <c r="D962" t="s">
        <v>759</v>
      </c>
      <c r="E962">
        <v>4</v>
      </c>
      <c r="F962" s="7">
        <v>300000</v>
      </c>
      <c r="G962" s="7">
        <v>1200000</v>
      </c>
      <c r="H962" t="s">
        <v>872</v>
      </c>
      <c r="I962" s="7">
        <v>0</v>
      </c>
      <c r="J962" s="7">
        <v>25000</v>
      </c>
      <c r="K962" s="7">
        <v>1225000</v>
      </c>
      <c r="L962" t="s">
        <v>884</v>
      </c>
      <c r="M962" t="s">
        <v>881</v>
      </c>
      <c r="N962" t="s">
        <v>875</v>
      </c>
      <c r="O962" t="s">
        <v>876</v>
      </c>
      <c r="P962" t="s">
        <v>877</v>
      </c>
      <c r="Q962" s="7">
        <v>1200000</v>
      </c>
    </row>
    <row r="963" spans="1:17">
      <c r="A963" t="s">
        <v>1858</v>
      </c>
      <c r="B963" s="6">
        <v>45660</v>
      </c>
      <c r="C963" t="s">
        <v>646</v>
      </c>
      <c r="D963" t="s">
        <v>783</v>
      </c>
      <c r="E963">
        <v>4</v>
      </c>
      <c r="F963" s="7">
        <v>500000</v>
      </c>
      <c r="G963" s="7">
        <v>2000000</v>
      </c>
      <c r="H963" t="s">
        <v>872</v>
      </c>
      <c r="I963" s="7">
        <v>0</v>
      </c>
      <c r="J963" s="7">
        <v>25000</v>
      </c>
      <c r="K963" s="7">
        <v>2025000</v>
      </c>
      <c r="L963" t="s">
        <v>889</v>
      </c>
      <c r="M963" t="s">
        <v>874</v>
      </c>
      <c r="N963" t="s">
        <v>875</v>
      </c>
      <c r="O963" t="s">
        <v>908</v>
      </c>
      <c r="P963" t="s">
        <v>877</v>
      </c>
      <c r="Q963" s="7">
        <v>2000000</v>
      </c>
    </row>
    <row r="964" spans="1:17">
      <c r="A964" t="s">
        <v>1859</v>
      </c>
      <c r="B964" s="6">
        <v>45658</v>
      </c>
      <c r="C964" t="s">
        <v>59</v>
      </c>
      <c r="D964" t="s">
        <v>773</v>
      </c>
      <c r="E964">
        <v>2</v>
      </c>
      <c r="F964" s="7">
        <v>500000</v>
      </c>
      <c r="G964" s="7">
        <v>1000000</v>
      </c>
      <c r="H964" t="s">
        <v>872</v>
      </c>
      <c r="I964" s="7">
        <v>0</v>
      </c>
      <c r="J964" s="7">
        <v>25000</v>
      </c>
      <c r="K964" s="7">
        <v>1025000</v>
      </c>
      <c r="L964" t="s">
        <v>880</v>
      </c>
      <c r="M964" t="s">
        <v>881</v>
      </c>
      <c r="N964" t="s">
        <v>890</v>
      </c>
      <c r="O964" t="s">
        <v>908</v>
      </c>
      <c r="P964" t="s">
        <v>892</v>
      </c>
      <c r="Q964" s="7">
        <v>1000000</v>
      </c>
    </row>
    <row r="965" spans="1:17">
      <c r="A965" t="s">
        <v>1860</v>
      </c>
      <c r="B965" s="6">
        <v>45817</v>
      </c>
      <c r="C965" t="s">
        <v>550</v>
      </c>
      <c r="D965" t="s">
        <v>815</v>
      </c>
      <c r="E965">
        <v>4</v>
      </c>
      <c r="F965" s="7">
        <v>75000</v>
      </c>
      <c r="G965" s="7">
        <v>300000</v>
      </c>
      <c r="H965" t="s">
        <v>872</v>
      </c>
      <c r="I965" s="7">
        <v>0</v>
      </c>
      <c r="J965" s="7">
        <v>30000</v>
      </c>
      <c r="K965" s="7">
        <v>330000</v>
      </c>
      <c r="L965" t="s">
        <v>884</v>
      </c>
      <c r="M965" t="s">
        <v>901</v>
      </c>
      <c r="N965" t="s">
        <v>890</v>
      </c>
      <c r="O965" t="s">
        <v>915</v>
      </c>
      <c r="P965" t="s">
        <v>892</v>
      </c>
      <c r="Q965" s="7">
        <v>300000</v>
      </c>
    </row>
    <row r="966" spans="1:17">
      <c r="A966" t="s">
        <v>1861</v>
      </c>
      <c r="B966" s="6">
        <v>45661</v>
      </c>
      <c r="C966" t="s">
        <v>176</v>
      </c>
      <c r="D966" t="s">
        <v>769</v>
      </c>
      <c r="E966">
        <v>2</v>
      </c>
      <c r="F966" s="7">
        <v>100000</v>
      </c>
      <c r="G966" s="7">
        <v>200000</v>
      </c>
      <c r="H966" t="s">
        <v>895</v>
      </c>
      <c r="I966" s="7">
        <v>30000</v>
      </c>
      <c r="J966" s="7">
        <v>10000</v>
      </c>
      <c r="K966" s="7">
        <v>180000</v>
      </c>
      <c r="L966" t="s">
        <v>873</v>
      </c>
      <c r="M966" t="s">
        <v>874</v>
      </c>
      <c r="N966" t="s">
        <v>875</v>
      </c>
      <c r="O966" t="s">
        <v>908</v>
      </c>
      <c r="P966" t="s">
        <v>877</v>
      </c>
      <c r="Q966" s="7">
        <v>170000</v>
      </c>
    </row>
    <row r="967" spans="1:17">
      <c r="A967" t="s">
        <v>1862</v>
      </c>
      <c r="B967" s="6">
        <v>45692</v>
      </c>
      <c r="C967" t="s">
        <v>658</v>
      </c>
      <c r="D967" t="s">
        <v>841</v>
      </c>
      <c r="E967">
        <v>1</v>
      </c>
      <c r="F967" s="7">
        <v>75000</v>
      </c>
      <c r="G967" s="7">
        <v>75000</v>
      </c>
      <c r="H967" t="s">
        <v>886</v>
      </c>
      <c r="I967" s="7">
        <v>7500</v>
      </c>
      <c r="J967" s="7">
        <v>20000</v>
      </c>
      <c r="K967" s="7">
        <v>87500</v>
      </c>
      <c r="L967" t="s">
        <v>889</v>
      </c>
      <c r="M967" t="s">
        <v>881</v>
      </c>
      <c r="N967" t="s">
        <v>875</v>
      </c>
      <c r="O967" t="s">
        <v>887</v>
      </c>
      <c r="P967" t="s">
        <v>877</v>
      </c>
      <c r="Q967" s="7">
        <v>67500</v>
      </c>
    </row>
    <row r="968" spans="1:17">
      <c r="A968" t="s">
        <v>1863</v>
      </c>
      <c r="B968" s="6">
        <v>45686</v>
      </c>
      <c r="C968" t="s">
        <v>196</v>
      </c>
      <c r="D968" t="s">
        <v>801</v>
      </c>
      <c r="E968">
        <v>2</v>
      </c>
      <c r="F968" s="7">
        <v>100000</v>
      </c>
      <c r="G968" s="7">
        <v>200000</v>
      </c>
      <c r="H968" t="s">
        <v>886</v>
      </c>
      <c r="I968" s="7">
        <v>20000</v>
      </c>
      <c r="J968" s="7">
        <v>15000</v>
      </c>
      <c r="K968" s="7">
        <v>195000</v>
      </c>
      <c r="L968" t="s">
        <v>873</v>
      </c>
      <c r="M968" t="s">
        <v>874</v>
      </c>
      <c r="N968" t="s">
        <v>875</v>
      </c>
      <c r="O968" t="s">
        <v>908</v>
      </c>
      <c r="P968" t="s">
        <v>877</v>
      </c>
      <c r="Q968" s="7">
        <v>180000</v>
      </c>
    </row>
    <row r="969" spans="1:17">
      <c r="A969" t="s">
        <v>1864</v>
      </c>
      <c r="B969" s="6">
        <v>45818</v>
      </c>
      <c r="C969" t="s">
        <v>370</v>
      </c>
      <c r="D969" t="s">
        <v>733</v>
      </c>
      <c r="E969">
        <v>4</v>
      </c>
      <c r="F969" s="7">
        <v>150000</v>
      </c>
      <c r="G969" s="7">
        <v>600000</v>
      </c>
      <c r="H969" t="s">
        <v>883</v>
      </c>
      <c r="I969" s="7">
        <v>60000</v>
      </c>
      <c r="J969" s="7">
        <v>30000</v>
      </c>
      <c r="K969" s="7">
        <v>570000</v>
      </c>
      <c r="L969" t="s">
        <v>884</v>
      </c>
      <c r="M969" t="s">
        <v>901</v>
      </c>
      <c r="N969" t="s">
        <v>875</v>
      </c>
      <c r="O969" t="s">
        <v>915</v>
      </c>
      <c r="P969" t="s">
        <v>877</v>
      </c>
      <c r="Q969" s="7">
        <v>540000</v>
      </c>
    </row>
    <row r="970" spans="1:17">
      <c r="A970" t="s">
        <v>1865</v>
      </c>
      <c r="B970" s="6">
        <v>45683</v>
      </c>
      <c r="C970" t="s">
        <v>99</v>
      </c>
      <c r="D970" t="s">
        <v>851</v>
      </c>
      <c r="E970">
        <v>1</v>
      </c>
      <c r="F970" s="7">
        <v>35000</v>
      </c>
      <c r="G970" s="7">
        <v>35000</v>
      </c>
      <c r="H970" t="s">
        <v>879</v>
      </c>
      <c r="I970" s="7">
        <v>7000</v>
      </c>
      <c r="J970" s="7">
        <v>25000</v>
      </c>
      <c r="K970" s="7">
        <v>53000</v>
      </c>
      <c r="L970" t="s">
        <v>884</v>
      </c>
      <c r="M970" t="s">
        <v>901</v>
      </c>
      <c r="N970" t="s">
        <v>875</v>
      </c>
      <c r="O970" t="s">
        <v>908</v>
      </c>
      <c r="P970" t="s">
        <v>877</v>
      </c>
      <c r="Q970" s="7">
        <v>28000</v>
      </c>
    </row>
    <row r="971" spans="1:17">
      <c r="A971" t="s">
        <v>1866</v>
      </c>
      <c r="B971" s="6">
        <v>45718</v>
      </c>
      <c r="C971" t="s">
        <v>312</v>
      </c>
      <c r="D971" t="s">
        <v>827</v>
      </c>
      <c r="E971">
        <v>1</v>
      </c>
      <c r="F971" s="7">
        <v>100000</v>
      </c>
      <c r="G971" s="7">
        <v>100000</v>
      </c>
      <c r="H971" t="s">
        <v>872</v>
      </c>
      <c r="I971" s="7">
        <v>0</v>
      </c>
      <c r="J971" s="7">
        <v>10000</v>
      </c>
      <c r="K971" s="7">
        <v>110000</v>
      </c>
      <c r="L971" t="s">
        <v>873</v>
      </c>
      <c r="M971" t="s">
        <v>881</v>
      </c>
      <c r="N971" t="s">
        <v>905</v>
      </c>
      <c r="O971" t="s">
        <v>876</v>
      </c>
      <c r="P971" t="s">
        <v>892</v>
      </c>
      <c r="Q971" s="7">
        <v>100000</v>
      </c>
    </row>
    <row r="972" spans="1:17">
      <c r="A972" t="s">
        <v>1867</v>
      </c>
      <c r="B972" s="6">
        <v>45734</v>
      </c>
      <c r="C972" t="s">
        <v>127</v>
      </c>
      <c r="D972" t="s">
        <v>837</v>
      </c>
      <c r="E972">
        <v>3</v>
      </c>
      <c r="F972" s="7">
        <v>300000</v>
      </c>
      <c r="G972" s="7">
        <v>900000</v>
      </c>
      <c r="H972" t="s">
        <v>872</v>
      </c>
      <c r="I972" s="7">
        <v>0</v>
      </c>
      <c r="J972" s="7">
        <v>10000</v>
      </c>
      <c r="K972" s="7">
        <v>910000</v>
      </c>
      <c r="L972" t="s">
        <v>884</v>
      </c>
      <c r="M972" t="s">
        <v>901</v>
      </c>
      <c r="N972" t="s">
        <v>890</v>
      </c>
      <c r="O972" t="s">
        <v>876</v>
      </c>
      <c r="P972" t="s">
        <v>892</v>
      </c>
      <c r="Q972" s="7">
        <v>900000</v>
      </c>
    </row>
    <row r="973" spans="1:17">
      <c r="A973" t="s">
        <v>1868</v>
      </c>
      <c r="B973" s="6">
        <v>45769</v>
      </c>
      <c r="C973" t="s">
        <v>109</v>
      </c>
      <c r="D973" t="s">
        <v>801</v>
      </c>
      <c r="E973">
        <v>2</v>
      </c>
      <c r="F973" s="7">
        <v>100000</v>
      </c>
      <c r="G973" s="7">
        <v>200000</v>
      </c>
      <c r="H973" t="s">
        <v>883</v>
      </c>
      <c r="I973" s="7">
        <v>20000</v>
      </c>
      <c r="J973" s="7">
        <v>20000</v>
      </c>
      <c r="K973" s="7">
        <v>200000</v>
      </c>
      <c r="L973" t="s">
        <v>889</v>
      </c>
      <c r="M973" t="s">
        <v>901</v>
      </c>
      <c r="N973" t="s">
        <v>905</v>
      </c>
      <c r="O973" t="s">
        <v>891</v>
      </c>
      <c r="P973" t="s">
        <v>892</v>
      </c>
      <c r="Q973" s="7">
        <v>180000</v>
      </c>
    </row>
    <row r="974" spans="1:17">
      <c r="A974" t="s">
        <v>1869</v>
      </c>
      <c r="B974" s="6">
        <v>45771</v>
      </c>
      <c r="C974" t="s">
        <v>121</v>
      </c>
      <c r="D974" t="s">
        <v>803</v>
      </c>
      <c r="E974">
        <v>1</v>
      </c>
      <c r="F974" s="7">
        <v>50000</v>
      </c>
      <c r="G974" s="7">
        <v>50000</v>
      </c>
      <c r="H974" t="s">
        <v>872</v>
      </c>
      <c r="I974" s="7">
        <v>0</v>
      </c>
      <c r="J974" s="7">
        <v>15000</v>
      </c>
      <c r="K974" s="7">
        <v>65000</v>
      </c>
      <c r="L974" t="s">
        <v>884</v>
      </c>
      <c r="M974" t="s">
        <v>874</v>
      </c>
      <c r="N974" t="s">
        <v>875</v>
      </c>
      <c r="O974" t="s">
        <v>891</v>
      </c>
      <c r="P974" t="s">
        <v>877</v>
      </c>
      <c r="Q974" s="7">
        <v>50000</v>
      </c>
    </row>
    <row r="975" spans="1:17">
      <c r="A975" t="s">
        <v>1870</v>
      </c>
      <c r="B975" s="6">
        <v>45726</v>
      </c>
      <c r="C975" t="s">
        <v>258</v>
      </c>
      <c r="D975" t="s">
        <v>733</v>
      </c>
      <c r="E975">
        <v>2</v>
      </c>
      <c r="F975" s="7">
        <v>150000</v>
      </c>
      <c r="G975" s="7">
        <v>300000</v>
      </c>
      <c r="H975" t="s">
        <v>895</v>
      </c>
      <c r="I975" s="7">
        <v>45000</v>
      </c>
      <c r="J975" s="7">
        <v>25000</v>
      </c>
      <c r="K975" s="7">
        <v>280000</v>
      </c>
      <c r="L975" t="s">
        <v>889</v>
      </c>
      <c r="M975" t="s">
        <v>903</v>
      </c>
      <c r="N975" t="s">
        <v>905</v>
      </c>
      <c r="O975" t="s">
        <v>876</v>
      </c>
      <c r="P975" t="s">
        <v>892</v>
      </c>
      <c r="Q975" s="7">
        <v>255000</v>
      </c>
    </row>
    <row r="976" spans="1:17">
      <c r="A976" t="s">
        <v>1871</v>
      </c>
      <c r="B976" s="6">
        <v>45803</v>
      </c>
      <c r="C976" t="s">
        <v>210</v>
      </c>
      <c r="D976" t="s">
        <v>847</v>
      </c>
      <c r="E976">
        <v>2</v>
      </c>
      <c r="F976" s="7">
        <v>100000</v>
      </c>
      <c r="G976" s="7">
        <v>200000</v>
      </c>
      <c r="H976" t="s">
        <v>879</v>
      </c>
      <c r="I976" s="7">
        <v>40000</v>
      </c>
      <c r="J976" s="7">
        <v>25000</v>
      </c>
      <c r="K976" s="7">
        <v>185000</v>
      </c>
      <c r="L976" t="s">
        <v>880</v>
      </c>
      <c r="M976" t="s">
        <v>874</v>
      </c>
      <c r="N976" t="s">
        <v>875</v>
      </c>
      <c r="O976" t="s">
        <v>896</v>
      </c>
      <c r="P976" t="s">
        <v>877</v>
      </c>
      <c r="Q976" s="7">
        <v>160000</v>
      </c>
    </row>
    <row r="977" spans="1:17">
      <c r="A977" t="s">
        <v>1872</v>
      </c>
      <c r="B977" s="6">
        <v>45789</v>
      </c>
      <c r="C977" t="s">
        <v>260</v>
      </c>
      <c r="D977" t="s">
        <v>741</v>
      </c>
      <c r="E977">
        <v>3</v>
      </c>
      <c r="F977" s="7">
        <v>75000</v>
      </c>
      <c r="G977" s="7">
        <v>225000</v>
      </c>
      <c r="H977" t="s">
        <v>872</v>
      </c>
      <c r="I977" s="7">
        <v>0</v>
      </c>
      <c r="J977" s="7">
        <v>15000</v>
      </c>
      <c r="K977" s="7">
        <v>240000</v>
      </c>
      <c r="L977" t="s">
        <v>880</v>
      </c>
      <c r="M977" t="s">
        <v>874</v>
      </c>
      <c r="N977" t="s">
        <v>875</v>
      </c>
      <c r="O977" t="s">
        <v>896</v>
      </c>
      <c r="P977" t="s">
        <v>877</v>
      </c>
      <c r="Q977" s="7">
        <v>225000</v>
      </c>
    </row>
    <row r="978" spans="1:17">
      <c r="A978" t="s">
        <v>1873</v>
      </c>
      <c r="B978" s="6">
        <v>45818</v>
      </c>
      <c r="C978" t="s">
        <v>596</v>
      </c>
      <c r="D978" t="s">
        <v>751</v>
      </c>
      <c r="E978">
        <v>2</v>
      </c>
      <c r="F978" s="7">
        <v>150000</v>
      </c>
      <c r="G978" s="7">
        <v>300000</v>
      </c>
      <c r="H978" t="s">
        <v>872</v>
      </c>
      <c r="I978" s="7">
        <v>0</v>
      </c>
      <c r="J978" s="7">
        <v>15000</v>
      </c>
      <c r="K978" s="7">
        <v>315000</v>
      </c>
      <c r="L978" t="s">
        <v>884</v>
      </c>
      <c r="M978" t="s">
        <v>874</v>
      </c>
      <c r="N978" t="s">
        <v>875</v>
      </c>
      <c r="O978" t="s">
        <v>915</v>
      </c>
      <c r="P978" t="s">
        <v>877</v>
      </c>
      <c r="Q978" s="7">
        <v>300000</v>
      </c>
    </row>
    <row r="979" spans="1:17">
      <c r="A979" t="s">
        <v>1874</v>
      </c>
      <c r="B979" s="6">
        <v>45719</v>
      </c>
      <c r="C979" t="s">
        <v>592</v>
      </c>
      <c r="D979" t="s">
        <v>839</v>
      </c>
      <c r="E979">
        <v>1</v>
      </c>
      <c r="F979" s="7">
        <v>200000</v>
      </c>
      <c r="G979" s="7">
        <v>200000</v>
      </c>
      <c r="H979" t="s">
        <v>872</v>
      </c>
      <c r="I979" s="7">
        <v>0</v>
      </c>
      <c r="J979" s="7">
        <v>15000</v>
      </c>
      <c r="K979" s="7">
        <v>215000</v>
      </c>
      <c r="L979" t="s">
        <v>873</v>
      </c>
      <c r="N979" t="s">
        <v>875</v>
      </c>
      <c r="O979" t="s">
        <v>876</v>
      </c>
      <c r="P979" t="s">
        <v>877</v>
      </c>
      <c r="Q979" s="7">
        <v>200000</v>
      </c>
    </row>
    <row r="980" spans="1:17">
      <c r="A980" t="s">
        <v>1875</v>
      </c>
      <c r="B980" s="6">
        <v>45794</v>
      </c>
      <c r="C980" t="s">
        <v>230</v>
      </c>
      <c r="D980" t="s">
        <v>837</v>
      </c>
      <c r="E980">
        <v>1</v>
      </c>
      <c r="F980" s="7">
        <v>300000</v>
      </c>
      <c r="G980" s="7">
        <v>300000</v>
      </c>
      <c r="H980" t="s">
        <v>872</v>
      </c>
      <c r="I980" s="7">
        <v>0</v>
      </c>
      <c r="J980" s="7">
        <v>10000</v>
      </c>
      <c r="K980" s="7">
        <v>310000</v>
      </c>
      <c r="L980" t="s">
        <v>873</v>
      </c>
      <c r="M980" t="s">
        <v>901</v>
      </c>
      <c r="N980" t="s">
        <v>875</v>
      </c>
      <c r="O980" t="s">
        <v>896</v>
      </c>
      <c r="P980" t="s">
        <v>877</v>
      </c>
      <c r="Q980" s="7">
        <v>300000</v>
      </c>
    </row>
    <row r="981" spans="1:17">
      <c r="A981" t="s">
        <v>1876</v>
      </c>
      <c r="B981" s="6">
        <v>45798</v>
      </c>
      <c r="C981" t="s">
        <v>416</v>
      </c>
      <c r="D981" t="s">
        <v>831</v>
      </c>
      <c r="E981">
        <v>4</v>
      </c>
      <c r="F981" s="7">
        <v>300000</v>
      </c>
      <c r="G981" s="7">
        <v>1200000</v>
      </c>
      <c r="H981" t="s">
        <v>886</v>
      </c>
      <c r="I981" s="7">
        <v>120000</v>
      </c>
      <c r="J981" s="7">
        <v>30000</v>
      </c>
      <c r="K981" s="7">
        <v>1110000</v>
      </c>
      <c r="L981" t="s">
        <v>880</v>
      </c>
      <c r="M981" t="s">
        <v>903</v>
      </c>
      <c r="N981" t="s">
        <v>875</v>
      </c>
      <c r="O981" t="s">
        <v>896</v>
      </c>
      <c r="P981" t="s">
        <v>877</v>
      </c>
      <c r="Q981" s="7">
        <v>1080000</v>
      </c>
    </row>
    <row r="982" spans="1:17">
      <c r="A982" t="s">
        <v>1877</v>
      </c>
      <c r="B982" s="6">
        <v>45824</v>
      </c>
      <c r="C982" t="s">
        <v>162</v>
      </c>
      <c r="D982" t="s">
        <v>819</v>
      </c>
      <c r="E982">
        <v>2</v>
      </c>
      <c r="F982" s="7">
        <v>300000</v>
      </c>
      <c r="G982" s="7">
        <v>600000</v>
      </c>
      <c r="H982" t="s">
        <v>895</v>
      </c>
      <c r="I982" s="7">
        <v>90000</v>
      </c>
      <c r="J982" s="7">
        <v>25000</v>
      </c>
      <c r="K982" s="7">
        <v>535000</v>
      </c>
      <c r="L982" t="s">
        <v>889</v>
      </c>
      <c r="M982" t="s">
        <v>903</v>
      </c>
      <c r="N982" t="s">
        <v>875</v>
      </c>
      <c r="O982" t="s">
        <v>915</v>
      </c>
      <c r="P982" t="s">
        <v>877</v>
      </c>
      <c r="Q982" s="7">
        <v>510000</v>
      </c>
    </row>
    <row r="983" spans="1:17">
      <c r="A983" t="s">
        <v>1878</v>
      </c>
      <c r="B983" s="6">
        <v>45727</v>
      </c>
      <c r="C983" t="s">
        <v>49</v>
      </c>
      <c r="D983" t="s">
        <v>855</v>
      </c>
      <c r="E983">
        <v>1</v>
      </c>
      <c r="F983" s="7">
        <v>150000</v>
      </c>
      <c r="G983" s="7">
        <v>150000</v>
      </c>
      <c r="H983" t="s">
        <v>872</v>
      </c>
      <c r="I983" s="7">
        <v>0</v>
      </c>
      <c r="J983" s="7">
        <v>15000</v>
      </c>
      <c r="K983" s="7">
        <v>165000</v>
      </c>
      <c r="L983" t="s">
        <v>880</v>
      </c>
      <c r="M983" t="s">
        <v>881</v>
      </c>
      <c r="N983" t="s">
        <v>875</v>
      </c>
      <c r="O983" t="s">
        <v>876</v>
      </c>
      <c r="P983" t="s">
        <v>877</v>
      </c>
      <c r="Q983" s="7">
        <v>150000</v>
      </c>
    </row>
    <row r="984" spans="1:17">
      <c r="A984" t="s">
        <v>1879</v>
      </c>
      <c r="B984" s="6">
        <v>45811</v>
      </c>
      <c r="C984" t="s">
        <v>474</v>
      </c>
      <c r="D984" t="s">
        <v>751</v>
      </c>
      <c r="E984">
        <v>1</v>
      </c>
      <c r="F984" s="7">
        <v>150000</v>
      </c>
      <c r="G984" s="7">
        <v>150000</v>
      </c>
      <c r="H984" t="s">
        <v>886</v>
      </c>
      <c r="I984" s="7">
        <v>15000</v>
      </c>
      <c r="J984" s="7">
        <v>25000</v>
      </c>
      <c r="K984" s="7">
        <v>160000</v>
      </c>
      <c r="L984" t="s">
        <v>884</v>
      </c>
      <c r="M984" t="s">
        <v>901</v>
      </c>
      <c r="N984" t="s">
        <v>875</v>
      </c>
      <c r="O984" t="s">
        <v>915</v>
      </c>
      <c r="P984" t="s">
        <v>877</v>
      </c>
      <c r="Q984" s="7">
        <v>135000</v>
      </c>
    </row>
    <row r="985" spans="1:17">
      <c r="A985" t="s">
        <v>1880</v>
      </c>
      <c r="B985" s="6">
        <v>45743</v>
      </c>
      <c r="C985" t="s">
        <v>274</v>
      </c>
      <c r="D985" t="s">
        <v>787</v>
      </c>
      <c r="E985">
        <v>3</v>
      </c>
      <c r="F985" s="7">
        <v>200000</v>
      </c>
      <c r="G985" s="7">
        <v>600000</v>
      </c>
      <c r="H985" t="s">
        <v>872</v>
      </c>
      <c r="I985" s="7">
        <v>0</v>
      </c>
      <c r="J985" s="7">
        <v>30000</v>
      </c>
      <c r="K985" s="7">
        <v>630000</v>
      </c>
      <c r="L985" t="s">
        <v>889</v>
      </c>
      <c r="M985" t="s">
        <v>901</v>
      </c>
      <c r="N985" t="s">
        <v>875</v>
      </c>
      <c r="O985" t="s">
        <v>876</v>
      </c>
      <c r="P985" t="s">
        <v>877</v>
      </c>
      <c r="Q985" s="7">
        <v>600000</v>
      </c>
    </row>
    <row r="986" spans="1:17">
      <c r="A986" t="s">
        <v>1881</v>
      </c>
      <c r="B986" s="6">
        <v>45669</v>
      </c>
      <c r="C986" t="s">
        <v>34</v>
      </c>
      <c r="D986" t="s">
        <v>783</v>
      </c>
      <c r="E986">
        <v>1</v>
      </c>
      <c r="F986" s="7">
        <v>500000</v>
      </c>
      <c r="G986" s="7">
        <v>500000</v>
      </c>
      <c r="H986" t="s">
        <v>879</v>
      </c>
      <c r="I986" s="7">
        <v>100000</v>
      </c>
      <c r="J986" s="7">
        <v>10000</v>
      </c>
      <c r="K986" s="7">
        <v>410000</v>
      </c>
      <c r="L986" t="s">
        <v>889</v>
      </c>
      <c r="M986" t="s">
        <v>881</v>
      </c>
      <c r="N986" t="s">
        <v>905</v>
      </c>
      <c r="O986" t="s">
        <v>908</v>
      </c>
      <c r="P986" t="s">
        <v>892</v>
      </c>
      <c r="Q986" s="7">
        <v>400000</v>
      </c>
    </row>
    <row r="987" spans="1:17">
      <c r="A987" t="s">
        <v>1882</v>
      </c>
      <c r="B987" s="6">
        <v>45667</v>
      </c>
      <c r="C987" t="s">
        <v>178</v>
      </c>
      <c r="D987" t="s">
        <v>737</v>
      </c>
      <c r="E987">
        <v>1</v>
      </c>
      <c r="F987" s="7">
        <v>300000</v>
      </c>
      <c r="G987" s="7">
        <v>300000</v>
      </c>
      <c r="H987" t="s">
        <v>895</v>
      </c>
      <c r="I987" s="7">
        <v>45000</v>
      </c>
      <c r="J987" s="7">
        <v>20000</v>
      </c>
      <c r="K987" s="7">
        <v>275000</v>
      </c>
      <c r="L987" t="s">
        <v>884</v>
      </c>
      <c r="M987" t="s">
        <v>881</v>
      </c>
      <c r="N987" t="s">
        <v>911</v>
      </c>
      <c r="O987" t="s">
        <v>908</v>
      </c>
      <c r="P987" t="s">
        <v>892</v>
      </c>
      <c r="Q987" s="7">
        <v>255000</v>
      </c>
    </row>
    <row r="988" spans="1:17">
      <c r="A988" t="s">
        <v>1883</v>
      </c>
      <c r="B988" s="6">
        <v>45806</v>
      </c>
      <c r="C988" t="s">
        <v>574</v>
      </c>
      <c r="D988" t="s">
        <v>753</v>
      </c>
      <c r="E988">
        <v>1</v>
      </c>
      <c r="F988" s="7">
        <v>300000</v>
      </c>
      <c r="G988" s="7">
        <v>300000</v>
      </c>
      <c r="H988" t="s">
        <v>872</v>
      </c>
      <c r="I988" s="7">
        <v>0</v>
      </c>
      <c r="J988" s="7">
        <v>15000</v>
      </c>
      <c r="K988" s="7">
        <v>315000</v>
      </c>
      <c r="L988" t="s">
        <v>884</v>
      </c>
      <c r="M988" t="s">
        <v>901</v>
      </c>
      <c r="N988" t="s">
        <v>875</v>
      </c>
      <c r="O988" t="s">
        <v>896</v>
      </c>
      <c r="P988" t="s">
        <v>877</v>
      </c>
      <c r="Q988" s="7">
        <v>300000</v>
      </c>
    </row>
    <row r="989" spans="1:17">
      <c r="A989" t="s">
        <v>1884</v>
      </c>
      <c r="B989" s="6">
        <v>45782</v>
      </c>
      <c r="C989" t="s">
        <v>264</v>
      </c>
      <c r="D989" t="s">
        <v>801</v>
      </c>
      <c r="E989">
        <v>1</v>
      </c>
      <c r="F989" s="7">
        <v>100000</v>
      </c>
      <c r="G989" s="7">
        <v>100000</v>
      </c>
      <c r="H989" t="s">
        <v>895</v>
      </c>
      <c r="I989" s="7">
        <v>15000</v>
      </c>
      <c r="J989" s="7">
        <v>15000</v>
      </c>
      <c r="K989" s="7">
        <v>100000</v>
      </c>
      <c r="L989" t="s">
        <v>880</v>
      </c>
      <c r="M989" t="s">
        <v>901</v>
      </c>
      <c r="N989" t="s">
        <v>875</v>
      </c>
      <c r="O989" t="s">
        <v>896</v>
      </c>
      <c r="P989" t="s">
        <v>877</v>
      </c>
      <c r="Q989" s="7">
        <v>85000</v>
      </c>
    </row>
    <row r="990" spans="1:17">
      <c r="A990" t="s">
        <v>1885</v>
      </c>
      <c r="B990" s="6">
        <v>45834</v>
      </c>
      <c r="C990" t="s">
        <v>694</v>
      </c>
      <c r="D990" t="s">
        <v>725</v>
      </c>
      <c r="E990">
        <v>1</v>
      </c>
      <c r="F990" s="7">
        <v>300000</v>
      </c>
      <c r="G990" s="7">
        <v>300000</v>
      </c>
      <c r="H990" t="s">
        <v>879</v>
      </c>
      <c r="I990" s="7">
        <v>60000</v>
      </c>
      <c r="J990" s="7">
        <v>30000</v>
      </c>
      <c r="K990" s="7">
        <v>270000</v>
      </c>
      <c r="L990" t="s">
        <v>884</v>
      </c>
      <c r="M990" t="s">
        <v>903</v>
      </c>
      <c r="N990" t="s">
        <v>905</v>
      </c>
      <c r="O990" t="s">
        <v>915</v>
      </c>
      <c r="P990" t="s">
        <v>892</v>
      </c>
      <c r="Q990" s="7">
        <v>240000</v>
      </c>
    </row>
    <row r="991" spans="1:17">
      <c r="A991" t="s">
        <v>1886</v>
      </c>
      <c r="B991" s="6">
        <v>45825</v>
      </c>
      <c r="C991" t="s">
        <v>694</v>
      </c>
      <c r="D991" t="s">
        <v>835</v>
      </c>
      <c r="E991">
        <v>2</v>
      </c>
      <c r="F991" s="7">
        <v>200000</v>
      </c>
      <c r="G991" s="7">
        <v>400000</v>
      </c>
      <c r="H991" t="s">
        <v>895</v>
      </c>
      <c r="I991" s="7">
        <v>60000</v>
      </c>
      <c r="J991" s="7">
        <v>10000</v>
      </c>
      <c r="K991" s="7">
        <v>350000</v>
      </c>
      <c r="L991" t="s">
        <v>880</v>
      </c>
      <c r="M991" t="s">
        <v>901</v>
      </c>
      <c r="N991" t="s">
        <v>875</v>
      </c>
      <c r="O991" t="s">
        <v>915</v>
      </c>
      <c r="P991" t="s">
        <v>877</v>
      </c>
      <c r="Q991" s="7">
        <v>340000</v>
      </c>
    </row>
    <row r="992" spans="1:17">
      <c r="A992" t="s">
        <v>1887</v>
      </c>
      <c r="B992" s="6">
        <v>45792</v>
      </c>
      <c r="C992" t="s">
        <v>686</v>
      </c>
      <c r="D992" t="s">
        <v>821</v>
      </c>
      <c r="E992">
        <v>2</v>
      </c>
      <c r="F992" s="7">
        <v>50000</v>
      </c>
      <c r="G992" s="7">
        <v>100000</v>
      </c>
      <c r="H992" t="s">
        <v>886</v>
      </c>
      <c r="I992" s="7">
        <v>10000</v>
      </c>
      <c r="J992" s="7">
        <v>25000</v>
      </c>
      <c r="K992" s="7">
        <v>115000</v>
      </c>
      <c r="L992" t="s">
        <v>880</v>
      </c>
      <c r="M992" t="s">
        <v>903</v>
      </c>
      <c r="N992" t="s">
        <v>875</v>
      </c>
      <c r="O992" t="s">
        <v>896</v>
      </c>
      <c r="P992" t="s">
        <v>877</v>
      </c>
      <c r="Q992" s="7">
        <v>90000</v>
      </c>
    </row>
    <row r="993" spans="1:17">
      <c r="A993" t="s">
        <v>1888</v>
      </c>
      <c r="B993" s="6">
        <v>45686</v>
      </c>
      <c r="C993" t="s">
        <v>306</v>
      </c>
      <c r="D993" t="s">
        <v>759</v>
      </c>
      <c r="E993">
        <v>1</v>
      </c>
      <c r="F993" s="7">
        <v>300000</v>
      </c>
      <c r="G993" s="7">
        <v>300000</v>
      </c>
      <c r="H993" t="s">
        <v>883</v>
      </c>
      <c r="I993" s="7">
        <v>30000</v>
      </c>
      <c r="J993" s="7">
        <v>30000</v>
      </c>
      <c r="K993" s="7">
        <v>300000</v>
      </c>
      <c r="L993" t="s">
        <v>880</v>
      </c>
      <c r="M993" t="s">
        <v>901</v>
      </c>
      <c r="N993" t="s">
        <v>911</v>
      </c>
      <c r="O993" t="s">
        <v>908</v>
      </c>
      <c r="P993" t="s">
        <v>892</v>
      </c>
      <c r="Q993" s="7">
        <v>270000</v>
      </c>
    </row>
    <row r="994" spans="1:17">
      <c r="A994" t="s">
        <v>1889</v>
      </c>
      <c r="B994" s="6">
        <v>45669</v>
      </c>
      <c r="C994" t="s">
        <v>356</v>
      </c>
      <c r="D994" t="s">
        <v>733</v>
      </c>
      <c r="E994">
        <v>1</v>
      </c>
      <c r="F994" s="7">
        <v>150000</v>
      </c>
      <c r="G994" s="7">
        <v>150000</v>
      </c>
      <c r="H994" t="s">
        <v>883</v>
      </c>
      <c r="I994" s="7">
        <v>15000</v>
      </c>
      <c r="J994" s="7">
        <v>10000</v>
      </c>
      <c r="K994" s="7">
        <v>145000</v>
      </c>
      <c r="L994" t="s">
        <v>873</v>
      </c>
      <c r="M994" t="s">
        <v>874</v>
      </c>
      <c r="N994" t="s">
        <v>875</v>
      </c>
      <c r="O994" t="s">
        <v>908</v>
      </c>
      <c r="P994" t="s">
        <v>877</v>
      </c>
      <c r="Q994" s="7">
        <v>135000</v>
      </c>
    </row>
    <row r="995" spans="1:17">
      <c r="A995" t="s">
        <v>1890</v>
      </c>
      <c r="B995" s="6">
        <v>45835</v>
      </c>
      <c r="C995" t="s">
        <v>75</v>
      </c>
      <c r="D995" t="s">
        <v>813</v>
      </c>
      <c r="E995">
        <v>1</v>
      </c>
      <c r="F995" s="7">
        <v>35000</v>
      </c>
      <c r="G995" s="7">
        <v>35000</v>
      </c>
      <c r="H995" t="s">
        <v>883</v>
      </c>
      <c r="I995" s="7">
        <v>3500</v>
      </c>
      <c r="J995" s="7">
        <v>30000</v>
      </c>
      <c r="K995" s="7">
        <v>61500</v>
      </c>
      <c r="L995" t="s">
        <v>873</v>
      </c>
      <c r="M995" t="s">
        <v>903</v>
      </c>
      <c r="N995" t="s">
        <v>875</v>
      </c>
      <c r="O995" t="s">
        <v>915</v>
      </c>
      <c r="P995" t="s">
        <v>877</v>
      </c>
      <c r="Q995" s="7">
        <v>31500</v>
      </c>
    </row>
    <row r="996" spans="1:17">
      <c r="A996" t="s">
        <v>1891</v>
      </c>
      <c r="B996" s="6">
        <v>45799</v>
      </c>
      <c r="C996" t="s">
        <v>664</v>
      </c>
      <c r="D996" t="s">
        <v>781</v>
      </c>
      <c r="E996">
        <v>4</v>
      </c>
      <c r="F996" s="7">
        <v>50000</v>
      </c>
      <c r="G996" s="7">
        <v>200000</v>
      </c>
      <c r="H996" t="s">
        <v>886</v>
      </c>
      <c r="I996" s="7">
        <v>20000</v>
      </c>
      <c r="J996" s="7">
        <v>15000</v>
      </c>
      <c r="K996" s="7">
        <v>195000</v>
      </c>
      <c r="L996" t="s">
        <v>873</v>
      </c>
      <c r="M996" t="s">
        <v>881</v>
      </c>
      <c r="N996" t="s">
        <v>875</v>
      </c>
      <c r="O996" t="s">
        <v>896</v>
      </c>
      <c r="P996" t="s">
        <v>877</v>
      </c>
      <c r="Q996" s="7">
        <v>180000</v>
      </c>
    </row>
    <row r="997" spans="1:17">
      <c r="A997" t="s">
        <v>1892</v>
      </c>
      <c r="B997" s="6">
        <v>45734</v>
      </c>
      <c r="C997" t="s">
        <v>562</v>
      </c>
      <c r="D997" t="s">
        <v>817</v>
      </c>
      <c r="E997">
        <v>1</v>
      </c>
      <c r="F997" s="7">
        <v>75000</v>
      </c>
      <c r="G997" s="7">
        <v>75000</v>
      </c>
      <c r="H997" t="s">
        <v>895</v>
      </c>
      <c r="I997" s="7">
        <v>11250</v>
      </c>
      <c r="J997" s="7">
        <v>25000</v>
      </c>
      <c r="K997" s="7">
        <v>88750</v>
      </c>
      <c r="L997" t="s">
        <v>889</v>
      </c>
      <c r="M997" t="s">
        <v>903</v>
      </c>
      <c r="N997" t="s">
        <v>875</v>
      </c>
      <c r="O997" t="s">
        <v>876</v>
      </c>
      <c r="P997" t="s">
        <v>877</v>
      </c>
      <c r="Q997" s="7">
        <v>63750</v>
      </c>
    </row>
    <row r="998" spans="1:17">
      <c r="A998" t="s">
        <v>1893</v>
      </c>
      <c r="B998" s="6">
        <v>45706</v>
      </c>
      <c r="C998" t="s">
        <v>420</v>
      </c>
      <c r="D998" t="s">
        <v>839</v>
      </c>
      <c r="E998">
        <v>1</v>
      </c>
      <c r="F998" s="7">
        <v>200000</v>
      </c>
      <c r="G998" s="7">
        <v>200000</v>
      </c>
      <c r="H998" t="s">
        <v>872</v>
      </c>
      <c r="I998" s="7">
        <v>0</v>
      </c>
      <c r="J998" s="7">
        <v>30000</v>
      </c>
      <c r="K998" s="7">
        <v>230000</v>
      </c>
      <c r="L998" t="s">
        <v>889</v>
      </c>
      <c r="M998" t="s">
        <v>881</v>
      </c>
      <c r="N998" t="s">
        <v>890</v>
      </c>
      <c r="O998" t="s">
        <v>887</v>
      </c>
      <c r="P998" t="s">
        <v>892</v>
      </c>
      <c r="Q998" s="7">
        <v>200000</v>
      </c>
    </row>
    <row r="999" spans="1:17">
      <c r="A999" t="s">
        <v>1894</v>
      </c>
      <c r="B999" s="6">
        <v>45793</v>
      </c>
      <c r="C999" t="s">
        <v>135</v>
      </c>
      <c r="D999" t="s">
        <v>725</v>
      </c>
      <c r="E999">
        <v>1</v>
      </c>
      <c r="F999" s="7">
        <v>300000</v>
      </c>
      <c r="G999" s="7">
        <v>300000</v>
      </c>
      <c r="H999" t="s">
        <v>886</v>
      </c>
      <c r="I999" s="7">
        <v>30000</v>
      </c>
      <c r="J999" s="7">
        <v>20000</v>
      </c>
      <c r="K999" s="7">
        <v>290000</v>
      </c>
      <c r="L999" t="s">
        <v>889</v>
      </c>
      <c r="M999" t="s">
        <v>881</v>
      </c>
      <c r="N999" t="s">
        <v>875</v>
      </c>
      <c r="O999" t="s">
        <v>896</v>
      </c>
      <c r="P999" t="s">
        <v>877</v>
      </c>
      <c r="Q999" s="7">
        <v>270000</v>
      </c>
    </row>
    <row r="1000" spans="1:17">
      <c r="A1000" t="s">
        <v>1895</v>
      </c>
      <c r="B1000" s="6">
        <v>45664</v>
      </c>
      <c r="C1000" t="s">
        <v>450</v>
      </c>
      <c r="D1000" t="s">
        <v>741</v>
      </c>
      <c r="E1000">
        <v>2</v>
      </c>
      <c r="F1000" s="7">
        <v>75000</v>
      </c>
      <c r="G1000" s="7">
        <v>150000</v>
      </c>
      <c r="H1000" t="s">
        <v>872</v>
      </c>
      <c r="I1000" s="7">
        <v>0</v>
      </c>
      <c r="J1000" s="7">
        <v>30000</v>
      </c>
      <c r="K1000" s="7">
        <v>180000</v>
      </c>
      <c r="L1000" t="s">
        <v>884</v>
      </c>
      <c r="M1000" t="s">
        <v>901</v>
      </c>
      <c r="N1000" t="s">
        <v>875</v>
      </c>
      <c r="O1000" t="s">
        <v>908</v>
      </c>
      <c r="P1000" t="s">
        <v>877</v>
      </c>
      <c r="Q1000" s="7">
        <v>150000</v>
      </c>
    </row>
    <row r="1001" spans="1:17">
      <c r="A1001" t="s">
        <v>1896</v>
      </c>
      <c r="B1001" s="6">
        <v>45723</v>
      </c>
      <c r="C1001" t="s">
        <v>550</v>
      </c>
      <c r="D1001" t="s">
        <v>767</v>
      </c>
      <c r="E1001">
        <v>2</v>
      </c>
      <c r="F1001" s="7">
        <v>150000</v>
      </c>
      <c r="G1001" s="7">
        <v>300000</v>
      </c>
      <c r="H1001" t="s">
        <v>872</v>
      </c>
      <c r="I1001" s="7">
        <v>0</v>
      </c>
      <c r="J1001" s="7">
        <v>20000</v>
      </c>
      <c r="K1001" s="7">
        <v>320000</v>
      </c>
      <c r="L1001" t="s">
        <v>873</v>
      </c>
      <c r="M1001" t="s">
        <v>901</v>
      </c>
      <c r="N1001" t="s">
        <v>875</v>
      </c>
      <c r="O1001" t="s">
        <v>876</v>
      </c>
      <c r="P1001" t="s">
        <v>877</v>
      </c>
      <c r="Q1001" s="7">
        <v>300000</v>
      </c>
    </row>
    <row r="1002" spans="1:17">
      <c r="A1002" t="s">
        <v>1897</v>
      </c>
      <c r="B1002" s="6">
        <v>45777</v>
      </c>
      <c r="C1002" t="s">
        <v>326</v>
      </c>
      <c r="D1002" t="s">
        <v>755</v>
      </c>
      <c r="E1002">
        <v>4</v>
      </c>
      <c r="F1002" s="7">
        <v>50000</v>
      </c>
      <c r="G1002" s="7">
        <v>200000</v>
      </c>
      <c r="H1002" t="s">
        <v>872</v>
      </c>
      <c r="I1002" s="7">
        <v>0</v>
      </c>
      <c r="J1002" s="7">
        <v>20000</v>
      </c>
      <c r="K1002" s="7">
        <v>220000</v>
      </c>
      <c r="L1002" t="s">
        <v>884</v>
      </c>
      <c r="M1002" t="s">
        <v>901</v>
      </c>
      <c r="N1002" t="s">
        <v>875</v>
      </c>
      <c r="O1002" t="s">
        <v>891</v>
      </c>
      <c r="P1002" t="s">
        <v>877</v>
      </c>
      <c r="Q1002" s="7">
        <v>200000</v>
      </c>
    </row>
    <row r="1003" spans="1:17">
      <c r="A1003" t="s">
        <v>1898</v>
      </c>
      <c r="B1003" s="6">
        <v>45724</v>
      </c>
      <c r="C1003" t="s">
        <v>474</v>
      </c>
      <c r="D1003" t="s">
        <v>805</v>
      </c>
      <c r="E1003">
        <v>4</v>
      </c>
      <c r="F1003" s="7">
        <v>200000</v>
      </c>
      <c r="G1003" s="7">
        <v>800000</v>
      </c>
      <c r="H1003" t="s">
        <v>872</v>
      </c>
      <c r="I1003" s="7">
        <v>0</v>
      </c>
      <c r="J1003" s="7">
        <v>20000</v>
      </c>
      <c r="K1003" s="7">
        <v>820000</v>
      </c>
      <c r="L1003" t="s">
        <v>889</v>
      </c>
      <c r="M1003" t="s">
        <v>881</v>
      </c>
      <c r="N1003" t="s">
        <v>875</v>
      </c>
      <c r="O1003" t="s">
        <v>876</v>
      </c>
      <c r="P1003" t="s">
        <v>877</v>
      </c>
      <c r="Q1003" s="7">
        <v>800000</v>
      </c>
    </row>
    <row r="1004" spans="1:17">
      <c r="A1004" t="s">
        <v>1899</v>
      </c>
      <c r="B1004" s="6">
        <v>45717</v>
      </c>
      <c r="C1004" t="s">
        <v>610</v>
      </c>
      <c r="D1004" t="s">
        <v>725</v>
      </c>
      <c r="E1004">
        <v>2</v>
      </c>
      <c r="F1004" s="7">
        <v>300000</v>
      </c>
      <c r="G1004" s="7">
        <v>600000</v>
      </c>
      <c r="H1004" t="s">
        <v>883</v>
      </c>
      <c r="I1004" s="7">
        <v>60000</v>
      </c>
      <c r="J1004" s="7">
        <v>20000</v>
      </c>
      <c r="K1004" s="7">
        <v>560000</v>
      </c>
      <c r="L1004" t="s">
        <v>880</v>
      </c>
      <c r="M1004" t="s">
        <v>881</v>
      </c>
      <c r="N1004" t="s">
        <v>875</v>
      </c>
      <c r="O1004" t="s">
        <v>876</v>
      </c>
      <c r="P1004" t="s">
        <v>877</v>
      </c>
      <c r="Q1004" s="7">
        <v>540000</v>
      </c>
    </row>
    <row r="1005" spans="1:17">
      <c r="A1005" t="s">
        <v>1900</v>
      </c>
      <c r="B1005" s="6">
        <v>45800</v>
      </c>
      <c r="C1005" t="s">
        <v>488</v>
      </c>
      <c r="D1005" t="s">
        <v>837</v>
      </c>
      <c r="E1005">
        <v>2</v>
      </c>
      <c r="F1005" s="7">
        <v>300000</v>
      </c>
      <c r="G1005" s="7">
        <v>600000</v>
      </c>
      <c r="H1005" t="s">
        <v>895</v>
      </c>
      <c r="I1005" s="7">
        <v>90000</v>
      </c>
      <c r="J1005" s="7">
        <v>30000</v>
      </c>
      <c r="K1005" s="7">
        <v>540000</v>
      </c>
      <c r="L1005" t="s">
        <v>884</v>
      </c>
      <c r="M1005" t="s">
        <v>874</v>
      </c>
      <c r="N1005" t="s">
        <v>890</v>
      </c>
      <c r="O1005" t="s">
        <v>896</v>
      </c>
      <c r="P1005" t="s">
        <v>892</v>
      </c>
      <c r="Q1005" s="7">
        <v>510000</v>
      </c>
    </row>
    <row r="1006" spans="1:17">
      <c r="A1006" t="s">
        <v>1901</v>
      </c>
      <c r="B1006" s="6">
        <v>45735</v>
      </c>
      <c r="C1006" t="s">
        <v>200</v>
      </c>
      <c r="D1006" t="s">
        <v>781</v>
      </c>
      <c r="E1006">
        <v>3</v>
      </c>
      <c r="F1006" s="7">
        <v>50000</v>
      </c>
      <c r="G1006" s="7">
        <v>150000</v>
      </c>
      <c r="H1006" t="s">
        <v>886</v>
      </c>
      <c r="I1006" s="7">
        <v>15000</v>
      </c>
      <c r="J1006" s="7">
        <v>25000</v>
      </c>
      <c r="K1006" s="7">
        <v>160000</v>
      </c>
      <c r="L1006" t="s">
        <v>873</v>
      </c>
      <c r="M1006" t="s">
        <v>881</v>
      </c>
      <c r="N1006" t="s">
        <v>890</v>
      </c>
      <c r="O1006" t="s">
        <v>876</v>
      </c>
      <c r="P1006" t="s">
        <v>892</v>
      </c>
      <c r="Q1006" s="7">
        <v>135000</v>
      </c>
    </row>
    <row r="1007" spans="1:17">
      <c r="A1007" t="s">
        <v>1902</v>
      </c>
      <c r="B1007" s="6">
        <v>45752</v>
      </c>
      <c r="C1007" t="s">
        <v>464</v>
      </c>
      <c r="D1007" t="s">
        <v>753</v>
      </c>
      <c r="E1007">
        <v>2</v>
      </c>
      <c r="F1007" s="7">
        <v>300000</v>
      </c>
      <c r="G1007" s="7">
        <v>600000</v>
      </c>
      <c r="H1007" t="s">
        <v>872</v>
      </c>
      <c r="I1007" s="7">
        <v>0</v>
      </c>
      <c r="J1007" s="7">
        <v>30000</v>
      </c>
      <c r="K1007" s="7">
        <v>630000</v>
      </c>
      <c r="L1007" t="s">
        <v>884</v>
      </c>
      <c r="M1007" t="s">
        <v>903</v>
      </c>
      <c r="N1007" t="s">
        <v>875</v>
      </c>
      <c r="O1007" t="s">
        <v>891</v>
      </c>
      <c r="P1007" t="s">
        <v>877</v>
      </c>
      <c r="Q1007" s="7">
        <v>600000</v>
      </c>
    </row>
    <row r="1008" spans="1:17">
      <c r="A1008" t="s">
        <v>1903</v>
      </c>
      <c r="B1008" s="6">
        <v>45680</v>
      </c>
      <c r="C1008" t="s">
        <v>71</v>
      </c>
      <c r="D1008" t="s">
        <v>745</v>
      </c>
      <c r="E1008">
        <v>1</v>
      </c>
      <c r="F1008" s="7">
        <v>500000</v>
      </c>
      <c r="G1008" s="7">
        <v>500000</v>
      </c>
      <c r="H1008" t="s">
        <v>886</v>
      </c>
      <c r="I1008" s="7">
        <v>50000</v>
      </c>
      <c r="J1008" s="7">
        <v>20000</v>
      </c>
      <c r="K1008" s="7">
        <v>470000</v>
      </c>
      <c r="L1008" t="s">
        <v>873</v>
      </c>
      <c r="M1008" t="s">
        <v>881</v>
      </c>
      <c r="N1008" t="s">
        <v>875</v>
      </c>
      <c r="O1008" t="s">
        <v>908</v>
      </c>
      <c r="P1008" t="s">
        <v>877</v>
      </c>
      <c r="Q1008" s="7">
        <v>450000</v>
      </c>
    </row>
    <row r="1009" spans="1:17">
      <c r="A1009" t="s">
        <v>1904</v>
      </c>
      <c r="B1009" s="6">
        <v>45658</v>
      </c>
      <c r="C1009" t="s">
        <v>610</v>
      </c>
      <c r="D1009" t="s">
        <v>799</v>
      </c>
      <c r="E1009">
        <v>3</v>
      </c>
      <c r="F1009" s="7">
        <v>35000</v>
      </c>
      <c r="G1009" s="7">
        <v>105000</v>
      </c>
      <c r="H1009" t="s">
        <v>872</v>
      </c>
      <c r="I1009" s="7">
        <v>0</v>
      </c>
      <c r="J1009" s="7">
        <v>20000</v>
      </c>
      <c r="K1009" s="7">
        <v>125000</v>
      </c>
      <c r="L1009" t="s">
        <v>880</v>
      </c>
      <c r="M1009" t="s">
        <v>903</v>
      </c>
      <c r="N1009" t="s">
        <v>875</v>
      </c>
      <c r="O1009" t="s">
        <v>908</v>
      </c>
      <c r="P1009" t="s">
        <v>877</v>
      </c>
      <c r="Q1009" s="7">
        <v>105000</v>
      </c>
    </row>
    <row r="1010" spans="1:17">
      <c r="A1010" t="s">
        <v>1905</v>
      </c>
      <c r="B1010" s="6">
        <v>45836</v>
      </c>
      <c r="C1010" t="s">
        <v>232</v>
      </c>
      <c r="D1010" t="s">
        <v>855</v>
      </c>
      <c r="E1010">
        <v>3</v>
      </c>
      <c r="F1010" s="7">
        <v>150000</v>
      </c>
      <c r="G1010" s="7">
        <v>450000</v>
      </c>
      <c r="H1010" t="s">
        <v>872</v>
      </c>
      <c r="I1010" s="7">
        <v>0</v>
      </c>
      <c r="J1010" s="7">
        <v>30000</v>
      </c>
      <c r="K1010" s="7">
        <v>480000</v>
      </c>
      <c r="L1010" t="s">
        <v>889</v>
      </c>
      <c r="M1010" t="s">
        <v>903</v>
      </c>
      <c r="N1010" t="s">
        <v>875</v>
      </c>
      <c r="O1010" t="s">
        <v>915</v>
      </c>
      <c r="P1010" t="s">
        <v>877</v>
      </c>
      <c r="Q1010" s="7">
        <v>450000</v>
      </c>
    </row>
    <row r="1011" spans="1:17">
      <c r="A1011" t="s">
        <v>1906</v>
      </c>
      <c r="B1011" s="6">
        <v>45747</v>
      </c>
      <c r="C1011" t="s">
        <v>135</v>
      </c>
      <c r="D1011" t="s">
        <v>773</v>
      </c>
      <c r="E1011">
        <v>2</v>
      </c>
      <c r="F1011" s="7">
        <v>500000</v>
      </c>
      <c r="G1011" s="7">
        <v>1000000</v>
      </c>
      <c r="H1011" t="s">
        <v>872</v>
      </c>
      <c r="I1011" s="7">
        <v>0</v>
      </c>
      <c r="J1011" s="7">
        <v>15000</v>
      </c>
      <c r="K1011" s="7">
        <v>1015000</v>
      </c>
      <c r="L1011" t="s">
        <v>889</v>
      </c>
      <c r="M1011" t="s">
        <v>874</v>
      </c>
      <c r="N1011" t="s">
        <v>875</v>
      </c>
      <c r="O1011" t="s">
        <v>876</v>
      </c>
      <c r="P1011" t="s">
        <v>877</v>
      </c>
      <c r="Q1011" s="7">
        <v>1000000</v>
      </c>
    </row>
    <row r="1012" spans="1:17">
      <c r="A1012" t="s">
        <v>1907</v>
      </c>
      <c r="B1012" s="6">
        <v>45777</v>
      </c>
      <c r="C1012" t="s">
        <v>376</v>
      </c>
      <c r="D1012" t="s">
        <v>799</v>
      </c>
      <c r="E1012">
        <v>1</v>
      </c>
      <c r="F1012" s="7">
        <v>35000</v>
      </c>
      <c r="G1012" s="7">
        <v>35000</v>
      </c>
      <c r="H1012" t="s">
        <v>872</v>
      </c>
      <c r="I1012" s="7">
        <v>0</v>
      </c>
      <c r="J1012" s="7">
        <v>15000</v>
      </c>
      <c r="K1012" s="7">
        <v>50000</v>
      </c>
      <c r="L1012" t="s">
        <v>889</v>
      </c>
      <c r="M1012" t="s">
        <v>874</v>
      </c>
      <c r="N1012" t="s">
        <v>875</v>
      </c>
      <c r="O1012" t="s">
        <v>891</v>
      </c>
      <c r="P1012" t="s">
        <v>877</v>
      </c>
      <c r="Q1012" s="7">
        <v>35000</v>
      </c>
    </row>
    <row r="1013" spans="1:17">
      <c r="A1013" t="s">
        <v>1908</v>
      </c>
      <c r="B1013" s="6">
        <v>45821</v>
      </c>
      <c r="C1013" t="s">
        <v>516</v>
      </c>
      <c r="D1013" t="s">
        <v>759</v>
      </c>
      <c r="E1013">
        <v>1</v>
      </c>
      <c r="F1013" s="7">
        <v>300000</v>
      </c>
      <c r="G1013" s="7">
        <v>300000</v>
      </c>
      <c r="H1013" t="s">
        <v>872</v>
      </c>
      <c r="I1013" s="7">
        <v>0</v>
      </c>
      <c r="J1013" s="7">
        <v>30000</v>
      </c>
      <c r="K1013" s="7">
        <v>330000</v>
      </c>
      <c r="L1013" t="s">
        <v>880</v>
      </c>
      <c r="M1013" t="s">
        <v>903</v>
      </c>
      <c r="N1013" t="s">
        <v>905</v>
      </c>
      <c r="O1013" t="s">
        <v>915</v>
      </c>
      <c r="P1013" t="s">
        <v>892</v>
      </c>
      <c r="Q1013" s="7">
        <v>300000</v>
      </c>
    </row>
    <row r="1014" spans="1:17">
      <c r="A1014" t="s">
        <v>1909</v>
      </c>
      <c r="B1014" s="6">
        <v>45831</v>
      </c>
      <c r="C1014" t="s">
        <v>708</v>
      </c>
      <c r="D1014" t="s">
        <v>771</v>
      </c>
      <c r="E1014">
        <v>3</v>
      </c>
      <c r="F1014" s="7">
        <v>500000</v>
      </c>
      <c r="G1014" s="7">
        <v>1500000</v>
      </c>
      <c r="H1014" t="s">
        <v>872</v>
      </c>
      <c r="I1014" s="7">
        <v>0</v>
      </c>
      <c r="J1014" s="7">
        <v>20000</v>
      </c>
      <c r="K1014" s="7">
        <v>1520000</v>
      </c>
      <c r="L1014" t="s">
        <v>889</v>
      </c>
      <c r="M1014" t="s">
        <v>874</v>
      </c>
      <c r="N1014" t="s">
        <v>875</v>
      </c>
      <c r="O1014" t="s">
        <v>915</v>
      </c>
      <c r="P1014" t="s">
        <v>877</v>
      </c>
      <c r="Q1014" s="7">
        <v>1500000</v>
      </c>
    </row>
    <row r="1015" spans="1:17">
      <c r="A1015" t="s">
        <v>1910</v>
      </c>
      <c r="B1015" s="6">
        <v>45714</v>
      </c>
      <c r="C1015" t="s">
        <v>416</v>
      </c>
      <c r="D1015" t="s">
        <v>769</v>
      </c>
      <c r="E1015">
        <v>1</v>
      </c>
      <c r="F1015" s="7">
        <v>100000</v>
      </c>
      <c r="G1015" s="7">
        <v>100000</v>
      </c>
      <c r="H1015" t="s">
        <v>886</v>
      </c>
      <c r="I1015" s="7">
        <v>10000</v>
      </c>
      <c r="J1015" s="7">
        <v>30000</v>
      </c>
      <c r="K1015" s="7">
        <v>120000</v>
      </c>
      <c r="L1015" t="s">
        <v>884</v>
      </c>
      <c r="M1015" t="s">
        <v>901</v>
      </c>
      <c r="N1015" t="s">
        <v>875</v>
      </c>
      <c r="O1015" t="s">
        <v>887</v>
      </c>
      <c r="P1015" t="s">
        <v>877</v>
      </c>
      <c r="Q1015" s="7">
        <v>90000</v>
      </c>
    </row>
    <row r="1016" spans="1:17">
      <c r="A1016" t="s">
        <v>1911</v>
      </c>
      <c r="B1016" s="6">
        <v>45679</v>
      </c>
      <c r="C1016" t="s">
        <v>660</v>
      </c>
      <c r="D1016" t="s">
        <v>793</v>
      </c>
      <c r="E1016">
        <v>2</v>
      </c>
      <c r="F1016" s="7">
        <v>500000</v>
      </c>
      <c r="G1016" s="7">
        <v>1000000</v>
      </c>
      <c r="H1016" t="s">
        <v>886</v>
      </c>
      <c r="I1016" s="7">
        <v>100000</v>
      </c>
      <c r="J1016" s="7">
        <v>20000</v>
      </c>
      <c r="K1016" s="7">
        <v>920000</v>
      </c>
      <c r="L1016" t="s">
        <v>889</v>
      </c>
      <c r="M1016" t="s">
        <v>881</v>
      </c>
      <c r="N1016" t="s">
        <v>875</v>
      </c>
      <c r="O1016" t="s">
        <v>908</v>
      </c>
      <c r="P1016" t="s">
        <v>877</v>
      </c>
      <c r="Q1016" s="7">
        <v>900000</v>
      </c>
    </row>
    <row r="1017" spans="1:17">
      <c r="A1017" t="s">
        <v>1912</v>
      </c>
      <c r="B1017" s="6">
        <v>45830</v>
      </c>
      <c r="C1017" t="s">
        <v>300</v>
      </c>
      <c r="D1017" t="s">
        <v>755</v>
      </c>
      <c r="E1017">
        <v>1</v>
      </c>
      <c r="F1017" s="7">
        <v>50000</v>
      </c>
      <c r="G1017" s="7">
        <v>50000</v>
      </c>
      <c r="H1017" t="s">
        <v>872</v>
      </c>
      <c r="I1017" s="7">
        <v>0</v>
      </c>
      <c r="J1017" s="7">
        <v>20000</v>
      </c>
      <c r="K1017" s="7">
        <v>70000</v>
      </c>
      <c r="L1017" t="s">
        <v>884</v>
      </c>
      <c r="M1017" t="s">
        <v>874</v>
      </c>
      <c r="N1017" t="s">
        <v>875</v>
      </c>
      <c r="O1017" t="s">
        <v>915</v>
      </c>
      <c r="P1017" t="s">
        <v>877</v>
      </c>
      <c r="Q1017" s="7">
        <v>50000</v>
      </c>
    </row>
    <row r="1018" spans="1:17">
      <c r="A1018" t="s">
        <v>1913</v>
      </c>
      <c r="B1018" s="6">
        <v>45703</v>
      </c>
      <c r="C1018" t="s">
        <v>190</v>
      </c>
      <c r="D1018" t="s">
        <v>761</v>
      </c>
      <c r="E1018">
        <v>2</v>
      </c>
      <c r="F1018" s="7">
        <v>75000</v>
      </c>
      <c r="G1018" s="7">
        <v>150000</v>
      </c>
      <c r="H1018" t="s">
        <v>872</v>
      </c>
      <c r="I1018" s="7">
        <v>0</v>
      </c>
      <c r="J1018" s="7">
        <v>25000</v>
      </c>
      <c r="K1018" s="7">
        <v>175000</v>
      </c>
      <c r="L1018" t="s">
        <v>884</v>
      </c>
      <c r="M1018" t="s">
        <v>901</v>
      </c>
      <c r="N1018" t="s">
        <v>875</v>
      </c>
      <c r="O1018" t="s">
        <v>887</v>
      </c>
      <c r="P1018" t="s">
        <v>877</v>
      </c>
      <c r="Q1018" s="7">
        <v>150000</v>
      </c>
    </row>
    <row r="1019" spans="1:17">
      <c r="A1019" t="s">
        <v>1914</v>
      </c>
      <c r="B1019" s="6">
        <v>45660</v>
      </c>
      <c r="C1019" t="s">
        <v>712</v>
      </c>
      <c r="D1019" t="s">
        <v>839</v>
      </c>
      <c r="E1019">
        <v>1</v>
      </c>
      <c r="F1019" s="7">
        <v>200000</v>
      </c>
      <c r="G1019" s="7">
        <v>200000</v>
      </c>
      <c r="H1019" t="s">
        <v>895</v>
      </c>
      <c r="I1019" s="7">
        <v>30000</v>
      </c>
      <c r="J1019" s="7">
        <v>10000</v>
      </c>
      <c r="K1019" s="7">
        <v>180000</v>
      </c>
      <c r="L1019" t="s">
        <v>880</v>
      </c>
      <c r="M1019" t="s">
        <v>881</v>
      </c>
      <c r="N1019" t="s">
        <v>875</v>
      </c>
      <c r="O1019" t="s">
        <v>908</v>
      </c>
      <c r="P1019" t="s">
        <v>877</v>
      </c>
      <c r="Q1019" s="7">
        <v>170000</v>
      </c>
    </row>
    <row r="1020" spans="1:17">
      <c r="A1020" t="s">
        <v>1915</v>
      </c>
      <c r="B1020" s="6">
        <v>45801</v>
      </c>
      <c r="C1020" t="s">
        <v>65</v>
      </c>
      <c r="D1020" t="s">
        <v>741</v>
      </c>
      <c r="E1020">
        <v>1</v>
      </c>
      <c r="F1020" s="7">
        <v>75000</v>
      </c>
      <c r="G1020" s="7">
        <v>75000</v>
      </c>
      <c r="H1020" t="s">
        <v>872</v>
      </c>
      <c r="I1020" s="7">
        <v>0</v>
      </c>
      <c r="J1020" s="7">
        <v>25000</v>
      </c>
      <c r="K1020" s="7">
        <v>100000</v>
      </c>
      <c r="L1020" t="s">
        <v>884</v>
      </c>
      <c r="M1020" t="s">
        <v>901</v>
      </c>
      <c r="N1020" t="s">
        <v>875</v>
      </c>
      <c r="O1020" t="s">
        <v>896</v>
      </c>
      <c r="P1020" t="s">
        <v>877</v>
      </c>
      <c r="Q1020" s="7">
        <v>75000</v>
      </c>
    </row>
    <row r="1021" spans="1:17">
      <c r="A1021" t="s">
        <v>1916</v>
      </c>
      <c r="B1021" s="6">
        <v>45749</v>
      </c>
      <c r="C1021" t="s">
        <v>590</v>
      </c>
      <c r="D1021" t="s">
        <v>771</v>
      </c>
      <c r="E1021">
        <v>2</v>
      </c>
      <c r="F1021" s="7">
        <v>500000</v>
      </c>
      <c r="G1021" s="7">
        <v>1000000</v>
      </c>
      <c r="H1021" t="s">
        <v>872</v>
      </c>
      <c r="I1021" s="7">
        <v>0</v>
      </c>
      <c r="J1021" s="7">
        <v>25000</v>
      </c>
      <c r="K1021" s="7">
        <v>1025000</v>
      </c>
      <c r="L1021" t="s">
        <v>889</v>
      </c>
      <c r="M1021" t="s">
        <v>881</v>
      </c>
      <c r="N1021" t="s">
        <v>905</v>
      </c>
      <c r="O1021" t="s">
        <v>891</v>
      </c>
      <c r="P1021" t="s">
        <v>892</v>
      </c>
      <c r="Q1021" s="7">
        <v>1000000</v>
      </c>
    </row>
    <row r="1022" spans="1:17">
      <c r="A1022" t="s">
        <v>1917</v>
      </c>
      <c r="B1022" s="6">
        <v>45803</v>
      </c>
      <c r="C1022" t="s">
        <v>468</v>
      </c>
      <c r="D1022" t="s">
        <v>785</v>
      </c>
      <c r="E1022">
        <v>4</v>
      </c>
      <c r="F1022" s="7">
        <v>100000</v>
      </c>
      <c r="G1022" s="7">
        <v>400000</v>
      </c>
      <c r="H1022" t="s">
        <v>895</v>
      </c>
      <c r="I1022" s="7">
        <v>60000</v>
      </c>
      <c r="J1022" s="7">
        <v>20000</v>
      </c>
      <c r="K1022" s="7">
        <v>360000</v>
      </c>
      <c r="L1022" t="s">
        <v>884</v>
      </c>
      <c r="M1022" t="s">
        <v>901</v>
      </c>
      <c r="N1022" t="s">
        <v>875</v>
      </c>
      <c r="O1022" t="s">
        <v>896</v>
      </c>
      <c r="P1022" t="s">
        <v>877</v>
      </c>
      <c r="Q1022" s="7">
        <v>340000</v>
      </c>
    </row>
    <row r="1023" spans="1:17">
      <c r="A1023" t="s">
        <v>1918</v>
      </c>
      <c r="B1023" s="6">
        <v>45764</v>
      </c>
      <c r="C1023" t="s">
        <v>400</v>
      </c>
      <c r="D1023" t="s">
        <v>799</v>
      </c>
      <c r="E1023">
        <v>1</v>
      </c>
      <c r="F1023" s="7">
        <v>35000</v>
      </c>
      <c r="G1023" s="7">
        <v>35000</v>
      </c>
      <c r="H1023" t="s">
        <v>886</v>
      </c>
      <c r="I1023" s="7">
        <v>3500</v>
      </c>
      <c r="J1023" s="7">
        <v>20000</v>
      </c>
      <c r="K1023" s="7">
        <v>51500</v>
      </c>
      <c r="L1023" t="s">
        <v>884</v>
      </c>
      <c r="M1023" t="s">
        <v>903</v>
      </c>
      <c r="N1023" t="s">
        <v>875</v>
      </c>
      <c r="O1023" t="s">
        <v>891</v>
      </c>
      <c r="P1023" t="s">
        <v>877</v>
      </c>
      <c r="Q1023" s="7">
        <v>31500</v>
      </c>
    </row>
    <row r="1024" spans="1:17">
      <c r="A1024" t="s">
        <v>1919</v>
      </c>
      <c r="B1024" s="6">
        <v>45751</v>
      </c>
      <c r="C1024" t="s">
        <v>170</v>
      </c>
      <c r="D1024" t="s">
        <v>805</v>
      </c>
      <c r="E1024">
        <v>1</v>
      </c>
      <c r="F1024" s="7">
        <v>200000</v>
      </c>
      <c r="G1024" s="7">
        <v>200000</v>
      </c>
      <c r="H1024" t="s">
        <v>872</v>
      </c>
      <c r="I1024" s="7">
        <v>0</v>
      </c>
      <c r="J1024" s="7">
        <v>25000</v>
      </c>
      <c r="K1024" s="7">
        <v>225000</v>
      </c>
      <c r="L1024" t="s">
        <v>884</v>
      </c>
      <c r="M1024" t="s">
        <v>901</v>
      </c>
      <c r="N1024" t="s">
        <v>875</v>
      </c>
      <c r="O1024" t="s">
        <v>891</v>
      </c>
      <c r="P1024" t="s">
        <v>877</v>
      </c>
      <c r="Q1024" s="7">
        <v>200000</v>
      </c>
    </row>
    <row r="1025" spans="1:17">
      <c r="A1025" t="s">
        <v>1920</v>
      </c>
      <c r="B1025" s="6">
        <v>45771</v>
      </c>
      <c r="C1025" t="s">
        <v>464</v>
      </c>
      <c r="D1025" t="s">
        <v>737</v>
      </c>
      <c r="E1025">
        <v>3</v>
      </c>
      <c r="F1025" s="7">
        <v>300000</v>
      </c>
      <c r="G1025" s="7">
        <v>900000</v>
      </c>
      <c r="H1025" t="s">
        <v>872</v>
      </c>
      <c r="I1025" s="7">
        <v>0</v>
      </c>
      <c r="J1025" s="7">
        <v>10000</v>
      </c>
      <c r="K1025" s="7">
        <v>910000</v>
      </c>
      <c r="L1025" t="s">
        <v>889</v>
      </c>
      <c r="M1025" t="s">
        <v>901</v>
      </c>
      <c r="N1025" t="s">
        <v>905</v>
      </c>
      <c r="O1025" t="s">
        <v>891</v>
      </c>
      <c r="P1025" t="s">
        <v>892</v>
      </c>
      <c r="Q1025" s="7">
        <v>900000</v>
      </c>
    </row>
    <row r="1026" spans="1:17">
      <c r="A1026" t="s">
        <v>1921</v>
      </c>
      <c r="B1026" s="6">
        <v>45783</v>
      </c>
      <c r="C1026" t="s">
        <v>430</v>
      </c>
      <c r="D1026" t="s">
        <v>817</v>
      </c>
      <c r="E1026">
        <v>3</v>
      </c>
      <c r="F1026" s="7">
        <v>75000</v>
      </c>
      <c r="G1026" s="7">
        <v>225000</v>
      </c>
      <c r="H1026" t="s">
        <v>886</v>
      </c>
      <c r="I1026" s="7">
        <v>22500</v>
      </c>
      <c r="J1026" s="7">
        <v>30000</v>
      </c>
      <c r="K1026" s="7">
        <v>232500</v>
      </c>
      <c r="L1026" t="s">
        <v>873</v>
      </c>
      <c r="M1026" t="s">
        <v>881</v>
      </c>
      <c r="N1026" t="s">
        <v>875</v>
      </c>
      <c r="O1026" t="s">
        <v>896</v>
      </c>
      <c r="P1026" t="s">
        <v>877</v>
      </c>
      <c r="Q1026" s="7">
        <v>202500</v>
      </c>
    </row>
    <row r="1027" spans="1:17">
      <c r="A1027" t="s">
        <v>1922</v>
      </c>
      <c r="B1027" s="6">
        <v>45785</v>
      </c>
      <c r="C1027" t="s">
        <v>530</v>
      </c>
      <c r="D1027" t="s">
        <v>837</v>
      </c>
      <c r="E1027">
        <v>3</v>
      </c>
      <c r="F1027" s="7">
        <v>300000</v>
      </c>
      <c r="G1027" s="7">
        <v>900000</v>
      </c>
      <c r="H1027" t="s">
        <v>872</v>
      </c>
      <c r="I1027" s="7">
        <v>0</v>
      </c>
      <c r="J1027" s="7">
        <v>15000</v>
      </c>
      <c r="K1027" s="7">
        <v>915000</v>
      </c>
      <c r="L1027" t="s">
        <v>889</v>
      </c>
      <c r="M1027" t="s">
        <v>874</v>
      </c>
      <c r="N1027" t="s">
        <v>875</v>
      </c>
      <c r="O1027" t="s">
        <v>896</v>
      </c>
      <c r="P1027" t="s">
        <v>877</v>
      </c>
      <c r="Q1027" s="7">
        <v>900000</v>
      </c>
    </row>
    <row r="1028" spans="1:17">
      <c r="A1028" t="s">
        <v>1923</v>
      </c>
      <c r="B1028" s="6">
        <v>45792</v>
      </c>
      <c r="C1028" t="s">
        <v>560</v>
      </c>
      <c r="D1028" t="s">
        <v>855</v>
      </c>
      <c r="E1028">
        <v>1</v>
      </c>
      <c r="F1028" s="7">
        <v>150000</v>
      </c>
      <c r="G1028" s="7">
        <v>150000</v>
      </c>
      <c r="H1028" t="s">
        <v>872</v>
      </c>
      <c r="I1028" s="7">
        <v>0</v>
      </c>
      <c r="J1028" s="7">
        <v>10000</v>
      </c>
      <c r="K1028" s="7">
        <v>160000</v>
      </c>
      <c r="L1028" t="s">
        <v>884</v>
      </c>
      <c r="M1028" t="s">
        <v>874</v>
      </c>
      <c r="N1028" t="s">
        <v>875</v>
      </c>
      <c r="O1028" t="s">
        <v>896</v>
      </c>
      <c r="P1028" t="s">
        <v>877</v>
      </c>
      <c r="Q1028" s="7">
        <v>150000</v>
      </c>
    </row>
    <row r="1029" spans="1:17">
      <c r="A1029" t="s">
        <v>1924</v>
      </c>
      <c r="B1029" s="6">
        <v>45764</v>
      </c>
      <c r="C1029" t="s">
        <v>464</v>
      </c>
      <c r="D1029" t="s">
        <v>767</v>
      </c>
      <c r="E1029">
        <v>1</v>
      </c>
      <c r="F1029" s="7">
        <v>150000</v>
      </c>
      <c r="G1029" s="7">
        <v>150000</v>
      </c>
      <c r="H1029" t="s">
        <v>872</v>
      </c>
      <c r="I1029" s="7">
        <v>0</v>
      </c>
      <c r="J1029" s="7">
        <v>25000</v>
      </c>
      <c r="K1029" s="7">
        <v>175000</v>
      </c>
      <c r="L1029" t="s">
        <v>873</v>
      </c>
      <c r="M1029" t="s">
        <v>903</v>
      </c>
      <c r="N1029" t="s">
        <v>875</v>
      </c>
      <c r="O1029" t="s">
        <v>891</v>
      </c>
      <c r="P1029" t="s">
        <v>877</v>
      </c>
      <c r="Q1029" s="7">
        <v>150000</v>
      </c>
    </row>
    <row r="1030" spans="1:17">
      <c r="A1030" t="s">
        <v>1925</v>
      </c>
      <c r="B1030" s="6">
        <v>45771</v>
      </c>
      <c r="C1030" t="s">
        <v>310</v>
      </c>
      <c r="D1030" t="s">
        <v>737</v>
      </c>
      <c r="E1030">
        <v>4</v>
      </c>
      <c r="F1030" s="7">
        <v>300000</v>
      </c>
      <c r="G1030" s="7">
        <v>1200000</v>
      </c>
      <c r="H1030" t="s">
        <v>872</v>
      </c>
      <c r="I1030" s="7">
        <v>0</v>
      </c>
      <c r="J1030" s="7">
        <v>10000</v>
      </c>
      <c r="K1030" s="7">
        <v>1210000</v>
      </c>
      <c r="L1030" t="s">
        <v>884</v>
      </c>
      <c r="M1030" t="s">
        <v>874</v>
      </c>
      <c r="N1030" t="s">
        <v>875</v>
      </c>
      <c r="O1030" t="s">
        <v>891</v>
      </c>
      <c r="P1030" t="s">
        <v>877</v>
      </c>
      <c r="Q1030" s="7">
        <v>1200000</v>
      </c>
    </row>
    <row r="1031" spans="1:17">
      <c r="A1031" t="s">
        <v>1926</v>
      </c>
      <c r="B1031" s="6">
        <v>45697</v>
      </c>
      <c r="C1031" t="s">
        <v>13</v>
      </c>
      <c r="D1031" t="s">
        <v>769</v>
      </c>
      <c r="E1031">
        <v>1</v>
      </c>
      <c r="F1031" s="7">
        <v>100000</v>
      </c>
      <c r="G1031" s="7">
        <v>100000</v>
      </c>
      <c r="H1031" t="s">
        <v>872</v>
      </c>
      <c r="I1031" s="7">
        <v>0</v>
      </c>
      <c r="J1031" s="7">
        <v>25000</v>
      </c>
      <c r="K1031" s="7">
        <v>125000</v>
      </c>
      <c r="L1031" t="s">
        <v>889</v>
      </c>
      <c r="M1031" t="s">
        <v>874</v>
      </c>
      <c r="N1031" t="s">
        <v>905</v>
      </c>
      <c r="O1031" t="s">
        <v>887</v>
      </c>
      <c r="P1031" t="s">
        <v>892</v>
      </c>
      <c r="Q1031" s="7">
        <v>100000</v>
      </c>
    </row>
    <row r="1032" spans="1:17">
      <c r="A1032" t="s">
        <v>1927</v>
      </c>
      <c r="B1032" s="6">
        <v>45791</v>
      </c>
      <c r="C1032" t="s">
        <v>350</v>
      </c>
      <c r="D1032" t="s">
        <v>787</v>
      </c>
      <c r="E1032">
        <v>1</v>
      </c>
      <c r="F1032" s="7">
        <v>200000</v>
      </c>
      <c r="G1032" s="7">
        <v>200000</v>
      </c>
      <c r="H1032" t="s">
        <v>872</v>
      </c>
      <c r="I1032" s="7">
        <v>0</v>
      </c>
      <c r="J1032" s="7">
        <v>20000</v>
      </c>
      <c r="K1032" s="7">
        <v>220000</v>
      </c>
      <c r="L1032" t="s">
        <v>884</v>
      </c>
      <c r="M1032" t="s">
        <v>881</v>
      </c>
      <c r="N1032" t="s">
        <v>875</v>
      </c>
      <c r="O1032" t="s">
        <v>896</v>
      </c>
      <c r="P1032" t="s">
        <v>877</v>
      </c>
      <c r="Q1032" s="7">
        <v>200000</v>
      </c>
    </row>
    <row r="1033" spans="1:17">
      <c r="A1033" t="s">
        <v>1928</v>
      </c>
      <c r="B1033" s="6">
        <v>45801</v>
      </c>
      <c r="C1033" t="s">
        <v>432</v>
      </c>
      <c r="D1033" t="s">
        <v>821</v>
      </c>
      <c r="E1033">
        <v>1</v>
      </c>
      <c r="F1033" s="7">
        <v>50000</v>
      </c>
      <c r="G1033" s="7">
        <v>50000</v>
      </c>
      <c r="H1033" t="s">
        <v>883</v>
      </c>
      <c r="I1033" s="7">
        <v>5000</v>
      </c>
      <c r="J1033" s="7">
        <v>20000</v>
      </c>
      <c r="K1033" s="7">
        <v>65000</v>
      </c>
      <c r="L1033" t="s">
        <v>884</v>
      </c>
      <c r="M1033" t="s">
        <v>874</v>
      </c>
      <c r="N1033" t="s">
        <v>875</v>
      </c>
      <c r="O1033" t="s">
        <v>896</v>
      </c>
      <c r="P1033" t="s">
        <v>877</v>
      </c>
      <c r="Q1033" s="7">
        <v>45000</v>
      </c>
    </row>
    <row r="1034" spans="1:17">
      <c r="A1034" t="s">
        <v>1929</v>
      </c>
      <c r="B1034" s="6">
        <v>45820</v>
      </c>
      <c r="C1034" t="s">
        <v>364</v>
      </c>
      <c r="D1034" t="s">
        <v>843</v>
      </c>
      <c r="E1034">
        <v>1</v>
      </c>
      <c r="F1034" s="7">
        <v>100000</v>
      </c>
      <c r="G1034" s="7">
        <v>100000</v>
      </c>
      <c r="H1034" t="s">
        <v>872</v>
      </c>
      <c r="I1034" s="7">
        <v>0</v>
      </c>
      <c r="J1034" s="7">
        <v>30000</v>
      </c>
      <c r="K1034" s="7">
        <v>130000</v>
      </c>
      <c r="L1034" t="s">
        <v>873</v>
      </c>
      <c r="M1034" t="s">
        <v>901</v>
      </c>
      <c r="N1034" t="s">
        <v>905</v>
      </c>
      <c r="O1034" t="s">
        <v>915</v>
      </c>
      <c r="P1034" t="s">
        <v>892</v>
      </c>
      <c r="Q1034" s="7">
        <v>100000</v>
      </c>
    </row>
    <row r="1035" spans="1:17">
      <c r="A1035" t="s">
        <v>1930</v>
      </c>
      <c r="B1035" s="6">
        <v>45709</v>
      </c>
      <c r="C1035" t="s">
        <v>344</v>
      </c>
      <c r="D1035" t="s">
        <v>819</v>
      </c>
      <c r="E1035">
        <v>1</v>
      </c>
      <c r="F1035" s="7">
        <v>300000</v>
      </c>
      <c r="G1035" s="7">
        <v>300000</v>
      </c>
      <c r="H1035" t="s">
        <v>886</v>
      </c>
      <c r="I1035" s="7">
        <v>30000</v>
      </c>
      <c r="J1035" s="7">
        <v>10000</v>
      </c>
      <c r="K1035" s="7">
        <v>280000</v>
      </c>
      <c r="L1035" t="s">
        <v>884</v>
      </c>
      <c r="M1035" t="s">
        <v>901</v>
      </c>
      <c r="N1035" t="s">
        <v>875</v>
      </c>
      <c r="O1035" t="s">
        <v>887</v>
      </c>
      <c r="P1035" t="s">
        <v>877</v>
      </c>
      <c r="Q1035" s="7">
        <v>270000</v>
      </c>
    </row>
    <row r="1036" spans="1:17">
      <c r="A1036" t="s">
        <v>1931</v>
      </c>
      <c r="B1036" s="6">
        <v>45750</v>
      </c>
      <c r="C1036" t="s">
        <v>194</v>
      </c>
      <c r="D1036" t="s">
        <v>767</v>
      </c>
      <c r="E1036">
        <v>1</v>
      </c>
      <c r="F1036" s="7">
        <v>150000</v>
      </c>
      <c r="G1036" s="7">
        <v>150000</v>
      </c>
      <c r="H1036" t="s">
        <v>883</v>
      </c>
      <c r="I1036" s="7">
        <v>15000</v>
      </c>
      <c r="J1036" s="7">
        <v>20000</v>
      </c>
      <c r="K1036" s="7">
        <v>155000</v>
      </c>
      <c r="L1036" t="s">
        <v>889</v>
      </c>
      <c r="M1036" t="s">
        <v>874</v>
      </c>
      <c r="N1036" t="s">
        <v>905</v>
      </c>
      <c r="O1036" t="s">
        <v>891</v>
      </c>
      <c r="P1036" t="s">
        <v>892</v>
      </c>
      <c r="Q1036" s="7">
        <v>135000</v>
      </c>
    </row>
    <row r="1037" spans="1:17">
      <c r="A1037" t="s">
        <v>1932</v>
      </c>
      <c r="B1037" s="6">
        <v>45672</v>
      </c>
      <c r="C1037" t="s">
        <v>532</v>
      </c>
      <c r="D1037" t="s">
        <v>749</v>
      </c>
      <c r="E1037">
        <v>1</v>
      </c>
      <c r="F1037" s="7">
        <v>150000</v>
      </c>
      <c r="G1037" s="7">
        <v>150000</v>
      </c>
      <c r="H1037" t="s">
        <v>872</v>
      </c>
      <c r="I1037" s="7">
        <v>0</v>
      </c>
      <c r="J1037" s="7">
        <v>20000</v>
      </c>
      <c r="K1037" s="7">
        <v>170000</v>
      </c>
      <c r="L1037" t="s">
        <v>873</v>
      </c>
      <c r="M1037" t="s">
        <v>903</v>
      </c>
      <c r="N1037" t="s">
        <v>875</v>
      </c>
      <c r="O1037" t="s">
        <v>908</v>
      </c>
      <c r="P1037" t="s">
        <v>877</v>
      </c>
      <c r="Q1037" s="7">
        <v>150000</v>
      </c>
    </row>
    <row r="1038" spans="1:17">
      <c r="A1038" t="s">
        <v>1933</v>
      </c>
      <c r="B1038" s="6">
        <v>45750</v>
      </c>
      <c r="C1038" t="s">
        <v>506</v>
      </c>
      <c r="D1038" t="s">
        <v>811</v>
      </c>
      <c r="E1038">
        <v>1</v>
      </c>
      <c r="F1038" s="7">
        <v>35000</v>
      </c>
      <c r="G1038" s="7">
        <v>35000</v>
      </c>
      <c r="H1038" t="s">
        <v>872</v>
      </c>
      <c r="I1038" s="7">
        <v>0</v>
      </c>
      <c r="J1038" s="7">
        <v>20000</v>
      </c>
      <c r="K1038" s="7">
        <v>55000</v>
      </c>
      <c r="L1038" t="s">
        <v>880</v>
      </c>
      <c r="M1038" t="s">
        <v>903</v>
      </c>
      <c r="N1038" t="s">
        <v>875</v>
      </c>
      <c r="O1038" t="s">
        <v>891</v>
      </c>
      <c r="P1038" t="s">
        <v>877</v>
      </c>
      <c r="Q1038" s="7">
        <v>35000</v>
      </c>
    </row>
    <row r="1039" spans="1:17">
      <c r="A1039" t="s">
        <v>1934</v>
      </c>
      <c r="B1039" s="6">
        <v>45738</v>
      </c>
      <c r="C1039" t="s">
        <v>89</v>
      </c>
      <c r="D1039" t="s">
        <v>733</v>
      </c>
      <c r="E1039">
        <v>1</v>
      </c>
      <c r="F1039" s="7">
        <v>150000</v>
      </c>
      <c r="G1039" s="7">
        <v>150000</v>
      </c>
      <c r="H1039" t="s">
        <v>872</v>
      </c>
      <c r="I1039" s="7">
        <v>0</v>
      </c>
      <c r="J1039" s="7">
        <v>25000</v>
      </c>
      <c r="K1039" s="7">
        <v>175000</v>
      </c>
      <c r="L1039" t="s">
        <v>873</v>
      </c>
      <c r="M1039" t="s">
        <v>874</v>
      </c>
      <c r="N1039" t="s">
        <v>875</v>
      </c>
      <c r="O1039" t="s">
        <v>876</v>
      </c>
      <c r="P1039" t="s">
        <v>877</v>
      </c>
      <c r="Q1039" s="7">
        <v>150000</v>
      </c>
    </row>
    <row r="1040" spans="1:17">
      <c r="A1040" t="s">
        <v>1935</v>
      </c>
      <c r="B1040" s="6">
        <v>45766</v>
      </c>
      <c r="C1040" t="s">
        <v>176</v>
      </c>
      <c r="D1040" t="s">
        <v>745</v>
      </c>
      <c r="E1040">
        <v>1</v>
      </c>
      <c r="F1040" s="7">
        <v>500000</v>
      </c>
      <c r="G1040" s="7">
        <v>500000</v>
      </c>
      <c r="H1040" t="s">
        <v>879</v>
      </c>
      <c r="I1040" s="7">
        <v>100000</v>
      </c>
      <c r="J1040" s="7">
        <v>15000</v>
      </c>
      <c r="K1040" s="7">
        <v>415000</v>
      </c>
      <c r="L1040" t="s">
        <v>884</v>
      </c>
      <c r="M1040" t="s">
        <v>901</v>
      </c>
      <c r="N1040" t="s">
        <v>875</v>
      </c>
      <c r="O1040" t="s">
        <v>891</v>
      </c>
      <c r="P1040" t="s">
        <v>877</v>
      </c>
      <c r="Q1040" s="7">
        <v>400000</v>
      </c>
    </row>
    <row r="1041" spans="1:17">
      <c r="A1041" t="s">
        <v>1936</v>
      </c>
      <c r="B1041" s="6">
        <v>45762</v>
      </c>
      <c r="C1041" t="s">
        <v>490</v>
      </c>
      <c r="D1041" t="s">
        <v>825</v>
      </c>
      <c r="E1041">
        <v>3</v>
      </c>
      <c r="F1041" s="7">
        <v>100000</v>
      </c>
      <c r="G1041" s="7">
        <v>300000</v>
      </c>
      <c r="H1041" t="s">
        <v>872</v>
      </c>
      <c r="I1041" s="7">
        <v>0</v>
      </c>
      <c r="J1041" s="7">
        <v>25000</v>
      </c>
      <c r="K1041" s="7">
        <v>325000</v>
      </c>
      <c r="L1041" t="s">
        <v>873</v>
      </c>
      <c r="M1041" t="s">
        <v>881</v>
      </c>
      <c r="N1041" t="s">
        <v>921</v>
      </c>
      <c r="O1041" t="s">
        <v>891</v>
      </c>
      <c r="P1041" t="s">
        <v>892</v>
      </c>
      <c r="Q1041" s="7">
        <v>300000</v>
      </c>
    </row>
    <row r="1042" spans="1:17">
      <c r="A1042" t="s">
        <v>1937</v>
      </c>
      <c r="B1042" s="6">
        <v>45804</v>
      </c>
      <c r="C1042" t="s">
        <v>326</v>
      </c>
      <c r="D1042" t="s">
        <v>765</v>
      </c>
      <c r="E1042">
        <v>4</v>
      </c>
      <c r="F1042" s="7">
        <v>500000</v>
      </c>
      <c r="G1042" s="7">
        <v>2000000</v>
      </c>
      <c r="H1042" t="s">
        <v>879</v>
      </c>
      <c r="I1042" s="7">
        <v>400000</v>
      </c>
      <c r="J1042" s="7">
        <v>25000</v>
      </c>
      <c r="K1042" s="7">
        <v>1625000</v>
      </c>
      <c r="L1042" t="s">
        <v>880</v>
      </c>
      <c r="M1042" t="s">
        <v>881</v>
      </c>
      <c r="N1042" t="s">
        <v>875</v>
      </c>
      <c r="O1042" t="s">
        <v>896</v>
      </c>
      <c r="P1042" t="s">
        <v>877</v>
      </c>
      <c r="Q1042" s="7">
        <v>1600000</v>
      </c>
    </row>
    <row r="1043" spans="1:17">
      <c r="A1043" t="s">
        <v>1938</v>
      </c>
      <c r="B1043" s="6">
        <v>45728</v>
      </c>
      <c r="C1043" t="s">
        <v>360</v>
      </c>
      <c r="D1043" t="s">
        <v>851</v>
      </c>
      <c r="E1043">
        <v>3</v>
      </c>
      <c r="F1043" s="7">
        <v>35000</v>
      </c>
      <c r="G1043" s="7">
        <v>105000</v>
      </c>
      <c r="H1043" t="s">
        <v>879</v>
      </c>
      <c r="I1043" s="7">
        <v>21000</v>
      </c>
      <c r="J1043" s="7">
        <v>30000</v>
      </c>
      <c r="K1043" s="7">
        <v>114000</v>
      </c>
      <c r="L1043" t="s">
        <v>884</v>
      </c>
      <c r="M1043" t="s">
        <v>874</v>
      </c>
      <c r="N1043" t="s">
        <v>905</v>
      </c>
      <c r="O1043" t="s">
        <v>876</v>
      </c>
      <c r="P1043" t="s">
        <v>892</v>
      </c>
      <c r="Q1043" s="7">
        <v>84000</v>
      </c>
    </row>
    <row r="1044" spans="1:17">
      <c r="A1044" t="s">
        <v>1939</v>
      </c>
      <c r="B1044" s="6">
        <v>45701</v>
      </c>
      <c r="C1044" t="s">
        <v>284</v>
      </c>
      <c r="D1044" t="s">
        <v>845</v>
      </c>
      <c r="E1044">
        <v>2</v>
      </c>
      <c r="F1044" s="7">
        <v>300000</v>
      </c>
      <c r="G1044" s="7">
        <v>600000</v>
      </c>
      <c r="H1044" t="s">
        <v>883</v>
      </c>
      <c r="I1044" s="7">
        <v>60000</v>
      </c>
      <c r="J1044" s="7">
        <v>20000</v>
      </c>
      <c r="K1044" s="7">
        <v>560000</v>
      </c>
      <c r="L1044" t="s">
        <v>873</v>
      </c>
      <c r="M1044" t="s">
        <v>881</v>
      </c>
      <c r="N1044" t="s">
        <v>890</v>
      </c>
      <c r="O1044" t="s">
        <v>887</v>
      </c>
      <c r="P1044" t="s">
        <v>892</v>
      </c>
      <c r="Q1044" s="7">
        <v>540000</v>
      </c>
    </row>
    <row r="1045" spans="1:17">
      <c r="A1045" t="s">
        <v>1940</v>
      </c>
      <c r="B1045" s="6">
        <v>45772</v>
      </c>
      <c r="C1045" t="s">
        <v>334</v>
      </c>
      <c r="D1045" t="s">
        <v>733</v>
      </c>
      <c r="E1045">
        <v>1</v>
      </c>
      <c r="F1045" s="7">
        <v>150000</v>
      </c>
      <c r="G1045" s="7">
        <v>150000</v>
      </c>
      <c r="H1045" t="s">
        <v>879</v>
      </c>
      <c r="I1045" s="7">
        <v>30000</v>
      </c>
      <c r="J1045" s="7">
        <v>30000</v>
      </c>
      <c r="K1045" s="7">
        <v>150000</v>
      </c>
      <c r="L1045" t="s">
        <v>880</v>
      </c>
      <c r="M1045" t="s">
        <v>901</v>
      </c>
      <c r="N1045" t="s">
        <v>875</v>
      </c>
      <c r="O1045" t="s">
        <v>891</v>
      </c>
      <c r="P1045" t="s">
        <v>877</v>
      </c>
      <c r="Q1045" s="7">
        <v>120000</v>
      </c>
    </row>
    <row r="1046" spans="1:17">
      <c r="A1046" t="s">
        <v>1941</v>
      </c>
      <c r="B1046" s="6">
        <v>45698</v>
      </c>
      <c r="C1046" t="s">
        <v>172</v>
      </c>
      <c r="D1046" t="s">
        <v>765</v>
      </c>
      <c r="E1046">
        <v>3</v>
      </c>
      <c r="F1046" s="7">
        <v>500000</v>
      </c>
      <c r="G1046" s="7">
        <v>1500000</v>
      </c>
      <c r="H1046" t="s">
        <v>872</v>
      </c>
      <c r="I1046" s="7">
        <v>0</v>
      </c>
      <c r="J1046" s="7">
        <v>25000</v>
      </c>
      <c r="K1046" s="7">
        <v>1525000</v>
      </c>
      <c r="L1046" t="s">
        <v>889</v>
      </c>
      <c r="M1046" t="s">
        <v>881</v>
      </c>
      <c r="N1046" t="s">
        <v>875</v>
      </c>
      <c r="O1046" t="s">
        <v>887</v>
      </c>
      <c r="P1046" t="s">
        <v>877</v>
      </c>
      <c r="Q1046" s="7">
        <v>1500000</v>
      </c>
    </row>
    <row r="1047" spans="1:17">
      <c r="A1047" t="s">
        <v>1942</v>
      </c>
      <c r="B1047" s="6">
        <v>45721</v>
      </c>
      <c r="C1047" t="s">
        <v>556</v>
      </c>
      <c r="D1047" t="s">
        <v>793</v>
      </c>
      <c r="E1047">
        <v>1</v>
      </c>
      <c r="F1047" s="7">
        <v>500000</v>
      </c>
      <c r="G1047" s="7">
        <v>500000</v>
      </c>
      <c r="H1047" t="s">
        <v>895</v>
      </c>
      <c r="I1047" s="7">
        <v>75000</v>
      </c>
      <c r="J1047" s="7">
        <v>30000</v>
      </c>
      <c r="K1047" s="7">
        <v>455000</v>
      </c>
      <c r="L1047" t="s">
        <v>873</v>
      </c>
      <c r="M1047" t="s">
        <v>881</v>
      </c>
      <c r="N1047" t="s">
        <v>875</v>
      </c>
      <c r="O1047" t="s">
        <v>876</v>
      </c>
      <c r="P1047" t="s">
        <v>877</v>
      </c>
      <c r="Q1047" s="7">
        <v>425000</v>
      </c>
    </row>
    <row r="1048" spans="1:17">
      <c r="A1048" t="s">
        <v>1943</v>
      </c>
      <c r="B1048" s="6">
        <v>45668</v>
      </c>
      <c r="C1048" t="s">
        <v>10</v>
      </c>
      <c r="D1048" t="s">
        <v>835</v>
      </c>
      <c r="E1048">
        <v>1</v>
      </c>
      <c r="F1048" s="7">
        <v>200000</v>
      </c>
      <c r="G1048" s="7">
        <v>200000</v>
      </c>
      <c r="H1048" t="s">
        <v>886</v>
      </c>
      <c r="I1048" s="7">
        <v>20000</v>
      </c>
      <c r="J1048" s="7">
        <v>10000</v>
      </c>
      <c r="K1048" s="7">
        <v>190000</v>
      </c>
      <c r="L1048" t="s">
        <v>873</v>
      </c>
      <c r="M1048" t="s">
        <v>881</v>
      </c>
      <c r="N1048" t="s">
        <v>921</v>
      </c>
      <c r="O1048" t="s">
        <v>908</v>
      </c>
      <c r="P1048" t="s">
        <v>892</v>
      </c>
      <c r="Q1048" s="7">
        <v>180000</v>
      </c>
    </row>
    <row r="1049" spans="1:17">
      <c r="A1049" t="s">
        <v>1944</v>
      </c>
      <c r="B1049" s="6">
        <v>45810</v>
      </c>
      <c r="C1049" t="s">
        <v>334</v>
      </c>
      <c r="D1049" t="s">
        <v>771</v>
      </c>
      <c r="E1049">
        <v>1</v>
      </c>
      <c r="F1049" s="7">
        <v>500000</v>
      </c>
      <c r="G1049" s="7">
        <v>500000</v>
      </c>
      <c r="H1049" t="s">
        <v>886</v>
      </c>
      <c r="I1049" s="7">
        <v>50000</v>
      </c>
      <c r="J1049" s="7">
        <v>25000</v>
      </c>
      <c r="K1049" s="7">
        <v>475000</v>
      </c>
      <c r="L1049" t="s">
        <v>880</v>
      </c>
      <c r="M1049" t="s">
        <v>874</v>
      </c>
      <c r="N1049" t="s">
        <v>875</v>
      </c>
      <c r="O1049" t="s">
        <v>915</v>
      </c>
      <c r="P1049" t="s">
        <v>877</v>
      </c>
      <c r="Q1049" s="7">
        <v>450000</v>
      </c>
    </row>
    <row r="1050" spans="1:17">
      <c r="A1050" t="s">
        <v>1945</v>
      </c>
      <c r="B1050" s="6">
        <v>45705</v>
      </c>
      <c r="C1050" t="s">
        <v>570</v>
      </c>
      <c r="D1050" t="s">
        <v>825</v>
      </c>
      <c r="E1050">
        <v>1</v>
      </c>
      <c r="F1050" s="7">
        <v>100000</v>
      </c>
      <c r="G1050" s="7">
        <v>100000</v>
      </c>
      <c r="H1050" t="s">
        <v>895</v>
      </c>
      <c r="I1050" s="7">
        <v>15000</v>
      </c>
      <c r="J1050" s="7">
        <v>10000</v>
      </c>
      <c r="K1050" s="7">
        <v>95000</v>
      </c>
      <c r="L1050" t="s">
        <v>889</v>
      </c>
      <c r="M1050" t="s">
        <v>901</v>
      </c>
      <c r="N1050" t="s">
        <v>890</v>
      </c>
      <c r="O1050" t="s">
        <v>887</v>
      </c>
      <c r="P1050" t="s">
        <v>892</v>
      </c>
      <c r="Q1050" s="7">
        <v>85000</v>
      </c>
    </row>
    <row r="1051" spans="1:17">
      <c r="A1051" t="s">
        <v>1946</v>
      </c>
      <c r="B1051" s="6">
        <v>45798</v>
      </c>
      <c r="C1051" t="s">
        <v>474</v>
      </c>
      <c r="D1051" t="s">
        <v>805</v>
      </c>
      <c r="E1051">
        <v>2</v>
      </c>
      <c r="F1051" s="7">
        <v>200000</v>
      </c>
      <c r="G1051" s="7">
        <v>400000</v>
      </c>
      <c r="H1051" t="s">
        <v>883</v>
      </c>
      <c r="I1051" s="7">
        <v>40000</v>
      </c>
      <c r="J1051" s="7">
        <v>15000</v>
      </c>
      <c r="K1051" s="7">
        <v>375000</v>
      </c>
      <c r="L1051" t="s">
        <v>873</v>
      </c>
      <c r="M1051" t="s">
        <v>903</v>
      </c>
      <c r="N1051" t="s">
        <v>875</v>
      </c>
      <c r="O1051" t="s">
        <v>896</v>
      </c>
      <c r="P1051" t="s">
        <v>877</v>
      </c>
      <c r="Q1051" s="7">
        <v>360000</v>
      </c>
    </row>
    <row r="1052" spans="1:17">
      <c r="A1052" t="s">
        <v>1947</v>
      </c>
      <c r="B1052" s="6">
        <v>45678</v>
      </c>
      <c r="C1052" t="s">
        <v>486</v>
      </c>
      <c r="D1052" t="s">
        <v>755</v>
      </c>
      <c r="E1052">
        <v>4</v>
      </c>
      <c r="F1052" s="7">
        <v>50000</v>
      </c>
      <c r="G1052" s="7">
        <v>200000</v>
      </c>
      <c r="H1052" t="s">
        <v>886</v>
      </c>
      <c r="I1052" s="7">
        <v>20000</v>
      </c>
      <c r="J1052" s="7">
        <v>20000</v>
      </c>
      <c r="K1052" s="7">
        <v>200000</v>
      </c>
      <c r="L1052" t="s">
        <v>880</v>
      </c>
      <c r="M1052" t="s">
        <v>901</v>
      </c>
      <c r="N1052" t="s">
        <v>905</v>
      </c>
      <c r="O1052" t="s">
        <v>908</v>
      </c>
      <c r="P1052" t="s">
        <v>892</v>
      </c>
      <c r="Q1052" s="7">
        <v>180000</v>
      </c>
    </row>
    <row r="1053" spans="1:17">
      <c r="A1053" t="s">
        <v>1948</v>
      </c>
      <c r="B1053" s="6">
        <v>45831</v>
      </c>
      <c r="C1053" t="s">
        <v>342</v>
      </c>
      <c r="D1053" t="s">
        <v>809</v>
      </c>
      <c r="E1053">
        <v>2</v>
      </c>
      <c r="F1053" s="7">
        <v>100000</v>
      </c>
      <c r="G1053" s="7">
        <v>200000</v>
      </c>
      <c r="H1053" t="s">
        <v>872</v>
      </c>
      <c r="I1053" s="7">
        <v>0</v>
      </c>
      <c r="J1053" s="7">
        <v>25000</v>
      </c>
      <c r="K1053" s="7">
        <v>225000</v>
      </c>
      <c r="L1053" t="s">
        <v>884</v>
      </c>
      <c r="M1053" t="s">
        <v>903</v>
      </c>
      <c r="N1053" t="s">
        <v>875</v>
      </c>
      <c r="O1053" t="s">
        <v>915</v>
      </c>
      <c r="P1053" t="s">
        <v>877</v>
      </c>
      <c r="Q1053" s="7">
        <v>200000</v>
      </c>
    </row>
    <row r="1054" spans="1:17">
      <c r="A1054" t="s">
        <v>1949</v>
      </c>
      <c r="B1054" s="6">
        <v>45678</v>
      </c>
      <c r="C1054" t="s">
        <v>182</v>
      </c>
      <c r="D1054" t="s">
        <v>783</v>
      </c>
      <c r="E1054">
        <v>4</v>
      </c>
      <c r="F1054" s="7">
        <v>500000</v>
      </c>
      <c r="G1054" s="7">
        <v>2000000</v>
      </c>
      <c r="H1054" t="s">
        <v>879</v>
      </c>
      <c r="I1054" s="7">
        <v>400000</v>
      </c>
      <c r="J1054" s="7">
        <v>15000</v>
      </c>
      <c r="K1054" s="7">
        <v>1615000</v>
      </c>
      <c r="L1054" t="s">
        <v>884</v>
      </c>
      <c r="M1054" t="s">
        <v>881</v>
      </c>
      <c r="N1054" t="s">
        <v>905</v>
      </c>
      <c r="O1054" t="s">
        <v>908</v>
      </c>
      <c r="P1054" t="s">
        <v>892</v>
      </c>
      <c r="Q1054" s="7">
        <v>1600000</v>
      </c>
    </row>
    <row r="1055" spans="1:17">
      <c r="A1055" t="s">
        <v>1950</v>
      </c>
      <c r="B1055" s="6">
        <v>45771</v>
      </c>
      <c r="C1055" t="s">
        <v>69</v>
      </c>
      <c r="D1055" t="s">
        <v>765</v>
      </c>
      <c r="E1055">
        <v>1</v>
      </c>
      <c r="F1055" s="7">
        <v>500000</v>
      </c>
      <c r="G1055" s="7">
        <v>500000</v>
      </c>
      <c r="H1055" t="s">
        <v>872</v>
      </c>
      <c r="I1055" s="7">
        <v>0</v>
      </c>
      <c r="J1055" s="7">
        <v>10000</v>
      </c>
      <c r="K1055" s="7">
        <v>510000</v>
      </c>
      <c r="L1055" t="s">
        <v>889</v>
      </c>
      <c r="M1055" t="s">
        <v>881</v>
      </c>
      <c r="N1055" t="s">
        <v>875</v>
      </c>
      <c r="O1055" t="s">
        <v>891</v>
      </c>
      <c r="P1055" t="s">
        <v>877</v>
      </c>
      <c r="Q1055" s="7">
        <v>500000</v>
      </c>
    </row>
    <row r="1056" spans="1:17">
      <c r="A1056" t="s">
        <v>1951</v>
      </c>
      <c r="B1056" s="6">
        <v>45733</v>
      </c>
      <c r="C1056" t="s">
        <v>516</v>
      </c>
      <c r="D1056" t="s">
        <v>773</v>
      </c>
      <c r="E1056">
        <v>1</v>
      </c>
      <c r="F1056" s="7">
        <v>500000</v>
      </c>
      <c r="G1056" s="7">
        <v>500000</v>
      </c>
      <c r="H1056" t="s">
        <v>883</v>
      </c>
      <c r="I1056" s="7">
        <v>50000</v>
      </c>
      <c r="J1056" s="7">
        <v>10000</v>
      </c>
      <c r="K1056" s="7">
        <v>460000</v>
      </c>
      <c r="L1056" t="s">
        <v>880</v>
      </c>
      <c r="M1056" t="s">
        <v>881</v>
      </c>
      <c r="N1056" t="s">
        <v>890</v>
      </c>
      <c r="O1056" t="s">
        <v>876</v>
      </c>
      <c r="P1056" t="s">
        <v>892</v>
      </c>
      <c r="Q1056" s="7">
        <v>450000</v>
      </c>
    </row>
    <row r="1057" spans="1:17">
      <c r="A1057" t="s">
        <v>1952</v>
      </c>
      <c r="B1057" s="6">
        <v>45836</v>
      </c>
      <c r="C1057" t="s">
        <v>670</v>
      </c>
      <c r="D1057" t="s">
        <v>751</v>
      </c>
      <c r="E1057">
        <v>2</v>
      </c>
      <c r="F1057" s="7">
        <v>150000</v>
      </c>
      <c r="G1057" s="7">
        <v>300000</v>
      </c>
      <c r="H1057" t="s">
        <v>886</v>
      </c>
      <c r="I1057" s="7">
        <v>30000</v>
      </c>
      <c r="J1057" s="7">
        <v>25000</v>
      </c>
      <c r="K1057" s="7">
        <v>295000</v>
      </c>
      <c r="L1057" t="s">
        <v>884</v>
      </c>
      <c r="M1057" t="s">
        <v>881</v>
      </c>
      <c r="N1057" t="s">
        <v>875</v>
      </c>
      <c r="O1057" t="s">
        <v>915</v>
      </c>
      <c r="P1057" t="s">
        <v>877</v>
      </c>
      <c r="Q1057" s="7">
        <v>270000</v>
      </c>
    </row>
    <row r="1058" spans="1:17">
      <c r="A1058" t="s">
        <v>1953</v>
      </c>
      <c r="B1058" s="6">
        <v>45661</v>
      </c>
      <c r="C1058" t="s">
        <v>270</v>
      </c>
      <c r="D1058" t="s">
        <v>829</v>
      </c>
      <c r="E1058">
        <v>1</v>
      </c>
      <c r="F1058" s="7">
        <v>500000</v>
      </c>
      <c r="G1058" s="7">
        <v>500000</v>
      </c>
      <c r="H1058" t="s">
        <v>886</v>
      </c>
      <c r="I1058" s="7">
        <v>50000</v>
      </c>
      <c r="J1058" s="7">
        <v>10000</v>
      </c>
      <c r="K1058" s="7">
        <v>460000</v>
      </c>
      <c r="L1058" t="s">
        <v>889</v>
      </c>
      <c r="M1058" t="s">
        <v>903</v>
      </c>
      <c r="N1058" t="s">
        <v>911</v>
      </c>
      <c r="O1058" t="s">
        <v>908</v>
      </c>
      <c r="P1058" t="s">
        <v>892</v>
      </c>
      <c r="Q1058" s="7">
        <v>450000</v>
      </c>
    </row>
    <row r="1059" spans="1:17">
      <c r="A1059" t="s">
        <v>1954</v>
      </c>
      <c r="B1059" s="6">
        <v>45673</v>
      </c>
      <c r="C1059" t="s">
        <v>308</v>
      </c>
      <c r="D1059" t="s">
        <v>775</v>
      </c>
      <c r="E1059">
        <v>1</v>
      </c>
      <c r="F1059" s="7">
        <v>75000</v>
      </c>
      <c r="G1059" s="7">
        <v>75000</v>
      </c>
      <c r="H1059" t="s">
        <v>895</v>
      </c>
      <c r="I1059" s="7">
        <v>11250</v>
      </c>
      <c r="J1059" s="7">
        <v>30000</v>
      </c>
      <c r="K1059" s="7">
        <v>93750</v>
      </c>
      <c r="L1059" t="s">
        <v>889</v>
      </c>
      <c r="M1059" t="s">
        <v>901</v>
      </c>
      <c r="N1059" t="s">
        <v>875</v>
      </c>
      <c r="O1059" t="s">
        <v>908</v>
      </c>
      <c r="P1059" t="s">
        <v>877</v>
      </c>
      <c r="Q1059" s="7">
        <v>63750</v>
      </c>
    </row>
    <row r="1060" spans="1:17">
      <c r="A1060" t="s">
        <v>1955</v>
      </c>
      <c r="B1060" s="6">
        <v>45720</v>
      </c>
      <c r="C1060" t="s">
        <v>192</v>
      </c>
      <c r="D1060" t="s">
        <v>817</v>
      </c>
      <c r="E1060">
        <v>3</v>
      </c>
      <c r="F1060" s="7">
        <v>75000</v>
      </c>
      <c r="G1060" s="7">
        <v>225000</v>
      </c>
      <c r="H1060" t="s">
        <v>872</v>
      </c>
      <c r="I1060" s="7">
        <v>0</v>
      </c>
      <c r="J1060" s="7">
        <v>30000</v>
      </c>
      <c r="K1060" s="7">
        <v>255000</v>
      </c>
      <c r="L1060" t="s">
        <v>873</v>
      </c>
      <c r="M1060" t="s">
        <v>903</v>
      </c>
      <c r="N1060" t="s">
        <v>875</v>
      </c>
      <c r="O1060" t="s">
        <v>876</v>
      </c>
      <c r="P1060" t="s">
        <v>877</v>
      </c>
      <c r="Q1060" s="7">
        <v>225000</v>
      </c>
    </row>
    <row r="1061" spans="1:17">
      <c r="A1061" t="s">
        <v>1956</v>
      </c>
      <c r="B1061" s="6">
        <v>45674</v>
      </c>
      <c r="C1061" t="s">
        <v>548</v>
      </c>
      <c r="D1061" t="s">
        <v>835</v>
      </c>
      <c r="E1061">
        <v>2</v>
      </c>
      <c r="F1061" s="7">
        <v>200000</v>
      </c>
      <c r="G1061" s="7">
        <v>400000</v>
      </c>
      <c r="H1061" t="s">
        <v>879</v>
      </c>
      <c r="I1061" s="7">
        <v>80000</v>
      </c>
      <c r="J1061" s="7">
        <v>15000</v>
      </c>
      <c r="K1061" s="7">
        <v>335000</v>
      </c>
      <c r="L1061" t="s">
        <v>884</v>
      </c>
      <c r="M1061" t="s">
        <v>881</v>
      </c>
      <c r="N1061" t="s">
        <v>911</v>
      </c>
      <c r="O1061" t="s">
        <v>908</v>
      </c>
      <c r="P1061" t="s">
        <v>892</v>
      </c>
      <c r="Q1061" s="7">
        <v>320000</v>
      </c>
    </row>
    <row r="1062" spans="1:17">
      <c r="A1062" t="s">
        <v>1957</v>
      </c>
      <c r="B1062" s="6">
        <v>45737</v>
      </c>
      <c r="C1062" t="s">
        <v>154</v>
      </c>
      <c r="D1062" t="s">
        <v>843</v>
      </c>
      <c r="E1062">
        <v>3</v>
      </c>
      <c r="F1062" s="7">
        <v>100000</v>
      </c>
      <c r="G1062" s="7">
        <v>300000</v>
      </c>
      <c r="H1062" t="s">
        <v>879</v>
      </c>
      <c r="I1062" s="7">
        <v>60000</v>
      </c>
      <c r="J1062" s="7">
        <v>20000</v>
      </c>
      <c r="K1062" s="7">
        <v>260000</v>
      </c>
      <c r="L1062" t="s">
        <v>889</v>
      </c>
      <c r="M1062" t="s">
        <v>901</v>
      </c>
      <c r="N1062" t="s">
        <v>875</v>
      </c>
      <c r="O1062" t="s">
        <v>876</v>
      </c>
      <c r="P1062" t="s">
        <v>877</v>
      </c>
      <c r="Q1062" s="7">
        <v>240000</v>
      </c>
    </row>
    <row r="1063" spans="1:17">
      <c r="A1063" t="s">
        <v>1958</v>
      </c>
      <c r="B1063" s="6">
        <v>45745</v>
      </c>
      <c r="C1063" t="s">
        <v>536</v>
      </c>
      <c r="D1063" t="s">
        <v>839</v>
      </c>
      <c r="E1063">
        <v>1</v>
      </c>
      <c r="F1063" s="7">
        <v>200000</v>
      </c>
      <c r="G1063" s="7">
        <v>200000</v>
      </c>
      <c r="H1063" t="s">
        <v>872</v>
      </c>
      <c r="I1063" s="7">
        <v>0</v>
      </c>
      <c r="J1063" s="7">
        <v>15000</v>
      </c>
      <c r="K1063" s="7">
        <v>215000</v>
      </c>
      <c r="L1063" t="s">
        <v>884</v>
      </c>
      <c r="M1063" t="s">
        <v>901</v>
      </c>
      <c r="N1063" t="s">
        <v>875</v>
      </c>
      <c r="O1063" t="s">
        <v>876</v>
      </c>
      <c r="P1063" t="s">
        <v>877</v>
      </c>
      <c r="Q1063" s="7">
        <v>200000</v>
      </c>
    </row>
    <row r="1064" spans="1:17">
      <c r="A1064" t="s">
        <v>1959</v>
      </c>
      <c r="B1064" s="6">
        <v>45733</v>
      </c>
      <c r="C1064" t="s">
        <v>708</v>
      </c>
      <c r="D1064" t="s">
        <v>751</v>
      </c>
      <c r="E1064">
        <v>1</v>
      </c>
      <c r="F1064" s="7">
        <v>150000</v>
      </c>
      <c r="G1064" s="7">
        <v>150000</v>
      </c>
      <c r="H1064" t="s">
        <v>872</v>
      </c>
      <c r="I1064" s="7">
        <v>0</v>
      </c>
      <c r="J1064" s="7">
        <v>25000</v>
      </c>
      <c r="K1064" s="7">
        <v>175000</v>
      </c>
      <c r="L1064" t="s">
        <v>873</v>
      </c>
      <c r="M1064" t="s">
        <v>881</v>
      </c>
      <c r="N1064" t="s">
        <v>905</v>
      </c>
      <c r="O1064" t="s">
        <v>876</v>
      </c>
      <c r="P1064" t="s">
        <v>892</v>
      </c>
      <c r="Q1064" s="7">
        <v>150000</v>
      </c>
    </row>
    <row r="1065" spans="1:17">
      <c r="A1065" t="s">
        <v>1960</v>
      </c>
      <c r="B1065" s="6">
        <v>45723</v>
      </c>
      <c r="C1065" t="s">
        <v>710</v>
      </c>
      <c r="D1065" t="s">
        <v>841</v>
      </c>
      <c r="E1065">
        <v>1</v>
      </c>
      <c r="F1065" s="7">
        <v>75000</v>
      </c>
      <c r="G1065" s="7">
        <v>75000</v>
      </c>
      <c r="H1065" t="s">
        <v>872</v>
      </c>
      <c r="I1065" s="7">
        <v>0</v>
      </c>
      <c r="J1065" s="7">
        <v>25000</v>
      </c>
      <c r="K1065" s="7">
        <v>100000</v>
      </c>
      <c r="L1065" t="s">
        <v>884</v>
      </c>
      <c r="M1065" t="s">
        <v>881</v>
      </c>
      <c r="N1065" t="s">
        <v>875</v>
      </c>
      <c r="O1065" t="s">
        <v>876</v>
      </c>
      <c r="P1065" t="s">
        <v>877</v>
      </c>
      <c r="Q1065" s="7">
        <v>75000</v>
      </c>
    </row>
    <row r="1066" spans="1:17">
      <c r="A1066" t="s">
        <v>1961</v>
      </c>
      <c r="B1066" s="6">
        <v>45676</v>
      </c>
      <c r="C1066" t="s">
        <v>150</v>
      </c>
      <c r="D1066" t="s">
        <v>813</v>
      </c>
      <c r="E1066">
        <v>1</v>
      </c>
      <c r="F1066" s="7">
        <v>35000</v>
      </c>
      <c r="G1066" s="7">
        <v>35000</v>
      </c>
      <c r="H1066" t="s">
        <v>895</v>
      </c>
      <c r="I1066" s="7">
        <v>5250</v>
      </c>
      <c r="J1066" s="7">
        <v>30000</v>
      </c>
      <c r="K1066" s="7">
        <v>59750</v>
      </c>
      <c r="L1066" t="s">
        <v>889</v>
      </c>
      <c r="M1066" t="s">
        <v>901</v>
      </c>
      <c r="N1066" t="s">
        <v>875</v>
      </c>
      <c r="O1066" t="s">
        <v>908</v>
      </c>
      <c r="P1066" t="s">
        <v>877</v>
      </c>
      <c r="Q1066" s="7">
        <v>29750</v>
      </c>
    </row>
    <row r="1067" spans="1:17">
      <c r="A1067" t="s">
        <v>1962</v>
      </c>
      <c r="B1067" s="6">
        <v>45742</v>
      </c>
      <c r="C1067" t="s">
        <v>296</v>
      </c>
      <c r="D1067" t="s">
        <v>813</v>
      </c>
      <c r="E1067">
        <v>1</v>
      </c>
      <c r="F1067" s="7">
        <v>35000</v>
      </c>
      <c r="G1067" s="7">
        <v>35000</v>
      </c>
      <c r="H1067" t="s">
        <v>872</v>
      </c>
      <c r="I1067" s="7">
        <v>0</v>
      </c>
      <c r="J1067" s="7">
        <v>15000</v>
      </c>
      <c r="K1067" s="7">
        <v>50000</v>
      </c>
      <c r="L1067" t="s">
        <v>884</v>
      </c>
      <c r="M1067" t="s">
        <v>903</v>
      </c>
      <c r="N1067" t="s">
        <v>875</v>
      </c>
      <c r="O1067" t="s">
        <v>876</v>
      </c>
      <c r="P1067" t="s">
        <v>877</v>
      </c>
      <c r="Q1067" s="7">
        <v>35000</v>
      </c>
    </row>
    <row r="1068" spans="1:17">
      <c r="A1068" t="s">
        <v>1963</v>
      </c>
      <c r="B1068" s="6">
        <v>45778</v>
      </c>
      <c r="C1068" t="s">
        <v>140</v>
      </c>
      <c r="D1068" t="s">
        <v>807</v>
      </c>
      <c r="E1068">
        <v>1</v>
      </c>
      <c r="F1068" s="7">
        <v>150000</v>
      </c>
      <c r="G1068" s="7">
        <v>150000</v>
      </c>
      <c r="H1068" t="s">
        <v>879</v>
      </c>
      <c r="I1068" s="7">
        <v>30000</v>
      </c>
      <c r="J1068" s="7">
        <v>30000</v>
      </c>
      <c r="K1068" s="7">
        <v>150000</v>
      </c>
      <c r="L1068" t="s">
        <v>884</v>
      </c>
      <c r="M1068" t="s">
        <v>903</v>
      </c>
      <c r="N1068" t="s">
        <v>875</v>
      </c>
      <c r="O1068" t="s">
        <v>896</v>
      </c>
      <c r="P1068" t="s">
        <v>877</v>
      </c>
      <c r="Q1068" s="7">
        <v>120000</v>
      </c>
    </row>
    <row r="1069" spans="1:17">
      <c r="A1069" t="s">
        <v>1964</v>
      </c>
      <c r="B1069" s="6">
        <v>45837</v>
      </c>
      <c r="C1069" t="s">
        <v>702</v>
      </c>
      <c r="D1069" t="s">
        <v>741</v>
      </c>
      <c r="E1069">
        <v>1</v>
      </c>
      <c r="F1069" s="7">
        <v>75000</v>
      </c>
      <c r="G1069" s="7">
        <v>75000</v>
      </c>
      <c r="H1069" t="s">
        <v>872</v>
      </c>
      <c r="I1069" s="7">
        <v>0</v>
      </c>
      <c r="J1069" s="7">
        <v>15000</v>
      </c>
      <c r="K1069" s="7">
        <v>90000</v>
      </c>
      <c r="L1069" t="s">
        <v>880</v>
      </c>
      <c r="M1069" t="s">
        <v>903</v>
      </c>
      <c r="N1069" t="s">
        <v>875</v>
      </c>
      <c r="O1069" t="s">
        <v>915</v>
      </c>
      <c r="P1069" t="s">
        <v>877</v>
      </c>
      <c r="Q1069" s="7">
        <v>75000</v>
      </c>
    </row>
    <row r="1070" spans="1:17">
      <c r="A1070" t="s">
        <v>1965</v>
      </c>
      <c r="B1070" s="6">
        <v>45782</v>
      </c>
      <c r="C1070" t="s">
        <v>486</v>
      </c>
      <c r="D1070" t="s">
        <v>837</v>
      </c>
      <c r="E1070">
        <v>1</v>
      </c>
      <c r="F1070" s="7">
        <v>300000</v>
      </c>
      <c r="G1070" s="7">
        <v>300000</v>
      </c>
      <c r="H1070" t="s">
        <v>872</v>
      </c>
      <c r="I1070" s="7">
        <v>0</v>
      </c>
      <c r="J1070" s="7">
        <v>20000</v>
      </c>
      <c r="K1070" s="7">
        <v>320000</v>
      </c>
      <c r="L1070" t="s">
        <v>880</v>
      </c>
      <c r="M1070" t="s">
        <v>903</v>
      </c>
      <c r="N1070" t="s">
        <v>875</v>
      </c>
      <c r="O1070" t="s">
        <v>896</v>
      </c>
      <c r="P1070" t="s">
        <v>877</v>
      </c>
      <c r="Q1070" s="7">
        <v>300000</v>
      </c>
    </row>
    <row r="1071" spans="1:17">
      <c r="A1071" t="s">
        <v>1966</v>
      </c>
      <c r="B1071" s="6">
        <v>45720</v>
      </c>
      <c r="C1071" t="s">
        <v>196</v>
      </c>
      <c r="D1071" t="s">
        <v>853</v>
      </c>
      <c r="E1071">
        <v>1</v>
      </c>
      <c r="F1071" s="7">
        <v>75000</v>
      </c>
      <c r="G1071" s="7">
        <v>75000</v>
      </c>
      <c r="H1071" t="s">
        <v>879</v>
      </c>
      <c r="I1071" s="7">
        <v>15000</v>
      </c>
      <c r="J1071" s="7">
        <v>20000</v>
      </c>
      <c r="K1071" s="7">
        <v>80000</v>
      </c>
      <c r="L1071" t="s">
        <v>889</v>
      </c>
      <c r="M1071" t="s">
        <v>881</v>
      </c>
      <c r="N1071" t="s">
        <v>875</v>
      </c>
      <c r="O1071" t="s">
        <v>876</v>
      </c>
      <c r="P1071" t="s">
        <v>877</v>
      </c>
      <c r="Q1071" s="7">
        <v>60000</v>
      </c>
    </row>
    <row r="1072" spans="1:17">
      <c r="A1072" t="s">
        <v>1967</v>
      </c>
      <c r="B1072" s="6">
        <v>45837</v>
      </c>
      <c r="C1072" t="s">
        <v>216</v>
      </c>
      <c r="D1072" t="s">
        <v>755</v>
      </c>
      <c r="E1072">
        <v>1</v>
      </c>
      <c r="F1072" s="7">
        <v>50000</v>
      </c>
      <c r="G1072" s="7">
        <v>50000</v>
      </c>
      <c r="H1072" t="s">
        <v>886</v>
      </c>
      <c r="I1072" s="7">
        <v>5000</v>
      </c>
      <c r="J1072" s="7">
        <v>20000</v>
      </c>
      <c r="K1072" s="7">
        <v>65000</v>
      </c>
      <c r="L1072" t="s">
        <v>884</v>
      </c>
      <c r="M1072" t="s">
        <v>874</v>
      </c>
      <c r="N1072" t="s">
        <v>875</v>
      </c>
      <c r="O1072" t="s">
        <v>915</v>
      </c>
      <c r="P1072" t="s">
        <v>877</v>
      </c>
      <c r="Q1072" s="7">
        <v>45000</v>
      </c>
    </row>
    <row r="1073" spans="1:17">
      <c r="A1073" t="s">
        <v>1968</v>
      </c>
      <c r="B1073" s="6">
        <v>45752</v>
      </c>
      <c r="C1073" t="s">
        <v>612</v>
      </c>
      <c r="D1073" t="s">
        <v>769</v>
      </c>
      <c r="E1073">
        <v>4</v>
      </c>
      <c r="F1073" s="7">
        <v>100000</v>
      </c>
      <c r="G1073" s="7">
        <v>400000</v>
      </c>
      <c r="H1073" t="s">
        <v>895</v>
      </c>
      <c r="I1073" s="7">
        <v>60000</v>
      </c>
      <c r="J1073" s="7">
        <v>20000</v>
      </c>
      <c r="K1073" s="7">
        <v>360000</v>
      </c>
      <c r="L1073" t="s">
        <v>889</v>
      </c>
      <c r="M1073" t="s">
        <v>881</v>
      </c>
      <c r="N1073" t="s">
        <v>875</v>
      </c>
      <c r="O1073" t="s">
        <v>891</v>
      </c>
      <c r="P1073" t="s">
        <v>877</v>
      </c>
      <c r="Q1073" s="7">
        <v>340000</v>
      </c>
    </row>
    <row r="1074" spans="1:17">
      <c r="A1074" t="s">
        <v>1969</v>
      </c>
      <c r="B1074" s="6">
        <v>45750</v>
      </c>
      <c r="C1074" t="s">
        <v>660</v>
      </c>
      <c r="D1074" t="s">
        <v>737</v>
      </c>
      <c r="E1074">
        <v>2</v>
      </c>
      <c r="F1074" s="7">
        <v>300000</v>
      </c>
      <c r="G1074" s="7">
        <v>600000</v>
      </c>
      <c r="H1074" t="s">
        <v>895</v>
      </c>
      <c r="I1074" s="7">
        <v>90000</v>
      </c>
      <c r="J1074" s="7">
        <v>10000</v>
      </c>
      <c r="K1074" s="7">
        <v>520000</v>
      </c>
      <c r="L1074" t="s">
        <v>884</v>
      </c>
      <c r="M1074" t="s">
        <v>881</v>
      </c>
      <c r="N1074" t="s">
        <v>905</v>
      </c>
      <c r="O1074" t="s">
        <v>891</v>
      </c>
      <c r="P1074" t="s">
        <v>892</v>
      </c>
      <c r="Q1074" s="7">
        <v>510000</v>
      </c>
    </row>
    <row r="1075" spans="1:17">
      <c r="A1075" t="s">
        <v>1970</v>
      </c>
      <c r="B1075" s="6">
        <v>45791</v>
      </c>
      <c r="C1075" t="s">
        <v>276</v>
      </c>
      <c r="D1075" t="s">
        <v>751</v>
      </c>
      <c r="E1075">
        <v>1</v>
      </c>
      <c r="F1075" s="7">
        <v>150000</v>
      </c>
      <c r="G1075" s="7">
        <v>150000</v>
      </c>
      <c r="H1075" t="s">
        <v>883</v>
      </c>
      <c r="I1075" s="7">
        <v>15000</v>
      </c>
      <c r="J1075" s="7">
        <v>10000</v>
      </c>
      <c r="K1075" s="7">
        <v>145000</v>
      </c>
      <c r="L1075" t="s">
        <v>889</v>
      </c>
      <c r="M1075" t="s">
        <v>901</v>
      </c>
      <c r="N1075" t="s">
        <v>890</v>
      </c>
      <c r="O1075" t="s">
        <v>896</v>
      </c>
      <c r="P1075" t="s">
        <v>892</v>
      </c>
      <c r="Q1075" s="7">
        <v>135000</v>
      </c>
    </row>
    <row r="1076" spans="1:17">
      <c r="A1076" t="s">
        <v>1971</v>
      </c>
      <c r="B1076" s="6">
        <v>45740</v>
      </c>
      <c r="C1076" t="s">
        <v>204</v>
      </c>
      <c r="D1076" t="s">
        <v>841</v>
      </c>
      <c r="E1076">
        <v>1</v>
      </c>
      <c r="F1076" s="7">
        <v>75000</v>
      </c>
      <c r="G1076" s="7">
        <v>75000</v>
      </c>
      <c r="H1076" t="s">
        <v>872</v>
      </c>
      <c r="I1076" s="7">
        <v>0</v>
      </c>
      <c r="J1076" s="7">
        <v>30000</v>
      </c>
      <c r="K1076" s="7">
        <v>105000</v>
      </c>
      <c r="L1076" t="s">
        <v>889</v>
      </c>
      <c r="M1076" t="s">
        <v>881</v>
      </c>
      <c r="N1076" t="s">
        <v>875</v>
      </c>
      <c r="O1076" t="s">
        <v>876</v>
      </c>
      <c r="P1076" t="s">
        <v>877</v>
      </c>
      <c r="Q1076" s="7">
        <v>75000</v>
      </c>
    </row>
    <row r="1077" spans="1:17">
      <c r="A1077" t="s">
        <v>1972</v>
      </c>
      <c r="B1077" s="6">
        <v>45779</v>
      </c>
      <c r="C1077" t="s">
        <v>32</v>
      </c>
      <c r="D1077" t="s">
        <v>797</v>
      </c>
      <c r="E1077">
        <v>2</v>
      </c>
      <c r="F1077" s="7">
        <v>150000</v>
      </c>
      <c r="G1077" s="7">
        <v>300000</v>
      </c>
      <c r="H1077" t="s">
        <v>872</v>
      </c>
      <c r="I1077" s="7">
        <v>0</v>
      </c>
      <c r="J1077" s="7">
        <v>10000</v>
      </c>
      <c r="K1077" s="7">
        <v>310000</v>
      </c>
      <c r="L1077" t="s">
        <v>873</v>
      </c>
      <c r="M1077" t="s">
        <v>903</v>
      </c>
      <c r="N1077" t="s">
        <v>875</v>
      </c>
      <c r="O1077" t="s">
        <v>896</v>
      </c>
      <c r="P1077" t="s">
        <v>877</v>
      </c>
      <c r="Q1077" s="7">
        <v>300000</v>
      </c>
    </row>
    <row r="1078" spans="1:17">
      <c r="A1078" t="s">
        <v>1973</v>
      </c>
      <c r="B1078" s="6">
        <v>45775</v>
      </c>
      <c r="C1078" t="s">
        <v>418</v>
      </c>
      <c r="D1078" t="s">
        <v>783</v>
      </c>
      <c r="E1078">
        <v>2</v>
      </c>
      <c r="F1078" s="7">
        <v>500000</v>
      </c>
      <c r="G1078" s="7">
        <v>1000000</v>
      </c>
      <c r="H1078" t="s">
        <v>895</v>
      </c>
      <c r="I1078" s="7">
        <v>150000</v>
      </c>
      <c r="J1078" s="7">
        <v>20000</v>
      </c>
      <c r="K1078" s="7">
        <v>870000</v>
      </c>
      <c r="L1078" t="s">
        <v>884</v>
      </c>
      <c r="M1078" t="s">
        <v>881</v>
      </c>
      <c r="N1078" t="s">
        <v>875</v>
      </c>
      <c r="O1078" t="s">
        <v>891</v>
      </c>
      <c r="P1078" t="s">
        <v>877</v>
      </c>
      <c r="Q1078" s="7">
        <v>850000</v>
      </c>
    </row>
    <row r="1079" spans="1:17">
      <c r="A1079" t="s">
        <v>1974</v>
      </c>
      <c r="B1079" s="6">
        <v>45692</v>
      </c>
      <c r="C1079" t="s">
        <v>596</v>
      </c>
      <c r="D1079" t="s">
        <v>771</v>
      </c>
      <c r="E1079">
        <v>2</v>
      </c>
      <c r="F1079" s="7">
        <v>500000</v>
      </c>
      <c r="G1079" s="7">
        <v>1000000</v>
      </c>
      <c r="H1079" t="s">
        <v>872</v>
      </c>
      <c r="I1079" s="7">
        <v>0</v>
      </c>
      <c r="J1079" s="7">
        <v>10000</v>
      </c>
      <c r="K1079" s="7">
        <v>1010000</v>
      </c>
      <c r="L1079" t="s">
        <v>873</v>
      </c>
      <c r="M1079" t="s">
        <v>903</v>
      </c>
      <c r="N1079" t="s">
        <v>875</v>
      </c>
      <c r="O1079" t="s">
        <v>887</v>
      </c>
      <c r="P1079" t="s">
        <v>877</v>
      </c>
      <c r="Q1079" s="7">
        <v>1000000</v>
      </c>
    </row>
    <row r="1080" spans="1:17">
      <c r="A1080" t="s">
        <v>1975</v>
      </c>
      <c r="B1080" s="6">
        <v>45720</v>
      </c>
      <c r="C1080" t="s">
        <v>452</v>
      </c>
      <c r="D1080" t="s">
        <v>803</v>
      </c>
      <c r="E1080">
        <v>4</v>
      </c>
      <c r="F1080" s="7">
        <v>50000</v>
      </c>
      <c r="G1080" s="7">
        <v>200000</v>
      </c>
      <c r="H1080" t="s">
        <v>879</v>
      </c>
      <c r="I1080" s="7">
        <v>40000</v>
      </c>
      <c r="J1080" s="7">
        <v>30000</v>
      </c>
      <c r="K1080" s="7">
        <v>190000</v>
      </c>
      <c r="L1080" t="s">
        <v>889</v>
      </c>
      <c r="M1080" t="s">
        <v>874</v>
      </c>
      <c r="N1080" t="s">
        <v>875</v>
      </c>
      <c r="O1080" t="s">
        <v>876</v>
      </c>
      <c r="P1080" t="s">
        <v>877</v>
      </c>
      <c r="Q1080" s="7">
        <v>160000</v>
      </c>
    </row>
    <row r="1081" spans="1:17">
      <c r="A1081" t="s">
        <v>1976</v>
      </c>
      <c r="B1081" s="6">
        <v>45669</v>
      </c>
      <c r="C1081" t="s">
        <v>626</v>
      </c>
      <c r="D1081" t="s">
        <v>775</v>
      </c>
      <c r="E1081">
        <v>1</v>
      </c>
      <c r="F1081" s="7">
        <v>75000</v>
      </c>
      <c r="G1081" s="7">
        <v>75000</v>
      </c>
      <c r="H1081" t="s">
        <v>895</v>
      </c>
      <c r="I1081" s="7">
        <v>11250</v>
      </c>
      <c r="J1081" s="7">
        <v>30000</v>
      </c>
      <c r="K1081" s="7">
        <v>93750</v>
      </c>
      <c r="L1081" t="s">
        <v>884</v>
      </c>
      <c r="M1081" t="s">
        <v>874</v>
      </c>
      <c r="N1081" t="s">
        <v>875</v>
      </c>
      <c r="O1081" t="s">
        <v>908</v>
      </c>
      <c r="P1081" t="s">
        <v>877</v>
      </c>
      <c r="Q1081" s="7">
        <v>63750</v>
      </c>
    </row>
    <row r="1082" spans="1:17">
      <c r="A1082" t="s">
        <v>1977</v>
      </c>
      <c r="B1082" s="6">
        <v>45715</v>
      </c>
      <c r="C1082" t="s">
        <v>85</v>
      </c>
      <c r="D1082" t="s">
        <v>749</v>
      </c>
      <c r="E1082">
        <v>2</v>
      </c>
      <c r="F1082" s="7">
        <v>150000</v>
      </c>
      <c r="G1082" s="7">
        <v>300000</v>
      </c>
      <c r="H1082" t="s">
        <v>886</v>
      </c>
      <c r="I1082" s="7">
        <v>30000</v>
      </c>
      <c r="J1082" s="7">
        <v>20000</v>
      </c>
      <c r="K1082" s="7">
        <v>290000</v>
      </c>
      <c r="L1082" t="s">
        <v>884</v>
      </c>
      <c r="M1082" t="s">
        <v>881</v>
      </c>
      <c r="N1082" t="s">
        <v>911</v>
      </c>
      <c r="O1082" t="s">
        <v>887</v>
      </c>
      <c r="P1082" t="s">
        <v>892</v>
      </c>
      <c r="Q1082" s="7">
        <v>270000</v>
      </c>
    </row>
    <row r="1083" spans="1:17">
      <c r="A1083" t="s">
        <v>1978</v>
      </c>
      <c r="B1083" s="6">
        <v>45736</v>
      </c>
      <c r="C1083" t="s">
        <v>190</v>
      </c>
      <c r="D1083" t="s">
        <v>853</v>
      </c>
      <c r="E1083">
        <v>3</v>
      </c>
      <c r="F1083" s="7">
        <v>75000</v>
      </c>
      <c r="G1083" s="7">
        <v>225000</v>
      </c>
      <c r="H1083" t="s">
        <v>895</v>
      </c>
      <c r="I1083" s="7">
        <v>33750</v>
      </c>
      <c r="J1083" s="7">
        <v>30000</v>
      </c>
      <c r="K1083" s="7">
        <v>221250</v>
      </c>
      <c r="L1083" t="s">
        <v>884</v>
      </c>
      <c r="M1083" t="s">
        <v>881</v>
      </c>
      <c r="N1083" t="s">
        <v>875</v>
      </c>
      <c r="O1083" t="s">
        <v>876</v>
      </c>
      <c r="P1083" t="s">
        <v>877</v>
      </c>
      <c r="Q1083" s="7">
        <v>191250</v>
      </c>
    </row>
    <row r="1084" spans="1:17">
      <c r="A1084" t="s">
        <v>1979</v>
      </c>
      <c r="B1084" s="6">
        <v>45753</v>
      </c>
      <c r="C1084" t="s">
        <v>594</v>
      </c>
      <c r="D1084" t="s">
        <v>841</v>
      </c>
      <c r="E1084">
        <v>1</v>
      </c>
      <c r="F1084" s="7">
        <v>75000</v>
      </c>
      <c r="G1084" s="7">
        <v>75000</v>
      </c>
      <c r="H1084" t="s">
        <v>872</v>
      </c>
      <c r="I1084" s="7">
        <v>0</v>
      </c>
      <c r="J1084" s="7">
        <v>10000</v>
      </c>
      <c r="K1084" s="7">
        <v>85000</v>
      </c>
      <c r="L1084" t="s">
        <v>889</v>
      </c>
      <c r="M1084" t="s">
        <v>903</v>
      </c>
      <c r="N1084" t="s">
        <v>911</v>
      </c>
      <c r="O1084" t="s">
        <v>891</v>
      </c>
      <c r="P1084" t="s">
        <v>892</v>
      </c>
      <c r="Q1084" s="7">
        <v>75000</v>
      </c>
    </row>
    <row r="1085" spans="1:17">
      <c r="A1085" t="s">
        <v>1980</v>
      </c>
      <c r="B1085" s="6">
        <v>45771</v>
      </c>
      <c r="C1085" t="s">
        <v>386</v>
      </c>
      <c r="D1085" t="s">
        <v>783</v>
      </c>
      <c r="E1085">
        <v>1</v>
      </c>
      <c r="F1085" s="7">
        <v>500000</v>
      </c>
      <c r="G1085" s="7">
        <v>500000</v>
      </c>
      <c r="H1085" t="s">
        <v>872</v>
      </c>
      <c r="I1085" s="7">
        <v>0</v>
      </c>
      <c r="J1085" s="7">
        <v>30000</v>
      </c>
      <c r="K1085" s="7">
        <v>530000</v>
      </c>
      <c r="L1085" t="s">
        <v>884</v>
      </c>
      <c r="M1085" t="s">
        <v>901</v>
      </c>
      <c r="N1085" t="s">
        <v>875</v>
      </c>
      <c r="O1085" t="s">
        <v>891</v>
      </c>
      <c r="P1085" t="s">
        <v>877</v>
      </c>
      <c r="Q1085" s="7">
        <v>500000</v>
      </c>
    </row>
    <row r="1086" spans="1:17">
      <c r="A1086" t="s">
        <v>1981</v>
      </c>
      <c r="B1086" s="6">
        <v>45788</v>
      </c>
      <c r="C1086" t="s">
        <v>600</v>
      </c>
      <c r="D1086" t="s">
        <v>839</v>
      </c>
      <c r="E1086">
        <v>4</v>
      </c>
      <c r="F1086" s="7">
        <v>200000</v>
      </c>
      <c r="G1086" s="7">
        <v>800000</v>
      </c>
      <c r="H1086" t="s">
        <v>872</v>
      </c>
      <c r="I1086" s="7">
        <v>0</v>
      </c>
      <c r="J1086" s="7">
        <v>25000</v>
      </c>
      <c r="K1086" s="7">
        <v>825000</v>
      </c>
      <c r="L1086" t="s">
        <v>880</v>
      </c>
      <c r="M1086" t="s">
        <v>903</v>
      </c>
      <c r="N1086" t="s">
        <v>911</v>
      </c>
      <c r="O1086" t="s">
        <v>896</v>
      </c>
      <c r="P1086" t="s">
        <v>892</v>
      </c>
      <c r="Q1086" s="7">
        <v>800000</v>
      </c>
    </row>
    <row r="1087" spans="1:17">
      <c r="A1087" t="s">
        <v>1982</v>
      </c>
      <c r="B1087" s="6">
        <v>45818</v>
      </c>
      <c r="C1087" t="s">
        <v>326</v>
      </c>
      <c r="D1087" t="s">
        <v>831</v>
      </c>
      <c r="E1087">
        <v>1</v>
      </c>
      <c r="F1087" s="7">
        <v>300000</v>
      </c>
      <c r="G1087" s="7">
        <v>300000</v>
      </c>
      <c r="H1087" t="s">
        <v>872</v>
      </c>
      <c r="I1087" s="7">
        <v>0</v>
      </c>
      <c r="J1087" s="7">
        <v>20000</v>
      </c>
      <c r="K1087" s="7">
        <v>320000</v>
      </c>
      <c r="L1087" t="s">
        <v>873</v>
      </c>
      <c r="M1087" t="s">
        <v>874</v>
      </c>
      <c r="N1087" t="s">
        <v>921</v>
      </c>
      <c r="O1087" t="s">
        <v>915</v>
      </c>
      <c r="P1087" t="s">
        <v>892</v>
      </c>
      <c r="Q1087" s="7">
        <v>300000</v>
      </c>
    </row>
    <row r="1088" spans="1:17">
      <c r="A1088" t="s">
        <v>1983</v>
      </c>
      <c r="B1088" s="6">
        <v>45715</v>
      </c>
      <c r="C1088" t="s">
        <v>298</v>
      </c>
      <c r="D1088" t="s">
        <v>831</v>
      </c>
      <c r="E1088">
        <v>4</v>
      </c>
      <c r="F1088" s="7">
        <v>300000</v>
      </c>
      <c r="G1088" s="7">
        <v>1200000</v>
      </c>
      <c r="H1088" t="s">
        <v>886</v>
      </c>
      <c r="I1088" s="7">
        <v>120000</v>
      </c>
      <c r="J1088" s="7">
        <v>30000</v>
      </c>
      <c r="K1088" s="7">
        <v>1110000</v>
      </c>
      <c r="L1088" t="s">
        <v>889</v>
      </c>
      <c r="M1088" t="s">
        <v>881</v>
      </c>
      <c r="N1088" t="s">
        <v>905</v>
      </c>
      <c r="O1088" t="s">
        <v>887</v>
      </c>
      <c r="P1088" t="s">
        <v>892</v>
      </c>
      <c r="Q1088" s="7">
        <v>1080000</v>
      </c>
    </row>
    <row r="1089" spans="1:17">
      <c r="A1089" t="s">
        <v>1984</v>
      </c>
      <c r="B1089" s="6">
        <v>45705</v>
      </c>
      <c r="C1089" t="s">
        <v>484</v>
      </c>
      <c r="D1089" t="s">
        <v>749</v>
      </c>
      <c r="E1089">
        <v>2</v>
      </c>
      <c r="F1089" s="7">
        <v>150000</v>
      </c>
      <c r="G1089" s="7">
        <v>300000</v>
      </c>
      <c r="H1089" t="s">
        <v>872</v>
      </c>
      <c r="I1089" s="7">
        <v>0</v>
      </c>
      <c r="J1089" s="7">
        <v>30000</v>
      </c>
      <c r="K1089" s="7">
        <v>330000</v>
      </c>
      <c r="L1089" t="s">
        <v>889</v>
      </c>
      <c r="M1089" t="s">
        <v>881</v>
      </c>
      <c r="N1089" t="s">
        <v>875</v>
      </c>
      <c r="O1089" t="s">
        <v>887</v>
      </c>
      <c r="P1089" t="s">
        <v>877</v>
      </c>
      <c r="Q1089" s="7">
        <v>300000</v>
      </c>
    </row>
    <row r="1090" spans="1:17">
      <c r="A1090" t="s">
        <v>1985</v>
      </c>
      <c r="B1090" s="6">
        <v>45730</v>
      </c>
      <c r="C1090" t="s">
        <v>370</v>
      </c>
      <c r="D1090" t="s">
        <v>755</v>
      </c>
      <c r="E1090">
        <v>1</v>
      </c>
      <c r="F1090" s="7">
        <v>50000</v>
      </c>
      <c r="G1090" s="7">
        <v>50000</v>
      </c>
      <c r="H1090" t="s">
        <v>872</v>
      </c>
      <c r="I1090" s="7">
        <v>0</v>
      </c>
      <c r="J1090" s="7">
        <v>30000</v>
      </c>
      <c r="K1090" s="7">
        <v>80000</v>
      </c>
      <c r="L1090" t="s">
        <v>889</v>
      </c>
      <c r="M1090" t="s">
        <v>901</v>
      </c>
      <c r="N1090" t="s">
        <v>875</v>
      </c>
      <c r="O1090" t="s">
        <v>876</v>
      </c>
      <c r="P1090" t="s">
        <v>877</v>
      </c>
      <c r="Q1090" s="7">
        <v>50000</v>
      </c>
    </row>
    <row r="1091" spans="1:17">
      <c r="A1091" t="s">
        <v>1986</v>
      </c>
      <c r="B1091" s="6">
        <v>45666</v>
      </c>
      <c r="C1091" t="s">
        <v>288</v>
      </c>
      <c r="D1091" t="s">
        <v>767</v>
      </c>
      <c r="E1091">
        <v>1</v>
      </c>
      <c r="F1091" s="7">
        <v>150000</v>
      </c>
      <c r="G1091" s="7">
        <v>150000</v>
      </c>
      <c r="H1091" t="s">
        <v>872</v>
      </c>
      <c r="I1091" s="7">
        <v>0</v>
      </c>
      <c r="J1091" s="7">
        <v>30000</v>
      </c>
      <c r="K1091" s="7">
        <v>180000</v>
      </c>
      <c r="L1091" t="s">
        <v>884</v>
      </c>
      <c r="M1091" t="s">
        <v>881</v>
      </c>
      <c r="N1091" t="s">
        <v>875</v>
      </c>
      <c r="O1091" t="s">
        <v>908</v>
      </c>
      <c r="P1091" t="s">
        <v>877</v>
      </c>
      <c r="Q1091" s="7">
        <v>150000</v>
      </c>
    </row>
    <row r="1092" spans="1:17">
      <c r="A1092" t="s">
        <v>1987</v>
      </c>
      <c r="B1092" s="6">
        <v>45699</v>
      </c>
      <c r="C1092" t="s">
        <v>40</v>
      </c>
      <c r="D1092" t="s">
        <v>759</v>
      </c>
      <c r="E1092">
        <v>4</v>
      </c>
      <c r="F1092" s="7">
        <v>300000</v>
      </c>
      <c r="G1092" s="7">
        <v>1200000</v>
      </c>
      <c r="H1092" t="s">
        <v>872</v>
      </c>
      <c r="I1092" s="7">
        <v>0</v>
      </c>
      <c r="J1092" s="7">
        <v>30000</v>
      </c>
      <c r="K1092" s="7">
        <v>1230000</v>
      </c>
      <c r="L1092" t="s">
        <v>884</v>
      </c>
      <c r="M1092" t="s">
        <v>874</v>
      </c>
      <c r="N1092" t="s">
        <v>875</v>
      </c>
      <c r="O1092" t="s">
        <v>887</v>
      </c>
      <c r="P1092" t="s">
        <v>877</v>
      </c>
      <c r="Q1092" s="7">
        <v>1200000</v>
      </c>
    </row>
    <row r="1093" spans="1:17">
      <c r="A1093" t="s">
        <v>1988</v>
      </c>
      <c r="B1093" s="6">
        <v>45694</v>
      </c>
      <c r="C1093" t="s">
        <v>524</v>
      </c>
      <c r="D1093" t="s">
        <v>855</v>
      </c>
      <c r="E1093">
        <v>2</v>
      </c>
      <c r="F1093" s="7">
        <v>150000</v>
      </c>
      <c r="G1093" s="7">
        <v>300000</v>
      </c>
      <c r="H1093" t="s">
        <v>872</v>
      </c>
      <c r="I1093" s="7">
        <v>0</v>
      </c>
      <c r="J1093" s="7">
        <v>10000</v>
      </c>
      <c r="K1093" s="7">
        <v>310000</v>
      </c>
      <c r="L1093" t="s">
        <v>880</v>
      </c>
      <c r="M1093" t="s">
        <v>903</v>
      </c>
      <c r="N1093" t="s">
        <v>905</v>
      </c>
      <c r="O1093" t="s">
        <v>887</v>
      </c>
      <c r="P1093" t="s">
        <v>892</v>
      </c>
      <c r="Q1093" s="7">
        <v>300000</v>
      </c>
    </row>
    <row r="1094" spans="1:17">
      <c r="A1094" t="s">
        <v>1989</v>
      </c>
      <c r="B1094" s="6">
        <v>45702</v>
      </c>
      <c r="C1094" t="s">
        <v>230</v>
      </c>
      <c r="D1094" t="s">
        <v>753</v>
      </c>
      <c r="E1094">
        <v>3</v>
      </c>
      <c r="F1094" s="7">
        <v>300000</v>
      </c>
      <c r="G1094" s="7">
        <v>900000</v>
      </c>
      <c r="H1094" t="s">
        <v>886</v>
      </c>
      <c r="I1094" s="7">
        <v>90000</v>
      </c>
      <c r="J1094" s="7">
        <v>20000</v>
      </c>
      <c r="K1094" s="7">
        <v>830000</v>
      </c>
      <c r="L1094" t="s">
        <v>889</v>
      </c>
      <c r="M1094" t="s">
        <v>874</v>
      </c>
      <c r="N1094" t="s">
        <v>890</v>
      </c>
      <c r="O1094" t="s">
        <v>887</v>
      </c>
      <c r="P1094" t="s">
        <v>892</v>
      </c>
      <c r="Q1094" s="7">
        <v>810000</v>
      </c>
    </row>
    <row r="1095" spans="1:17">
      <c r="A1095" t="s">
        <v>1990</v>
      </c>
      <c r="B1095" s="6">
        <v>45676</v>
      </c>
      <c r="C1095" t="s">
        <v>434</v>
      </c>
      <c r="D1095" t="s">
        <v>797</v>
      </c>
      <c r="E1095">
        <v>1</v>
      </c>
      <c r="F1095" s="7">
        <v>150000</v>
      </c>
      <c r="G1095" s="7">
        <v>150000</v>
      </c>
      <c r="H1095" t="s">
        <v>886</v>
      </c>
      <c r="I1095" s="7">
        <v>15000</v>
      </c>
      <c r="J1095" s="7">
        <v>15000</v>
      </c>
      <c r="K1095" s="7">
        <v>150000</v>
      </c>
      <c r="L1095" t="s">
        <v>884</v>
      </c>
      <c r="M1095" t="s">
        <v>903</v>
      </c>
      <c r="N1095" t="s">
        <v>875</v>
      </c>
      <c r="O1095" t="s">
        <v>908</v>
      </c>
      <c r="P1095" t="s">
        <v>877</v>
      </c>
      <c r="Q1095" s="7">
        <v>135000</v>
      </c>
    </row>
    <row r="1096" spans="1:17">
      <c r="A1096" t="s">
        <v>1991</v>
      </c>
      <c r="B1096" s="6">
        <v>45803</v>
      </c>
      <c r="C1096" t="s">
        <v>664</v>
      </c>
      <c r="D1096" t="s">
        <v>851</v>
      </c>
      <c r="E1096">
        <v>2</v>
      </c>
      <c r="F1096" s="7">
        <v>35000</v>
      </c>
      <c r="G1096" s="7">
        <v>70000</v>
      </c>
      <c r="H1096" t="s">
        <v>872</v>
      </c>
      <c r="I1096" s="7">
        <v>0</v>
      </c>
      <c r="J1096" s="7">
        <v>20000</v>
      </c>
      <c r="K1096" s="7">
        <v>90000</v>
      </c>
      <c r="L1096" t="s">
        <v>880</v>
      </c>
      <c r="M1096" t="s">
        <v>881</v>
      </c>
      <c r="N1096" t="s">
        <v>875</v>
      </c>
      <c r="O1096" t="s">
        <v>896</v>
      </c>
      <c r="P1096" t="s">
        <v>877</v>
      </c>
      <c r="Q1096" s="7">
        <v>70000</v>
      </c>
    </row>
    <row r="1097" spans="1:17">
      <c r="A1097" t="s">
        <v>1992</v>
      </c>
      <c r="B1097" s="6">
        <v>45709</v>
      </c>
      <c r="C1097" t="s">
        <v>578</v>
      </c>
      <c r="D1097" t="s">
        <v>751</v>
      </c>
      <c r="E1097">
        <v>1</v>
      </c>
      <c r="F1097" s="7">
        <v>150000</v>
      </c>
      <c r="G1097" s="7">
        <v>150000</v>
      </c>
      <c r="H1097" t="s">
        <v>895</v>
      </c>
      <c r="I1097" s="7">
        <v>22500</v>
      </c>
      <c r="J1097" s="7">
        <v>25000</v>
      </c>
      <c r="K1097" s="7">
        <v>152500</v>
      </c>
      <c r="L1097" t="s">
        <v>889</v>
      </c>
      <c r="M1097" t="s">
        <v>881</v>
      </c>
      <c r="N1097" t="s">
        <v>875</v>
      </c>
      <c r="O1097" t="s">
        <v>887</v>
      </c>
      <c r="P1097" t="s">
        <v>877</v>
      </c>
      <c r="Q1097" s="7">
        <v>127500</v>
      </c>
    </row>
    <row r="1098" spans="1:17">
      <c r="A1098" t="s">
        <v>1993</v>
      </c>
      <c r="B1098" s="6">
        <v>45806</v>
      </c>
      <c r="C1098" t="s">
        <v>97</v>
      </c>
      <c r="D1098" t="s">
        <v>813</v>
      </c>
      <c r="E1098">
        <v>4</v>
      </c>
      <c r="F1098" s="7">
        <v>35000</v>
      </c>
      <c r="G1098" s="7">
        <v>140000</v>
      </c>
      <c r="H1098" t="s">
        <v>872</v>
      </c>
      <c r="I1098" s="7">
        <v>0</v>
      </c>
      <c r="J1098" s="7">
        <v>15000</v>
      </c>
      <c r="K1098" s="7">
        <v>155000</v>
      </c>
      <c r="L1098" t="s">
        <v>873</v>
      </c>
      <c r="M1098" t="s">
        <v>903</v>
      </c>
      <c r="N1098" t="s">
        <v>890</v>
      </c>
      <c r="O1098" t="s">
        <v>896</v>
      </c>
      <c r="P1098" t="s">
        <v>892</v>
      </c>
      <c r="Q1098" s="7">
        <v>140000</v>
      </c>
    </row>
    <row r="1099" spans="1:17">
      <c r="A1099" t="s">
        <v>1994</v>
      </c>
      <c r="B1099" s="6">
        <v>45835</v>
      </c>
      <c r="C1099" t="s">
        <v>396</v>
      </c>
      <c r="D1099" t="s">
        <v>737</v>
      </c>
      <c r="E1099">
        <v>1</v>
      </c>
      <c r="F1099" s="7">
        <v>300000</v>
      </c>
      <c r="G1099" s="7">
        <v>300000</v>
      </c>
      <c r="H1099" t="s">
        <v>883</v>
      </c>
      <c r="I1099" s="7">
        <v>30000</v>
      </c>
      <c r="J1099" s="7">
        <v>25000</v>
      </c>
      <c r="K1099" s="7">
        <v>295000</v>
      </c>
      <c r="L1099" t="s">
        <v>873</v>
      </c>
      <c r="M1099" t="s">
        <v>903</v>
      </c>
      <c r="N1099" t="s">
        <v>875</v>
      </c>
      <c r="O1099" t="s">
        <v>915</v>
      </c>
      <c r="P1099" t="s">
        <v>877</v>
      </c>
      <c r="Q1099" s="7">
        <v>270000</v>
      </c>
    </row>
    <row r="1100" spans="1:17">
      <c r="A1100" t="s">
        <v>1995</v>
      </c>
      <c r="B1100" s="6">
        <v>45830</v>
      </c>
      <c r="C1100" t="s">
        <v>456</v>
      </c>
      <c r="D1100" t="s">
        <v>767</v>
      </c>
      <c r="E1100">
        <v>4</v>
      </c>
      <c r="F1100" s="7">
        <v>150000</v>
      </c>
      <c r="G1100" s="7">
        <v>600000</v>
      </c>
      <c r="H1100" t="s">
        <v>883</v>
      </c>
      <c r="I1100" s="7">
        <v>60000</v>
      </c>
      <c r="J1100" s="7">
        <v>25000</v>
      </c>
      <c r="K1100" s="7">
        <v>565000</v>
      </c>
      <c r="L1100" t="s">
        <v>880</v>
      </c>
      <c r="M1100" t="s">
        <v>874</v>
      </c>
      <c r="N1100" t="s">
        <v>875</v>
      </c>
      <c r="O1100" t="s">
        <v>915</v>
      </c>
      <c r="P1100" t="s">
        <v>877</v>
      </c>
      <c r="Q1100" s="7">
        <v>540000</v>
      </c>
    </row>
    <row r="1101" spans="1:17">
      <c r="A1101" t="s">
        <v>1996</v>
      </c>
      <c r="B1101" s="6">
        <v>45729</v>
      </c>
      <c r="C1101" t="s">
        <v>672</v>
      </c>
      <c r="D1101" t="s">
        <v>803</v>
      </c>
      <c r="E1101">
        <v>2</v>
      </c>
      <c r="F1101" s="7">
        <v>50000</v>
      </c>
      <c r="G1101" s="7">
        <v>100000</v>
      </c>
      <c r="H1101" t="s">
        <v>883</v>
      </c>
      <c r="I1101" s="7">
        <v>10000</v>
      </c>
      <c r="J1101" s="7">
        <v>10000</v>
      </c>
      <c r="K1101" s="7">
        <v>100000</v>
      </c>
      <c r="L1101" t="s">
        <v>880</v>
      </c>
      <c r="M1101" t="s">
        <v>874</v>
      </c>
      <c r="N1101" t="s">
        <v>875</v>
      </c>
      <c r="O1101" t="s">
        <v>876</v>
      </c>
      <c r="P1101" t="s">
        <v>877</v>
      </c>
      <c r="Q1101" s="7">
        <v>90000</v>
      </c>
    </row>
    <row r="1102" spans="1:17">
      <c r="A1102" t="s">
        <v>1997</v>
      </c>
      <c r="B1102" s="6">
        <v>45669</v>
      </c>
      <c r="C1102" t="s">
        <v>274</v>
      </c>
      <c r="D1102" t="s">
        <v>745</v>
      </c>
      <c r="E1102">
        <v>1</v>
      </c>
      <c r="F1102" s="7">
        <v>500000</v>
      </c>
      <c r="G1102" s="7">
        <v>500000</v>
      </c>
      <c r="H1102" t="s">
        <v>886</v>
      </c>
      <c r="I1102" s="7">
        <v>50000</v>
      </c>
      <c r="J1102" s="7">
        <v>10000</v>
      </c>
      <c r="K1102" s="7">
        <v>460000</v>
      </c>
      <c r="L1102" t="s">
        <v>884</v>
      </c>
      <c r="M1102" t="s">
        <v>903</v>
      </c>
      <c r="N1102" t="s">
        <v>875</v>
      </c>
      <c r="O1102" t="s">
        <v>908</v>
      </c>
      <c r="P1102" t="s">
        <v>877</v>
      </c>
      <c r="Q1102" s="7">
        <v>450000</v>
      </c>
    </row>
    <row r="1103" spans="1:17">
      <c r="A1103" t="s">
        <v>1998</v>
      </c>
      <c r="B1103" s="6">
        <v>45681</v>
      </c>
      <c r="C1103" t="s">
        <v>178</v>
      </c>
      <c r="D1103" t="s">
        <v>745</v>
      </c>
      <c r="E1103">
        <v>2</v>
      </c>
      <c r="F1103" s="7">
        <v>500000</v>
      </c>
      <c r="G1103" s="7">
        <v>1000000</v>
      </c>
      <c r="H1103" t="s">
        <v>879</v>
      </c>
      <c r="I1103" s="7">
        <v>200000</v>
      </c>
      <c r="J1103" s="7">
        <v>10000</v>
      </c>
      <c r="K1103" s="7">
        <v>810000</v>
      </c>
      <c r="L1103" t="s">
        <v>873</v>
      </c>
      <c r="M1103" t="s">
        <v>903</v>
      </c>
      <c r="N1103" t="s">
        <v>875</v>
      </c>
      <c r="O1103" t="s">
        <v>908</v>
      </c>
      <c r="P1103" t="s">
        <v>877</v>
      </c>
      <c r="Q1103" s="7">
        <v>800000</v>
      </c>
    </row>
    <row r="1104" spans="1:17">
      <c r="A1104" t="s">
        <v>1999</v>
      </c>
      <c r="B1104" s="6">
        <v>45799</v>
      </c>
      <c r="C1104" t="s">
        <v>160</v>
      </c>
      <c r="D1104" t="s">
        <v>779</v>
      </c>
      <c r="E1104">
        <v>1</v>
      </c>
      <c r="F1104" s="7">
        <v>150000</v>
      </c>
      <c r="G1104" s="7">
        <v>150000</v>
      </c>
      <c r="H1104" t="s">
        <v>886</v>
      </c>
      <c r="I1104" s="7">
        <v>15000</v>
      </c>
      <c r="J1104" s="7">
        <v>15000</v>
      </c>
      <c r="K1104" s="7">
        <v>150000</v>
      </c>
      <c r="L1104" t="s">
        <v>884</v>
      </c>
      <c r="M1104" t="s">
        <v>903</v>
      </c>
      <c r="N1104" t="s">
        <v>875</v>
      </c>
      <c r="O1104" t="s">
        <v>896</v>
      </c>
      <c r="P1104" t="s">
        <v>877</v>
      </c>
      <c r="Q1104" s="7">
        <v>135000</v>
      </c>
    </row>
    <row r="1105" spans="1:17">
      <c r="A1105" t="s">
        <v>2000</v>
      </c>
      <c r="B1105" s="6">
        <v>45756</v>
      </c>
      <c r="C1105" t="s">
        <v>502</v>
      </c>
      <c r="D1105" t="s">
        <v>795</v>
      </c>
      <c r="E1105">
        <v>1</v>
      </c>
      <c r="F1105" s="7">
        <v>100000</v>
      </c>
      <c r="G1105" s="7">
        <v>100000</v>
      </c>
      <c r="H1105" t="s">
        <v>872</v>
      </c>
      <c r="I1105" s="7">
        <v>0</v>
      </c>
      <c r="J1105" s="7">
        <v>20000</v>
      </c>
      <c r="K1105" s="7">
        <v>120000</v>
      </c>
      <c r="L1105" t="s">
        <v>889</v>
      </c>
      <c r="M1105" t="s">
        <v>881</v>
      </c>
      <c r="N1105" t="s">
        <v>875</v>
      </c>
      <c r="O1105" t="s">
        <v>891</v>
      </c>
      <c r="P1105" t="s">
        <v>877</v>
      </c>
      <c r="Q1105" s="7">
        <v>100000</v>
      </c>
    </row>
    <row r="1106" spans="1:17">
      <c r="A1106" t="s">
        <v>2001</v>
      </c>
      <c r="B1106" s="6">
        <v>45675</v>
      </c>
      <c r="C1106" t="s">
        <v>172</v>
      </c>
      <c r="D1106" t="s">
        <v>825</v>
      </c>
      <c r="E1106">
        <v>1</v>
      </c>
      <c r="F1106" s="7">
        <v>100000</v>
      </c>
      <c r="G1106" s="7">
        <v>100000</v>
      </c>
      <c r="H1106" t="s">
        <v>886</v>
      </c>
      <c r="I1106" s="7">
        <v>10000</v>
      </c>
      <c r="J1106" s="7">
        <v>25000</v>
      </c>
      <c r="K1106" s="7">
        <v>115000</v>
      </c>
      <c r="L1106" t="s">
        <v>880</v>
      </c>
      <c r="M1106" t="s">
        <v>881</v>
      </c>
      <c r="N1106" t="s">
        <v>875</v>
      </c>
      <c r="O1106" t="s">
        <v>908</v>
      </c>
      <c r="P1106" t="s">
        <v>877</v>
      </c>
      <c r="Q1106" s="7">
        <v>90000</v>
      </c>
    </row>
    <row r="1107" spans="1:17">
      <c r="A1107" t="s">
        <v>2002</v>
      </c>
      <c r="B1107" s="6">
        <v>45749</v>
      </c>
      <c r="C1107" t="s">
        <v>402</v>
      </c>
      <c r="D1107" t="s">
        <v>761</v>
      </c>
      <c r="E1107">
        <v>1</v>
      </c>
      <c r="F1107" s="7">
        <v>75000</v>
      </c>
      <c r="G1107" s="7">
        <v>75000</v>
      </c>
      <c r="H1107" t="s">
        <v>872</v>
      </c>
      <c r="I1107" s="7">
        <v>0</v>
      </c>
      <c r="J1107" s="7">
        <v>20000</v>
      </c>
      <c r="K1107" s="7">
        <v>95000</v>
      </c>
      <c r="L1107" t="s">
        <v>880</v>
      </c>
      <c r="M1107" t="s">
        <v>901</v>
      </c>
      <c r="N1107" t="s">
        <v>875</v>
      </c>
      <c r="O1107" t="s">
        <v>891</v>
      </c>
      <c r="P1107" t="s">
        <v>877</v>
      </c>
      <c r="Q1107" s="7">
        <v>75000</v>
      </c>
    </row>
    <row r="1108" spans="1:17">
      <c r="A1108" t="s">
        <v>2003</v>
      </c>
      <c r="B1108" s="6">
        <v>45740</v>
      </c>
      <c r="C1108" t="s">
        <v>474</v>
      </c>
      <c r="D1108" t="s">
        <v>837</v>
      </c>
      <c r="E1108">
        <v>1</v>
      </c>
      <c r="F1108" s="7">
        <v>300000</v>
      </c>
      <c r="G1108" s="7">
        <v>300000</v>
      </c>
      <c r="H1108" t="s">
        <v>872</v>
      </c>
      <c r="I1108" s="7">
        <v>0</v>
      </c>
      <c r="J1108" s="7">
        <v>30000</v>
      </c>
      <c r="K1108" s="7">
        <v>330000</v>
      </c>
      <c r="L1108" t="s">
        <v>884</v>
      </c>
      <c r="M1108" t="s">
        <v>874</v>
      </c>
      <c r="N1108" t="s">
        <v>875</v>
      </c>
      <c r="O1108" t="s">
        <v>876</v>
      </c>
      <c r="P1108" t="s">
        <v>877</v>
      </c>
      <c r="Q1108" s="7">
        <v>300000</v>
      </c>
    </row>
    <row r="1109" spans="1:17">
      <c r="A1109" t="s">
        <v>2004</v>
      </c>
      <c r="B1109" s="6">
        <v>45838</v>
      </c>
      <c r="C1109" t="s">
        <v>358</v>
      </c>
      <c r="D1109" t="s">
        <v>845</v>
      </c>
      <c r="E1109">
        <v>2</v>
      </c>
      <c r="F1109" s="7">
        <v>300000</v>
      </c>
      <c r="G1109" s="7">
        <v>600000</v>
      </c>
      <c r="H1109" t="s">
        <v>872</v>
      </c>
      <c r="I1109" s="7">
        <v>0</v>
      </c>
      <c r="J1109" s="7">
        <v>30000</v>
      </c>
      <c r="K1109" s="7">
        <v>630000</v>
      </c>
      <c r="L1109" t="s">
        <v>884</v>
      </c>
      <c r="M1109" t="s">
        <v>901</v>
      </c>
      <c r="N1109" t="s">
        <v>905</v>
      </c>
      <c r="O1109" t="s">
        <v>915</v>
      </c>
      <c r="P1109" t="s">
        <v>892</v>
      </c>
      <c r="Q1109" s="7">
        <v>600000</v>
      </c>
    </row>
    <row r="1110" spans="1:17">
      <c r="A1110" t="s">
        <v>2005</v>
      </c>
      <c r="B1110" s="6">
        <v>45710</v>
      </c>
      <c r="C1110" t="s">
        <v>52</v>
      </c>
      <c r="D1110" t="s">
        <v>781</v>
      </c>
      <c r="E1110">
        <v>2</v>
      </c>
      <c r="F1110" s="7">
        <v>50000</v>
      </c>
      <c r="G1110" s="7">
        <v>100000</v>
      </c>
      <c r="H1110" t="s">
        <v>879</v>
      </c>
      <c r="I1110" s="7">
        <v>20000</v>
      </c>
      <c r="J1110" s="7">
        <v>20000</v>
      </c>
      <c r="K1110" s="7">
        <v>100000</v>
      </c>
      <c r="L1110" t="s">
        <v>884</v>
      </c>
      <c r="M1110" t="s">
        <v>881</v>
      </c>
      <c r="N1110" t="s">
        <v>875</v>
      </c>
      <c r="O1110" t="s">
        <v>887</v>
      </c>
      <c r="P1110" t="s">
        <v>877</v>
      </c>
      <c r="Q1110" s="7">
        <v>80000</v>
      </c>
    </row>
    <row r="1111" spans="1:17">
      <c r="A1111" t="s">
        <v>2006</v>
      </c>
      <c r="B1111" s="6">
        <v>45717</v>
      </c>
      <c r="C1111" t="s">
        <v>198</v>
      </c>
      <c r="D1111" t="s">
        <v>839</v>
      </c>
      <c r="E1111">
        <v>4</v>
      </c>
      <c r="F1111" s="7">
        <v>200000</v>
      </c>
      <c r="G1111" s="7">
        <v>800000</v>
      </c>
      <c r="H1111" t="s">
        <v>895</v>
      </c>
      <c r="I1111" s="7">
        <v>120000</v>
      </c>
      <c r="J1111" s="7">
        <v>30000</v>
      </c>
      <c r="K1111" s="7">
        <v>710000</v>
      </c>
      <c r="L1111" t="s">
        <v>884</v>
      </c>
      <c r="M1111" t="s">
        <v>874</v>
      </c>
      <c r="N1111" t="s">
        <v>890</v>
      </c>
      <c r="O1111" t="s">
        <v>876</v>
      </c>
      <c r="P1111" t="s">
        <v>892</v>
      </c>
      <c r="Q1111" s="7">
        <v>680000</v>
      </c>
    </row>
    <row r="1112" spans="1:17">
      <c r="A1112" t="s">
        <v>2007</v>
      </c>
      <c r="B1112" s="6">
        <v>45799</v>
      </c>
      <c r="C1112" t="s">
        <v>522</v>
      </c>
      <c r="D1112" t="s">
        <v>799</v>
      </c>
      <c r="E1112">
        <v>1</v>
      </c>
      <c r="F1112" s="7">
        <v>35000</v>
      </c>
      <c r="G1112" s="7">
        <v>35000</v>
      </c>
      <c r="H1112" t="s">
        <v>872</v>
      </c>
      <c r="I1112" s="7">
        <v>0</v>
      </c>
      <c r="J1112" s="7">
        <v>20000</v>
      </c>
      <c r="K1112" s="7">
        <v>55000</v>
      </c>
      <c r="L1112" t="s">
        <v>889</v>
      </c>
      <c r="M1112" t="s">
        <v>874</v>
      </c>
      <c r="N1112" t="s">
        <v>875</v>
      </c>
      <c r="O1112" t="s">
        <v>896</v>
      </c>
      <c r="P1112" t="s">
        <v>877</v>
      </c>
      <c r="Q1112" s="7">
        <v>35000</v>
      </c>
    </row>
    <row r="1113" spans="1:17">
      <c r="A1113" t="s">
        <v>2008</v>
      </c>
      <c r="B1113" s="6">
        <v>45662</v>
      </c>
      <c r="C1113" t="s">
        <v>172</v>
      </c>
      <c r="D1113" t="s">
        <v>799</v>
      </c>
      <c r="E1113">
        <v>1</v>
      </c>
      <c r="F1113" s="7">
        <v>35000</v>
      </c>
      <c r="G1113" s="7">
        <v>35000</v>
      </c>
      <c r="H1113" t="s">
        <v>872</v>
      </c>
      <c r="I1113" s="7">
        <v>0</v>
      </c>
      <c r="J1113" s="7">
        <v>25000</v>
      </c>
      <c r="K1113" s="7">
        <v>60000</v>
      </c>
      <c r="L1113" t="s">
        <v>873</v>
      </c>
      <c r="M1113" t="s">
        <v>901</v>
      </c>
      <c r="N1113" t="s">
        <v>875</v>
      </c>
      <c r="O1113" t="s">
        <v>908</v>
      </c>
      <c r="P1113" t="s">
        <v>877</v>
      </c>
      <c r="Q1113" s="7">
        <v>35000</v>
      </c>
    </row>
    <row r="1114" spans="1:17">
      <c r="A1114" t="s">
        <v>2009</v>
      </c>
      <c r="B1114" s="6">
        <v>45788</v>
      </c>
      <c r="C1114" t="s">
        <v>474</v>
      </c>
      <c r="D1114" t="s">
        <v>789</v>
      </c>
      <c r="E1114">
        <v>2</v>
      </c>
      <c r="F1114" s="7">
        <v>200000</v>
      </c>
      <c r="G1114" s="7">
        <v>400000</v>
      </c>
      <c r="H1114" t="s">
        <v>872</v>
      </c>
      <c r="I1114" s="7">
        <v>0</v>
      </c>
      <c r="J1114" s="7">
        <v>25000</v>
      </c>
      <c r="K1114" s="7">
        <v>425000</v>
      </c>
      <c r="L1114" t="s">
        <v>884</v>
      </c>
      <c r="M1114" t="s">
        <v>901</v>
      </c>
      <c r="N1114" t="s">
        <v>875</v>
      </c>
      <c r="O1114" t="s">
        <v>896</v>
      </c>
      <c r="P1114" t="s">
        <v>877</v>
      </c>
      <c r="Q1114" s="7">
        <v>400000</v>
      </c>
    </row>
    <row r="1115" spans="1:17">
      <c r="A1115" t="s">
        <v>2010</v>
      </c>
      <c r="B1115" s="6">
        <v>45682</v>
      </c>
      <c r="C1115" t="s">
        <v>486</v>
      </c>
      <c r="D1115" t="s">
        <v>823</v>
      </c>
      <c r="E1115">
        <v>3</v>
      </c>
      <c r="F1115" s="7">
        <v>500000</v>
      </c>
      <c r="G1115" s="7">
        <v>1500000</v>
      </c>
      <c r="H1115" t="s">
        <v>872</v>
      </c>
      <c r="I1115" s="7">
        <v>0</v>
      </c>
      <c r="J1115" s="7">
        <v>15000</v>
      </c>
      <c r="K1115" s="7">
        <v>1515000</v>
      </c>
      <c r="L1115" t="s">
        <v>880</v>
      </c>
      <c r="M1115" t="s">
        <v>874</v>
      </c>
      <c r="N1115" t="s">
        <v>875</v>
      </c>
      <c r="O1115" t="s">
        <v>908</v>
      </c>
      <c r="P1115" t="s">
        <v>877</v>
      </c>
      <c r="Q1115" s="7">
        <v>1500000</v>
      </c>
    </row>
    <row r="1116" spans="1:17">
      <c r="A1116" t="s">
        <v>2011</v>
      </c>
      <c r="B1116" s="6">
        <v>45792</v>
      </c>
      <c r="C1116" t="s">
        <v>432</v>
      </c>
      <c r="D1116" t="s">
        <v>783</v>
      </c>
      <c r="E1116">
        <v>1</v>
      </c>
      <c r="F1116" s="7">
        <v>500000</v>
      </c>
      <c r="G1116" s="7">
        <v>500000</v>
      </c>
      <c r="H1116" t="s">
        <v>879</v>
      </c>
      <c r="I1116" s="7">
        <v>100000</v>
      </c>
      <c r="J1116" s="7">
        <v>10000</v>
      </c>
      <c r="K1116" s="7">
        <v>410000</v>
      </c>
      <c r="L1116" t="s">
        <v>884</v>
      </c>
      <c r="M1116" t="s">
        <v>901</v>
      </c>
      <c r="N1116" t="s">
        <v>890</v>
      </c>
      <c r="O1116" t="s">
        <v>896</v>
      </c>
      <c r="P1116" t="s">
        <v>892</v>
      </c>
      <c r="Q1116" s="7">
        <v>400000</v>
      </c>
    </row>
    <row r="1117" spans="1:17">
      <c r="A1117" t="s">
        <v>2012</v>
      </c>
      <c r="B1117" s="6">
        <v>45715</v>
      </c>
      <c r="C1117" t="s">
        <v>194</v>
      </c>
      <c r="D1117" t="s">
        <v>801</v>
      </c>
      <c r="E1117">
        <v>2</v>
      </c>
      <c r="F1117" s="7">
        <v>100000</v>
      </c>
      <c r="G1117" s="7">
        <v>200000</v>
      </c>
      <c r="H1117" t="s">
        <v>886</v>
      </c>
      <c r="I1117" s="7">
        <v>20000</v>
      </c>
      <c r="J1117" s="7">
        <v>20000</v>
      </c>
      <c r="K1117" s="7">
        <v>200000</v>
      </c>
      <c r="L1117" t="s">
        <v>880</v>
      </c>
      <c r="M1117" t="s">
        <v>901</v>
      </c>
      <c r="N1117" t="s">
        <v>921</v>
      </c>
      <c r="O1117" t="s">
        <v>887</v>
      </c>
      <c r="P1117" t="s">
        <v>892</v>
      </c>
      <c r="Q1117" s="7">
        <v>180000</v>
      </c>
    </row>
    <row r="1118" spans="1:17">
      <c r="A1118" t="s">
        <v>2013</v>
      </c>
      <c r="B1118" s="6">
        <v>45710</v>
      </c>
      <c r="C1118" t="s">
        <v>480</v>
      </c>
      <c r="D1118" t="s">
        <v>789</v>
      </c>
      <c r="E1118">
        <v>4</v>
      </c>
      <c r="F1118" s="7">
        <v>200000</v>
      </c>
      <c r="G1118" s="7">
        <v>800000</v>
      </c>
      <c r="H1118" t="s">
        <v>872</v>
      </c>
      <c r="I1118" s="7">
        <v>0</v>
      </c>
      <c r="J1118" s="7">
        <v>25000</v>
      </c>
      <c r="K1118" s="7">
        <v>825000</v>
      </c>
      <c r="L1118" t="s">
        <v>889</v>
      </c>
      <c r="M1118" t="s">
        <v>901</v>
      </c>
      <c r="N1118" t="s">
        <v>875</v>
      </c>
      <c r="O1118" t="s">
        <v>887</v>
      </c>
      <c r="P1118" t="s">
        <v>877</v>
      </c>
      <c r="Q1118" s="7">
        <v>800000</v>
      </c>
    </row>
    <row r="1119" spans="1:17">
      <c r="A1119" t="s">
        <v>2014</v>
      </c>
      <c r="B1119" s="6">
        <v>45805</v>
      </c>
      <c r="C1119" t="s">
        <v>620</v>
      </c>
      <c r="D1119" t="s">
        <v>815</v>
      </c>
      <c r="E1119">
        <v>1</v>
      </c>
      <c r="F1119" s="7">
        <v>75000</v>
      </c>
      <c r="G1119" s="7">
        <v>75000</v>
      </c>
      <c r="H1119" t="s">
        <v>895</v>
      </c>
      <c r="I1119" s="7">
        <v>11250</v>
      </c>
      <c r="J1119" s="7">
        <v>30000</v>
      </c>
      <c r="K1119" s="7">
        <v>93750</v>
      </c>
      <c r="L1119" t="s">
        <v>889</v>
      </c>
      <c r="M1119" t="s">
        <v>901</v>
      </c>
      <c r="N1119" t="s">
        <v>890</v>
      </c>
      <c r="O1119" t="s">
        <v>896</v>
      </c>
      <c r="P1119" t="s">
        <v>892</v>
      </c>
      <c r="Q1119" s="7">
        <v>63750</v>
      </c>
    </row>
    <row r="1120" spans="1:17">
      <c r="A1120" t="s">
        <v>2015</v>
      </c>
      <c r="B1120" s="6">
        <v>45702</v>
      </c>
      <c r="C1120" t="s">
        <v>172</v>
      </c>
      <c r="D1120" t="s">
        <v>855</v>
      </c>
      <c r="E1120">
        <v>1</v>
      </c>
      <c r="F1120" s="7">
        <v>150000</v>
      </c>
      <c r="G1120" s="7">
        <v>150000</v>
      </c>
      <c r="H1120" t="s">
        <v>895</v>
      </c>
      <c r="I1120" s="7">
        <v>22500</v>
      </c>
      <c r="J1120" s="7">
        <v>30000</v>
      </c>
      <c r="K1120" s="7">
        <v>157500</v>
      </c>
      <c r="L1120" t="s">
        <v>884</v>
      </c>
      <c r="M1120" t="s">
        <v>881</v>
      </c>
      <c r="N1120" t="s">
        <v>875</v>
      </c>
      <c r="O1120" t="s">
        <v>887</v>
      </c>
      <c r="P1120" t="s">
        <v>877</v>
      </c>
      <c r="Q1120" s="7">
        <v>127500</v>
      </c>
    </row>
    <row r="1121" spans="1:17">
      <c r="A1121" t="s">
        <v>2016</v>
      </c>
      <c r="B1121" s="6">
        <v>45779</v>
      </c>
      <c r="C1121" t="s">
        <v>170</v>
      </c>
      <c r="D1121" t="s">
        <v>807</v>
      </c>
      <c r="E1121">
        <v>2</v>
      </c>
      <c r="F1121" s="7">
        <v>150000</v>
      </c>
      <c r="G1121" s="7">
        <v>300000</v>
      </c>
      <c r="H1121" t="s">
        <v>879</v>
      </c>
      <c r="I1121" s="7">
        <v>60000</v>
      </c>
      <c r="J1121" s="7">
        <v>20000</v>
      </c>
      <c r="K1121" s="7">
        <v>260000</v>
      </c>
      <c r="L1121" t="s">
        <v>880</v>
      </c>
      <c r="M1121" t="s">
        <v>901</v>
      </c>
      <c r="N1121" t="s">
        <v>890</v>
      </c>
      <c r="O1121" t="s">
        <v>896</v>
      </c>
      <c r="P1121" t="s">
        <v>892</v>
      </c>
      <c r="Q1121" s="7">
        <v>240000</v>
      </c>
    </row>
    <row r="1122" spans="1:17">
      <c r="A1122" t="s">
        <v>2017</v>
      </c>
      <c r="B1122" s="6">
        <v>45658</v>
      </c>
      <c r="C1122" t="s">
        <v>506</v>
      </c>
      <c r="D1122" t="s">
        <v>803</v>
      </c>
      <c r="E1122">
        <v>2</v>
      </c>
      <c r="F1122" s="7">
        <v>50000</v>
      </c>
      <c r="G1122" s="7">
        <v>100000</v>
      </c>
      <c r="H1122" t="s">
        <v>872</v>
      </c>
      <c r="I1122" s="7">
        <v>0</v>
      </c>
      <c r="J1122" s="7">
        <v>25000</v>
      </c>
      <c r="K1122" s="7">
        <v>125000</v>
      </c>
      <c r="L1122" t="s">
        <v>889</v>
      </c>
      <c r="M1122" t="s">
        <v>901</v>
      </c>
      <c r="N1122" t="s">
        <v>875</v>
      </c>
      <c r="O1122" t="s">
        <v>908</v>
      </c>
      <c r="P1122" t="s">
        <v>877</v>
      </c>
      <c r="Q1122" s="7">
        <v>100000</v>
      </c>
    </row>
    <row r="1123" spans="1:17">
      <c r="A1123" t="s">
        <v>2018</v>
      </c>
      <c r="B1123" s="6">
        <v>45708</v>
      </c>
      <c r="C1123" t="s">
        <v>688</v>
      </c>
      <c r="D1123" t="s">
        <v>797</v>
      </c>
      <c r="E1123">
        <v>3</v>
      </c>
      <c r="F1123" s="7">
        <v>150000</v>
      </c>
      <c r="G1123" s="7">
        <v>450000</v>
      </c>
      <c r="H1123" t="s">
        <v>895</v>
      </c>
      <c r="I1123" s="7">
        <v>67500</v>
      </c>
      <c r="J1123" s="7">
        <v>30000</v>
      </c>
      <c r="K1123" s="7">
        <v>412500</v>
      </c>
      <c r="L1123" t="s">
        <v>873</v>
      </c>
      <c r="M1123" t="s">
        <v>881</v>
      </c>
      <c r="N1123" t="s">
        <v>911</v>
      </c>
      <c r="O1123" t="s">
        <v>887</v>
      </c>
      <c r="P1123" t="s">
        <v>892</v>
      </c>
      <c r="Q1123" s="7">
        <v>382500</v>
      </c>
    </row>
    <row r="1124" spans="1:17">
      <c r="A1124" t="s">
        <v>2019</v>
      </c>
      <c r="B1124" s="6">
        <v>45674</v>
      </c>
      <c r="C1124" t="s">
        <v>138</v>
      </c>
      <c r="D1124" t="s">
        <v>779</v>
      </c>
      <c r="E1124">
        <v>2</v>
      </c>
      <c r="F1124" s="7">
        <v>150000</v>
      </c>
      <c r="G1124" s="7">
        <v>300000</v>
      </c>
      <c r="H1124" t="s">
        <v>895</v>
      </c>
      <c r="I1124" s="7">
        <v>45000</v>
      </c>
      <c r="J1124" s="7">
        <v>15000</v>
      </c>
      <c r="K1124" s="7">
        <v>270000</v>
      </c>
      <c r="L1124" t="s">
        <v>880</v>
      </c>
      <c r="M1124" t="s">
        <v>881</v>
      </c>
      <c r="N1124" t="s">
        <v>911</v>
      </c>
      <c r="O1124" t="s">
        <v>908</v>
      </c>
      <c r="P1124" t="s">
        <v>892</v>
      </c>
      <c r="Q1124" s="7">
        <v>255000</v>
      </c>
    </row>
    <row r="1125" spans="1:17">
      <c r="A1125" t="s">
        <v>2020</v>
      </c>
      <c r="B1125" s="6">
        <v>45696</v>
      </c>
      <c r="C1125" t="s">
        <v>156</v>
      </c>
      <c r="D1125" t="s">
        <v>823</v>
      </c>
      <c r="E1125">
        <v>2</v>
      </c>
      <c r="F1125" s="7">
        <v>500000</v>
      </c>
      <c r="G1125" s="7">
        <v>1000000</v>
      </c>
      <c r="H1125" t="s">
        <v>872</v>
      </c>
      <c r="I1125" s="7">
        <v>0</v>
      </c>
      <c r="J1125" s="7">
        <v>30000</v>
      </c>
      <c r="K1125" s="7">
        <v>1030000</v>
      </c>
      <c r="L1125" t="s">
        <v>880</v>
      </c>
      <c r="M1125" t="s">
        <v>874</v>
      </c>
      <c r="N1125" t="s">
        <v>921</v>
      </c>
      <c r="O1125" t="s">
        <v>887</v>
      </c>
      <c r="P1125" t="s">
        <v>892</v>
      </c>
      <c r="Q1125" s="7">
        <v>1000000</v>
      </c>
    </row>
    <row r="1126" spans="1:17">
      <c r="A1126" t="s">
        <v>2021</v>
      </c>
      <c r="B1126" s="6">
        <v>45836</v>
      </c>
      <c r="C1126" t="s">
        <v>682</v>
      </c>
      <c r="D1126" t="s">
        <v>845</v>
      </c>
      <c r="E1126">
        <v>2</v>
      </c>
      <c r="F1126" s="7">
        <v>300000</v>
      </c>
      <c r="G1126" s="7">
        <v>600000</v>
      </c>
      <c r="H1126" t="s">
        <v>872</v>
      </c>
      <c r="I1126" s="7">
        <v>0</v>
      </c>
      <c r="J1126" s="7">
        <v>10000</v>
      </c>
      <c r="K1126" s="7">
        <v>610000</v>
      </c>
      <c r="L1126" t="s">
        <v>889</v>
      </c>
      <c r="M1126" t="s">
        <v>903</v>
      </c>
      <c r="N1126" t="s">
        <v>875</v>
      </c>
      <c r="O1126" t="s">
        <v>915</v>
      </c>
      <c r="P1126" t="s">
        <v>877</v>
      </c>
      <c r="Q1126" s="7">
        <v>600000</v>
      </c>
    </row>
    <row r="1127" spans="1:17">
      <c r="A1127" t="s">
        <v>2022</v>
      </c>
      <c r="B1127" s="6">
        <v>45661</v>
      </c>
      <c r="C1127" t="s">
        <v>59</v>
      </c>
      <c r="D1127" t="s">
        <v>797</v>
      </c>
      <c r="E1127">
        <v>2</v>
      </c>
      <c r="F1127" s="7">
        <v>150000</v>
      </c>
      <c r="G1127" s="7">
        <v>300000</v>
      </c>
      <c r="H1127" t="s">
        <v>872</v>
      </c>
      <c r="I1127" s="7">
        <v>0</v>
      </c>
      <c r="J1127" s="7">
        <v>20000</v>
      </c>
      <c r="K1127" s="7">
        <v>320000</v>
      </c>
      <c r="L1127" t="s">
        <v>880</v>
      </c>
      <c r="M1127" t="s">
        <v>901</v>
      </c>
      <c r="N1127" t="s">
        <v>875</v>
      </c>
      <c r="O1127" t="s">
        <v>908</v>
      </c>
      <c r="P1127" t="s">
        <v>877</v>
      </c>
      <c r="Q1127" s="7">
        <v>300000</v>
      </c>
    </row>
    <row r="1128" spans="1:17">
      <c r="A1128" t="s">
        <v>2023</v>
      </c>
      <c r="B1128" s="6">
        <v>45826</v>
      </c>
      <c r="C1128" t="s">
        <v>604</v>
      </c>
      <c r="D1128" t="s">
        <v>849</v>
      </c>
      <c r="E1128">
        <v>1</v>
      </c>
      <c r="F1128" s="7">
        <v>500000</v>
      </c>
      <c r="G1128" s="7">
        <v>500000</v>
      </c>
      <c r="H1128" t="s">
        <v>879</v>
      </c>
      <c r="I1128" s="7">
        <v>100000</v>
      </c>
      <c r="J1128" s="7">
        <v>15000</v>
      </c>
      <c r="K1128" s="7">
        <v>415000</v>
      </c>
      <c r="L1128" t="s">
        <v>889</v>
      </c>
      <c r="M1128" t="s">
        <v>874</v>
      </c>
      <c r="N1128" t="s">
        <v>875</v>
      </c>
      <c r="O1128" t="s">
        <v>915</v>
      </c>
      <c r="P1128" t="s">
        <v>877</v>
      </c>
      <c r="Q1128" s="7">
        <v>400000</v>
      </c>
    </row>
    <row r="1129" spans="1:17">
      <c r="A1129" t="s">
        <v>2024</v>
      </c>
      <c r="B1129" s="6">
        <v>45733</v>
      </c>
      <c r="C1129" t="s">
        <v>412</v>
      </c>
      <c r="D1129" t="s">
        <v>811</v>
      </c>
      <c r="E1129">
        <v>3</v>
      </c>
      <c r="F1129" s="7">
        <v>35000</v>
      </c>
      <c r="G1129" s="7">
        <v>105000</v>
      </c>
      <c r="H1129" t="s">
        <v>886</v>
      </c>
      <c r="I1129" s="7">
        <v>10500</v>
      </c>
      <c r="J1129" s="7">
        <v>25000</v>
      </c>
      <c r="K1129" s="7">
        <v>119500</v>
      </c>
      <c r="L1129" t="s">
        <v>884</v>
      </c>
      <c r="M1129" t="s">
        <v>874</v>
      </c>
      <c r="N1129" t="s">
        <v>905</v>
      </c>
      <c r="O1129" t="s">
        <v>876</v>
      </c>
      <c r="P1129" t="s">
        <v>892</v>
      </c>
      <c r="Q1129" s="7">
        <v>94500</v>
      </c>
    </row>
    <row r="1130" spans="1:17">
      <c r="A1130" t="s">
        <v>2025</v>
      </c>
      <c r="B1130" s="6">
        <v>45800</v>
      </c>
      <c r="C1130" t="s">
        <v>460</v>
      </c>
      <c r="D1130" t="s">
        <v>823</v>
      </c>
      <c r="E1130">
        <v>4</v>
      </c>
      <c r="F1130" s="7">
        <v>500000</v>
      </c>
      <c r="G1130" s="7">
        <v>2000000</v>
      </c>
      <c r="H1130" t="s">
        <v>872</v>
      </c>
      <c r="I1130" s="7">
        <v>0</v>
      </c>
      <c r="J1130" s="7">
        <v>15000</v>
      </c>
      <c r="K1130" s="7">
        <v>2015000</v>
      </c>
      <c r="L1130" t="s">
        <v>884</v>
      </c>
      <c r="M1130" t="s">
        <v>901</v>
      </c>
      <c r="N1130" t="s">
        <v>921</v>
      </c>
      <c r="O1130" t="s">
        <v>896</v>
      </c>
      <c r="P1130" t="s">
        <v>892</v>
      </c>
      <c r="Q1130" s="7">
        <v>2000000</v>
      </c>
    </row>
    <row r="1131" spans="1:17">
      <c r="A1131" t="s">
        <v>2026</v>
      </c>
      <c r="B1131" s="6">
        <v>45672</v>
      </c>
      <c r="C1131" t="s">
        <v>486</v>
      </c>
      <c r="D1131" t="s">
        <v>737</v>
      </c>
      <c r="E1131">
        <v>1</v>
      </c>
      <c r="F1131" s="7">
        <v>300000</v>
      </c>
      <c r="G1131" s="7">
        <v>300000</v>
      </c>
      <c r="H1131" t="s">
        <v>883</v>
      </c>
      <c r="I1131" s="7">
        <v>30000</v>
      </c>
      <c r="J1131" s="7">
        <v>30000</v>
      </c>
      <c r="K1131" s="7">
        <v>300000</v>
      </c>
      <c r="L1131" t="s">
        <v>873</v>
      </c>
      <c r="M1131" t="s">
        <v>874</v>
      </c>
      <c r="N1131" t="s">
        <v>875</v>
      </c>
      <c r="O1131" t="s">
        <v>908</v>
      </c>
      <c r="P1131" t="s">
        <v>877</v>
      </c>
      <c r="Q1131" s="7">
        <v>270000</v>
      </c>
    </row>
    <row r="1132" spans="1:17">
      <c r="A1132" t="s">
        <v>2027</v>
      </c>
      <c r="B1132" s="6">
        <v>45714</v>
      </c>
      <c r="C1132" t="s">
        <v>258</v>
      </c>
      <c r="D1132" t="s">
        <v>839</v>
      </c>
      <c r="E1132">
        <v>1</v>
      </c>
      <c r="F1132" s="7">
        <v>200000</v>
      </c>
      <c r="G1132" s="7">
        <v>200000</v>
      </c>
      <c r="H1132" t="s">
        <v>883</v>
      </c>
      <c r="I1132" s="7">
        <v>20000</v>
      </c>
      <c r="J1132" s="7">
        <v>20000</v>
      </c>
      <c r="K1132" s="7">
        <v>200000</v>
      </c>
      <c r="L1132" t="s">
        <v>889</v>
      </c>
      <c r="M1132" t="s">
        <v>874</v>
      </c>
      <c r="N1132" t="s">
        <v>875</v>
      </c>
      <c r="O1132" t="s">
        <v>887</v>
      </c>
      <c r="P1132" t="s">
        <v>877</v>
      </c>
      <c r="Q1132" s="7">
        <v>180000</v>
      </c>
    </row>
    <row r="1133" spans="1:17">
      <c r="A1133" t="s">
        <v>2028</v>
      </c>
      <c r="B1133" s="6">
        <v>45737</v>
      </c>
      <c r="C1133" t="s">
        <v>99</v>
      </c>
      <c r="D1133" t="s">
        <v>843</v>
      </c>
      <c r="E1133">
        <v>3</v>
      </c>
      <c r="F1133" s="7">
        <v>100000</v>
      </c>
      <c r="G1133" s="7">
        <v>300000</v>
      </c>
      <c r="H1133" t="s">
        <v>879</v>
      </c>
      <c r="I1133" s="7">
        <v>60000</v>
      </c>
      <c r="J1133" s="7">
        <v>20000</v>
      </c>
      <c r="K1133" s="7">
        <v>260000</v>
      </c>
      <c r="L1133" t="s">
        <v>884</v>
      </c>
      <c r="M1133" t="s">
        <v>881</v>
      </c>
      <c r="N1133" t="s">
        <v>875</v>
      </c>
      <c r="O1133" t="s">
        <v>876</v>
      </c>
      <c r="P1133" t="s">
        <v>877</v>
      </c>
      <c r="Q1133" s="7">
        <v>240000</v>
      </c>
    </row>
    <row r="1134" spans="1:17">
      <c r="A1134" t="s">
        <v>2029</v>
      </c>
      <c r="B1134" s="6">
        <v>45739</v>
      </c>
      <c r="C1134" t="s">
        <v>234</v>
      </c>
      <c r="D1134" t="s">
        <v>741</v>
      </c>
      <c r="E1134">
        <v>1</v>
      </c>
      <c r="F1134" s="7">
        <v>75000</v>
      </c>
      <c r="G1134" s="7">
        <v>75000</v>
      </c>
      <c r="H1134" t="s">
        <v>872</v>
      </c>
      <c r="I1134" s="7">
        <v>0</v>
      </c>
      <c r="J1134" s="7">
        <v>25000</v>
      </c>
      <c r="K1134" s="7">
        <v>100000</v>
      </c>
      <c r="L1134" t="s">
        <v>884</v>
      </c>
      <c r="M1134" t="s">
        <v>881</v>
      </c>
      <c r="N1134" t="s">
        <v>875</v>
      </c>
      <c r="O1134" t="s">
        <v>876</v>
      </c>
      <c r="P1134" t="s">
        <v>877</v>
      </c>
      <c r="Q1134" s="7">
        <v>75000</v>
      </c>
    </row>
    <row r="1135" spans="1:17">
      <c r="A1135" t="s">
        <v>2030</v>
      </c>
      <c r="B1135" s="6">
        <v>45706</v>
      </c>
      <c r="C1135" t="s">
        <v>144</v>
      </c>
      <c r="D1135" t="s">
        <v>845</v>
      </c>
      <c r="E1135">
        <v>4</v>
      </c>
      <c r="F1135" s="7">
        <v>300000</v>
      </c>
      <c r="G1135" s="7">
        <v>1200000</v>
      </c>
      <c r="H1135" t="s">
        <v>895</v>
      </c>
      <c r="I1135" s="7">
        <v>180000</v>
      </c>
      <c r="J1135" s="7">
        <v>20000</v>
      </c>
      <c r="K1135" s="7">
        <v>1040000</v>
      </c>
      <c r="L1135" t="s">
        <v>873</v>
      </c>
      <c r="M1135" t="s">
        <v>881</v>
      </c>
      <c r="N1135" t="s">
        <v>890</v>
      </c>
      <c r="O1135" t="s">
        <v>887</v>
      </c>
      <c r="P1135" t="s">
        <v>892</v>
      </c>
      <c r="Q1135" s="7">
        <v>1020000</v>
      </c>
    </row>
    <row r="1136" spans="1:17">
      <c r="A1136" t="s">
        <v>2031</v>
      </c>
      <c r="B1136" s="6">
        <v>45813</v>
      </c>
      <c r="C1136" t="s">
        <v>536</v>
      </c>
      <c r="D1136" t="s">
        <v>811</v>
      </c>
      <c r="E1136">
        <v>2</v>
      </c>
      <c r="F1136" s="7">
        <v>35000</v>
      </c>
      <c r="G1136" s="7">
        <v>70000</v>
      </c>
      <c r="H1136" t="s">
        <v>886</v>
      </c>
      <c r="I1136" s="7">
        <v>7000</v>
      </c>
      <c r="J1136" s="7">
        <v>30000</v>
      </c>
      <c r="K1136" s="7">
        <v>93000</v>
      </c>
      <c r="L1136" t="s">
        <v>873</v>
      </c>
      <c r="M1136" t="s">
        <v>901</v>
      </c>
      <c r="N1136" t="s">
        <v>875</v>
      </c>
      <c r="O1136" t="s">
        <v>915</v>
      </c>
      <c r="P1136" t="s">
        <v>877</v>
      </c>
      <c r="Q1136" s="7">
        <v>63000</v>
      </c>
    </row>
    <row r="1137" spans="1:17">
      <c r="A1137" t="s">
        <v>2032</v>
      </c>
      <c r="B1137" s="6">
        <v>45666</v>
      </c>
      <c r="C1137" t="s">
        <v>148</v>
      </c>
      <c r="D1137" t="s">
        <v>733</v>
      </c>
      <c r="E1137">
        <v>4</v>
      </c>
      <c r="F1137" s="7">
        <v>150000</v>
      </c>
      <c r="G1137" s="7">
        <v>600000</v>
      </c>
      <c r="H1137" t="s">
        <v>883</v>
      </c>
      <c r="I1137" s="7">
        <v>60000</v>
      </c>
      <c r="J1137" s="7">
        <v>25000</v>
      </c>
      <c r="K1137" s="7">
        <v>565000</v>
      </c>
      <c r="L1137" t="s">
        <v>873</v>
      </c>
      <c r="M1137" t="s">
        <v>881</v>
      </c>
      <c r="N1137" t="s">
        <v>875</v>
      </c>
      <c r="O1137" t="s">
        <v>908</v>
      </c>
      <c r="P1137" t="s">
        <v>877</v>
      </c>
      <c r="Q1137" s="7">
        <v>540000</v>
      </c>
    </row>
    <row r="1138" spans="1:17">
      <c r="A1138" t="s">
        <v>2033</v>
      </c>
      <c r="B1138" s="6">
        <v>45721</v>
      </c>
      <c r="C1138" t="s">
        <v>228</v>
      </c>
      <c r="D1138" t="s">
        <v>847</v>
      </c>
      <c r="E1138">
        <v>1</v>
      </c>
      <c r="F1138" s="7">
        <v>100000</v>
      </c>
      <c r="G1138" s="7">
        <v>100000</v>
      </c>
      <c r="H1138" t="s">
        <v>879</v>
      </c>
      <c r="I1138" s="7">
        <v>20000</v>
      </c>
      <c r="J1138" s="7">
        <v>10000</v>
      </c>
      <c r="K1138" s="7">
        <v>90000</v>
      </c>
      <c r="L1138" t="s">
        <v>884</v>
      </c>
      <c r="M1138" t="s">
        <v>881</v>
      </c>
      <c r="N1138" t="s">
        <v>875</v>
      </c>
      <c r="O1138" t="s">
        <v>876</v>
      </c>
      <c r="P1138" t="s">
        <v>877</v>
      </c>
      <c r="Q1138" s="7">
        <v>80000</v>
      </c>
    </row>
    <row r="1139" spans="1:17">
      <c r="A1139" t="s">
        <v>2034</v>
      </c>
      <c r="B1139" s="6">
        <v>45659</v>
      </c>
      <c r="C1139" t="s">
        <v>646</v>
      </c>
      <c r="D1139" t="s">
        <v>773</v>
      </c>
      <c r="E1139">
        <v>3</v>
      </c>
      <c r="F1139" s="7">
        <v>500000</v>
      </c>
      <c r="G1139" s="7">
        <v>1500000</v>
      </c>
      <c r="H1139" t="s">
        <v>872</v>
      </c>
      <c r="I1139" s="7">
        <v>0</v>
      </c>
      <c r="J1139" s="7">
        <v>30000</v>
      </c>
      <c r="K1139" s="7">
        <v>1530000</v>
      </c>
      <c r="L1139" t="s">
        <v>880</v>
      </c>
      <c r="M1139" t="s">
        <v>903</v>
      </c>
      <c r="N1139" t="s">
        <v>875</v>
      </c>
      <c r="O1139" t="s">
        <v>908</v>
      </c>
      <c r="P1139" t="s">
        <v>877</v>
      </c>
      <c r="Q1139" s="7">
        <v>1500000</v>
      </c>
    </row>
    <row r="1140" spans="1:17">
      <c r="A1140" t="s">
        <v>2035</v>
      </c>
      <c r="B1140" s="6">
        <v>45786</v>
      </c>
      <c r="C1140" t="s">
        <v>138</v>
      </c>
      <c r="D1140" t="s">
        <v>821</v>
      </c>
      <c r="E1140">
        <v>2</v>
      </c>
      <c r="F1140" s="7">
        <v>50000</v>
      </c>
      <c r="G1140" s="7">
        <v>100000</v>
      </c>
      <c r="H1140" t="s">
        <v>883</v>
      </c>
      <c r="I1140" s="7">
        <v>10000</v>
      </c>
      <c r="J1140" s="7">
        <v>30000</v>
      </c>
      <c r="K1140" s="7">
        <v>120000</v>
      </c>
      <c r="L1140" t="s">
        <v>880</v>
      </c>
      <c r="M1140" t="s">
        <v>874</v>
      </c>
      <c r="N1140" t="s">
        <v>875</v>
      </c>
      <c r="O1140" t="s">
        <v>896</v>
      </c>
      <c r="P1140" t="s">
        <v>877</v>
      </c>
      <c r="Q1140" s="7">
        <v>90000</v>
      </c>
    </row>
    <row r="1141" spans="1:17">
      <c r="A1141" t="s">
        <v>2036</v>
      </c>
      <c r="B1141" s="6">
        <v>45746</v>
      </c>
      <c r="C1141" t="s">
        <v>650</v>
      </c>
      <c r="D1141" t="s">
        <v>787</v>
      </c>
      <c r="E1141">
        <v>4</v>
      </c>
      <c r="F1141" s="7">
        <v>200000</v>
      </c>
      <c r="G1141" s="7">
        <v>800000</v>
      </c>
      <c r="H1141" t="s">
        <v>872</v>
      </c>
      <c r="I1141" s="7">
        <v>0</v>
      </c>
      <c r="J1141" s="7">
        <v>10000</v>
      </c>
      <c r="K1141" s="7">
        <v>810000</v>
      </c>
      <c r="L1141" t="s">
        <v>884</v>
      </c>
      <c r="M1141" t="s">
        <v>903</v>
      </c>
      <c r="N1141" t="s">
        <v>875</v>
      </c>
      <c r="O1141" t="s">
        <v>876</v>
      </c>
      <c r="P1141" t="s">
        <v>877</v>
      </c>
      <c r="Q1141" s="7">
        <v>800000</v>
      </c>
    </row>
    <row r="1142" spans="1:17">
      <c r="A1142" t="s">
        <v>2037</v>
      </c>
      <c r="B1142" s="6">
        <v>45823</v>
      </c>
      <c r="C1142" t="s">
        <v>274</v>
      </c>
      <c r="D1142" t="s">
        <v>825</v>
      </c>
      <c r="E1142">
        <v>3</v>
      </c>
      <c r="F1142" s="7">
        <v>100000</v>
      </c>
      <c r="G1142" s="7">
        <v>300000</v>
      </c>
      <c r="H1142" t="s">
        <v>886</v>
      </c>
      <c r="I1142" s="7">
        <v>30000</v>
      </c>
      <c r="J1142" s="7">
        <v>20000</v>
      </c>
      <c r="K1142" s="7">
        <v>290000</v>
      </c>
      <c r="L1142" t="s">
        <v>884</v>
      </c>
      <c r="M1142" t="s">
        <v>881</v>
      </c>
      <c r="N1142" t="s">
        <v>905</v>
      </c>
      <c r="O1142" t="s">
        <v>915</v>
      </c>
      <c r="P1142" t="s">
        <v>892</v>
      </c>
      <c r="Q1142" s="7">
        <v>270000</v>
      </c>
    </row>
    <row r="1143" spans="1:17">
      <c r="A1143" t="s">
        <v>2038</v>
      </c>
      <c r="B1143" s="6">
        <v>45768</v>
      </c>
      <c r="C1143" t="s">
        <v>198</v>
      </c>
      <c r="D1143" t="s">
        <v>853</v>
      </c>
      <c r="E1143">
        <v>2</v>
      </c>
      <c r="F1143" s="7">
        <v>75000</v>
      </c>
      <c r="G1143" s="7">
        <v>150000</v>
      </c>
      <c r="H1143" t="s">
        <v>886</v>
      </c>
      <c r="I1143" s="7">
        <v>15000</v>
      </c>
      <c r="J1143" s="7">
        <v>15000</v>
      </c>
      <c r="K1143" s="7">
        <v>150000</v>
      </c>
      <c r="L1143" t="s">
        <v>884</v>
      </c>
      <c r="M1143" t="s">
        <v>901</v>
      </c>
      <c r="N1143" t="s">
        <v>875</v>
      </c>
      <c r="O1143" t="s">
        <v>891</v>
      </c>
      <c r="P1143" t="s">
        <v>877</v>
      </c>
      <c r="Q1143" s="7">
        <v>135000</v>
      </c>
    </row>
    <row r="1144" spans="1:17">
      <c r="A1144" t="s">
        <v>2039</v>
      </c>
      <c r="B1144" s="6">
        <v>45777</v>
      </c>
      <c r="C1144" t="s">
        <v>604</v>
      </c>
      <c r="D1144" t="s">
        <v>831</v>
      </c>
      <c r="E1144">
        <v>4</v>
      </c>
      <c r="F1144" s="7">
        <v>300000</v>
      </c>
      <c r="G1144" s="7">
        <v>1200000</v>
      </c>
      <c r="H1144" t="s">
        <v>872</v>
      </c>
      <c r="I1144" s="7">
        <v>0</v>
      </c>
      <c r="J1144" s="7">
        <v>20000</v>
      </c>
      <c r="K1144" s="7">
        <v>1220000</v>
      </c>
      <c r="L1144" t="s">
        <v>884</v>
      </c>
      <c r="M1144" t="s">
        <v>901</v>
      </c>
      <c r="N1144" t="s">
        <v>875</v>
      </c>
      <c r="O1144" t="s">
        <v>891</v>
      </c>
      <c r="P1144" t="s">
        <v>877</v>
      </c>
      <c r="Q1144" s="7">
        <v>1200000</v>
      </c>
    </row>
    <row r="1145" spans="1:17">
      <c r="A1145" t="s">
        <v>2040</v>
      </c>
      <c r="B1145" s="6">
        <v>45765</v>
      </c>
      <c r="C1145" t="s">
        <v>105</v>
      </c>
      <c r="D1145" t="s">
        <v>763</v>
      </c>
      <c r="E1145">
        <v>1</v>
      </c>
      <c r="F1145" s="7">
        <v>75000</v>
      </c>
      <c r="G1145" s="7">
        <v>75000</v>
      </c>
      <c r="H1145" t="s">
        <v>883</v>
      </c>
      <c r="I1145" s="7">
        <v>7500</v>
      </c>
      <c r="J1145" s="7">
        <v>15000</v>
      </c>
      <c r="K1145" s="7">
        <v>82500</v>
      </c>
      <c r="L1145" t="s">
        <v>884</v>
      </c>
      <c r="M1145" t="s">
        <v>874</v>
      </c>
      <c r="N1145" t="s">
        <v>875</v>
      </c>
      <c r="O1145" t="s">
        <v>891</v>
      </c>
      <c r="P1145" t="s">
        <v>877</v>
      </c>
      <c r="Q1145" s="7">
        <v>67500</v>
      </c>
    </row>
    <row r="1146" spans="1:17">
      <c r="A1146" t="s">
        <v>2041</v>
      </c>
      <c r="B1146" s="6">
        <v>45801</v>
      </c>
      <c r="C1146" t="s">
        <v>550</v>
      </c>
      <c r="D1146" t="s">
        <v>825</v>
      </c>
      <c r="E1146">
        <v>1</v>
      </c>
      <c r="F1146" s="7">
        <v>100000</v>
      </c>
      <c r="G1146" s="7">
        <v>100000</v>
      </c>
      <c r="H1146" t="s">
        <v>883</v>
      </c>
      <c r="I1146" s="7">
        <v>10000</v>
      </c>
      <c r="J1146" s="7">
        <v>20000</v>
      </c>
      <c r="K1146" s="7">
        <v>110000</v>
      </c>
      <c r="L1146" t="s">
        <v>884</v>
      </c>
      <c r="M1146" t="s">
        <v>881</v>
      </c>
      <c r="N1146" t="s">
        <v>875</v>
      </c>
      <c r="O1146" t="s">
        <v>896</v>
      </c>
      <c r="P1146" t="s">
        <v>877</v>
      </c>
      <c r="Q1146" s="7">
        <v>90000</v>
      </c>
    </row>
    <row r="1147" spans="1:17">
      <c r="A1147" t="s">
        <v>2042</v>
      </c>
      <c r="B1147" s="6">
        <v>45665</v>
      </c>
      <c r="C1147" t="s">
        <v>32</v>
      </c>
      <c r="D1147" t="s">
        <v>733</v>
      </c>
      <c r="E1147">
        <v>3</v>
      </c>
      <c r="F1147" s="7">
        <v>150000</v>
      </c>
      <c r="G1147" s="7">
        <v>450000</v>
      </c>
      <c r="H1147" t="s">
        <v>883</v>
      </c>
      <c r="I1147" s="7">
        <v>45000</v>
      </c>
      <c r="J1147" s="7">
        <v>25000</v>
      </c>
      <c r="K1147" s="7">
        <v>430000</v>
      </c>
      <c r="L1147" t="s">
        <v>873</v>
      </c>
      <c r="M1147" t="s">
        <v>903</v>
      </c>
      <c r="N1147" t="s">
        <v>875</v>
      </c>
      <c r="O1147" t="s">
        <v>908</v>
      </c>
      <c r="P1147" t="s">
        <v>877</v>
      </c>
      <c r="Q1147" s="7">
        <v>405000</v>
      </c>
    </row>
    <row r="1148" spans="1:17">
      <c r="A1148" t="s">
        <v>2043</v>
      </c>
      <c r="B1148" s="6">
        <v>45683</v>
      </c>
      <c r="C1148" t="s">
        <v>550</v>
      </c>
      <c r="D1148" t="s">
        <v>829</v>
      </c>
      <c r="E1148">
        <v>2</v>
      </c>
      <c r="F1148" s="7">
        <v>500000</v>
      </c>
      <c r="G1148" s="7">
        <v>1000000</v>
      </c>
      <c r="H1148" t="s">
        <v>872</v>
      </c>
      <c r="I1148" s="7">
        <v>0</v>
      </c>
      <c r="J1148" s="7">
        <v>15000</v>
      </c>
      <c r="K1148" s="7">
        <v>1015000</v>
      </c>
      <c r="L1148" t="s">
        <v>889</v>
      </c>
      <c r="M1148" t="s">
        <v>881</v>
      </c>
      <c r="N1148" t="s">
        <v>875</v>
      </c>
      <c r="O1148" t="s">
        <v>908</v>
      </c>
      <c r="P1148" t="s">
        <v>877</v>
      </c>
      <c r="Q1148" s="7">
        <v>1000000</v>
      </c>
    </row>
    <row r="1149" spans="1:17">
      <c r="A1149" t="s">
        <v>2044</v>
      </c>
      <c r="B1149" s="6">
        <v>45676</v>
      </c>
      <c r="C1149" t="s">
        <v>330</v>
      </c>
      <c r="D1149" t="s">
        <v>769</v>
      </c>
      <c r="E1149">
        <v>2</v>
      </c>
      <c r="F1149" s="7">
        <v>100000</v>
      </c>
      <c r="G1149" s="7">
        <v>200000</v>
      </c>
      <c r="H1149" t="s">
        <v>883</v>
      </c>
      <c r="I1149" s="7">
        <v>20000</v>
      </c>
      <c r="J1149" s="7">
        <v>20000</v>
      </c>
      <c r="K1149" s="7">
        <v>200000</v>
      </c>
      <c r="L1149" t="s">
        <v>880</v>
      </c>
      <c r="M1149" t="s">
        <v>901</v>
      </c>
      <c r="N1149" t="s">
        <v>875</v>
      </c>
      <c r="O1149" t="s">
        <v>908</v>
      </c>
      <c r="P1149" t="s">
        <v>877</v>
      </c>
      <c r="Q1149" s="7">
        <v>180000</v>
      </c>
    </row>
    <row r="1150" spans="1:17">
      <c r="A1150" t="s">
        <v>2045</v>
      </c>
      <c r="B1150" s="6">
        <v>45833</v>
      </c>
      <c r="C1150" t="s">
        <v>630</v>
      </c>
      <c r="D1150" t="s">
        <v>791</v>
      </c>
      <c r="E1150">
        <v>1</v>
      </c>
      <c r="F1150" s="7">
        <v>50000</v>
      </c>
      <c r="G1150" s="7">
        <v>50000</v>
      </c>
      <c r="H1150" t="s">
        <v>886</v>
      </c>
      <c r="I1150" s="7">
        <v>5000</v>
      </c>
      <c r="J1150" s="7">
        <v>10000</v>
      </c>
      <c r="K1150" s="7">
        <v>55000</v>
      </c>
      <c r="L1150" t="s">
        <v>889</v>
      </c>
      <c r="M1150" t="s">
        <v>901</v>
      </c>
      <c r="N1150" t="s">
        <v>875</v>
      </c>
      <c r="O1150" t="s">
        <v>915</v>
      </c>
      <c r="P1150" t="s">
        <v>877</v>
      </c>
      <c r="Q1150" s="7">
        <v>45000</v>
      </c>
    </row>
    <row r="1151" spans="1:17">
      <c r="A1151" t="s">
        <v>2046</v>
      </c>
      <c r="B1151" s="6">
        <v>45701</v>
      </c>
      <c r="C1151" t="s">
        <v>358</v>
      </c>
      <c r="D1151" t="s">
        <v>815</v>
      </c>
      <c r="E1151">
        <v>1</v>
      </c>
      <c r="F1151" s="7">
        <v>75000</v>
      </c>
      <c r="G1151" s="7">
        <v>75000</v>
      </c>
      <c r="H1151" t="s">
        <v>872</v>
      </c>
      <c r="I1151" s="7">
        <v>0</v>
      </c>
      <c r="J1151" s="7">
        <v>15000</v>
      </c>
      <c r="K1151" s="7">
        <v>90000</v>
      </c>
      <c r="L1151" t="s">
        <v>889</v>
      </c>
      <c r="M1151" t="s">
        <v>903</v>
      </c>
      <c r="N1151" t="s">
        <v>875</v>
      </c>
      <c r="O1151" t="s">
        <v>887</v>
      </c>
      <c r="P1151" t="s">
        <v>877</v>
      </c>
      <c r="Q1151" s="7">
        <v>75000</v>
      </c>
    </row>
    <row r="1152" spans="1:17">
      <c r="A1152" t="s">
        <v>2047</v>
      </c>
      <c r="B1152" s="6">
        <v>45724</v>
      </c>
      <c r="C1152" t="s">
        <v>490</v>
      </c>
      <c r="D1152" t="s">
        <v>751</v>
      </c>
      <c r="E1152">
        <v>2</v>
      </c>
      <c r="F1152" s="7">
        <v>150000</v>
      </c>
      <c r="G1152" s="7">
        <v>300000</v>
      </c>
      <c r="H1152" t="s">
        <v>883</v>
      </c>
      <c r="I1152" s="7">
        <v>30000</v>
      </c>
      <c r="J1152" s="7">
        <v>10000</v>
      </c>
      <c r="K1152" s="7">
        <v>280000</v>
      </c>
      <c r="L1152" t="s">
        <v>884</v>
      </c>
      <c r="M1152" t="s">
        <v>901</v>
      </c>
      <c r="N1152" t="s">
        <v>875</v>
      </c>
      <c r="O1152" t="s">
        <v>876</v>
      </c>
      <c r="P1152" t="s">
        <v>877</v>
      </c>
      <c r="Q1152" s="7">
        <v>270000</v>
      </c>
    </row>
    <row r="1153" spans="1:17">
      <c r="A1153" t="s">
        <v>2048</v>
      </c>
      <c r="B1153" s="6">
        <v>45765</v>
      </c>
      <c r="C1153" t="s">
        <v>348</v>
      </c>
      <c r="D1153" t="s">
        <v>761</v>
      </c>
      <c r="E1153">
        <v>1</v>
      </c>
      <c r="F1153" s="7">
        <v>75000</v>
      </c>
      <c r="G1153" s="7">
        <v>75000</v>
      </c>
      <c r="H1153" t="s">
        <v>895</v>
      </c>
      <c r="I1153" s="7">
        <v>11250</v>
      </c>
      <c r="J1153" s="7">
        <v>15000</v>
      </c>
      <c r="K1153" s="7">
        <v>78750</v>
      </c>
      <c r="L1153" t="s">
        <v>873</v>
      </c>
      <c r="M1153" t="s">
        <v>881</v>
      </c>
      <c r="N1153" t="s">
        <v>905</v>
      </c>
      <c r="O1153" t="s">
        <v>891</v>
      </c>
      <c r="P1153" t="s">
        <v>892</v>
      </c>
      <c r="Q1153" s="7">
        <v>63750</v>
      </c>
    </row>
    <row r="1154" spans="1:17">
      <c r="A1154" t="s">
        <v>2049</v>
      </c>
      <c r="B1154" s="6">
        <v>45765</v>
      </c>
      <c r="C1154" t="s">
        <v>138</v>
      </c>
      <c r="D1154" t="s">
        <v>803</v>
      </c>
      <c r="E1154">
        <v>1</v>
      </c>
      <c r="F1154" s="7">
        <v>50000</v>
      </c>
      <c r="G1154" s="7">
        <v>50000</v>
      </c>
      <c r="H1154" t="s">
        <v>883</v>
      </c>
      <c r="I1154" s="7">
        <v>5000</v>
      </c>
      <c r="J1154" s="7">
        <v>10000</v>
      </c>
      <c r="K1154" s="7">
        <v>55000</v>
      </c>
      <c r="L1154" t="s">
        <v>873</v>
      </c>
      <c r="M1154" t="s">
        <v>881</v>
      </c>
      <c r="N1154" t="s">
        <v>905</v>
      </c>
      <c r="O1154" t="s">
        <v>891</v>
      </c>
      <c r="P1154" t="s">
        <v>892</v>
      </c>
      <c r="Q1154" s="7">
        <v>45000</v>
      </c>
    </row>
    <row r="1155" spans="1:17">
      <c r="A1155" t="s">
        <v>2050</v>
      </c>
      <c r="B1155" s="6">
        <v>45701</v>
      </c>
      <c r="C1155" t="s">
        <v>348</v>
      </c>
      <c r="D1155" t="s">
        <v>831</v>
      </c>
      <c r="E1155">
        <v>1</v>
      </c>
      <c r="F1155" s="7">
        <v>300000</v>
      </c>
      <c r="G1155" s="7">
        <v>300000</v>
      </c>
      <c r="H1155" t="s">
        <v>872</v>
      </c>
      <c r="I1155" s="7">
        <v>0</v>
      </c>
      <c r="J1155" s="7">
        <v>10000</v>
      </c>
      <c r="K1155" s="7">
        <v>310000</v>
      </c>
      <c r="L1155" t="s">
        <v>873</v>
      </c>
      <c r="M1155" t="s">
        <v>903</v>
      </c>
      <c r="N1155" t="s">
        <v>905</v>
      </c>
      <c r="O1155" t="s">
        <v>887</v>
      </c>
      <c r="P1155" t="s">
        <v>892</v>
      </c>
      <c r="Q1155" s="7">
        <v>300000</v>
      </c>
    </row>
    <row r="1156" spans="1:17">
      <c r="A1156" t="s">
        <v>2051</v>
      </c>
      <c r="B1156" s="6">
        <v>45687</v>
      </c>
      <c r="C1156" t="s">
        <v>426</v>
      </c>
      <c r="D1156" t="s">
        <v>823</v>
      </c>
      <c r="E1156">
        <v>2</v>
      </c>
      <c r="F1156" s="7">
        <v>500000</v>
      </c>
      <c r="G1156" s="7">
        <v>1000000</v>
      </c>
      <c r="H1156" t="s">
        <v>872</v>
      </c>
      <c r="I1156" s="7">
        <v>0</v>
      </c>
      <c r="J1156" s="7">
        <v>25000</v>
      </c>
      <c r="K1156" s="7">
        <v>1025000</v>
      </c>
      <c r="L1156" t="s">
        <v>873</v>
      </c>
      <c r="M1156" t="s">
        <v>874</v>
      </c>
      <c r="N1156" t="s">
        <v>875</v>
      </c>
      <c r="O1156" t="s">
        <v>908</v>
      </c>
      <c r="P1156" t="s">
        <v>877</v>
      </c>
      <c r="Q1156" s="7">
        <v>1000000</v>
      </c>
    </row>
    <row r="1157" spans="1:17">
      <c r="A1157" t="s">
        <v>2052</v>
      </c>
      <c r="B1157" s="6">
        <v>45796</v>
      </c>
      <c r="C1157" t="s">
        <v>40</v>
      </c>
      <c r="D1157" t="s">
        <v>789</v>
      </c>
      <c r="E1157">
        <v>1</v>
      </c>
      <c r="F1157" s="7">
        <v>200000</v>
      </c>
      <c r="G1157" s="7">
        <v>200000</v>
      </c>
      <c r="H1157" t="s">
        <v>872</v>
      </c>
      <c r="I1157" s="7">
        <v>0</v>
      </c>
      <c r="J1157" s="7">
        <v>25000</v>
      </c>
      <c r="K1157" s="7">
        <v>225000</v>
      </c>
      <c r="L1157" t="s">
        <v>884</v>
      </c>
      <c r="M1157" t="s">
        <v>874</v>
      </c>
      <c r="N1157" t="s">
        <v>875</v>
      </c>
      <c r="O1157" t="s">
        <v>896</v>
      </c>
      <c r="P1157" t="s">
        <v>877</v>
      </c>
      <c r="Q1157" s="7">
        <v>200000</v>
      </c>
    </row>
    <row r="1158" spans="1:17">
      <c r="A1158" t="s">
        <v>2053</v>
      </c>
      <c r="B1158" s="6">
        <v>45787</v>
      </c>
      <c r="C1158" t="s">
        <v>103</v>
      </c>
      <c r="D1158" t="s">
        <v>751</v>
      </c>
      <c r="E1158">
        <v>2</v>
      </c>
      <c r="F1158" s="7">
        <v>150000</v>
      </c>
      <c r="G1158" s="7">
        <v>300000</v>
      </c>
      <c r="H1158" t="s">
        <v>872</v>
      </c>
      <c r="I1158" s="7">
        <v>0</v>
      </c>
      <c r="J1158" s="7">
        <v>15000</v>
      </c>
      <c r="K1158" s="7">
        <v>315000</v>
      </c>
      <c r="L1158" t="s">
        <v>884</v>
      </c>
      <c r="M1158" t="s">
        <v>881</v>
      </c>
      <c r="N1158" t="s">
        <v>875</v>
      </c>
      <c r="O1158" t="s">
        <v>896</v>
      </c>
      <c r="P1158" t="s">
        <v>877</v>
      </c>
      <c r="Q1158" s="7">
        <v>300000</v>
      </c>
    </row>
    <row r="1159" spans="1:17">
      <c r="A1159" t="s">
        <v>2054</v>
      </c>
      <c r="B1159" s="6">
        <v>45718</v>
      </c>
      <c r="C1159" t="s">
        <v>248</v>
      </c>
      <c r="D1159" t="s">
        <v>759</v>
      </c>
      <c r="E1159">
        <v>1</v>
      </c>
      <c r="F1159" s="7">
        <v>300000</v>
      </c>
      <c r="G1159" s="7">
        <v>300000</v>
      </c>
      <c r="H1159" t="s">
        <v>879</v>
      </c>
      <c r="I1159" s="7">
        <v>60000</v>
      </c>
      <c r="J1159" s="7">
        <v>20000</v>
      </c>
      <c r="K1159" s="7">
        <v>260000</v>
      </c>
      <c r="L1159" t="s">
        <v>889</v>
      </c>
      <c r="M1159" t="s">
        <v>881</v>
      </c>
      <c r="N1159" t="s">
        <v>875</v>
      </c>
      <c r="O1159" t="s">
        <v>876</v>
      </c>
      <c r="P1159" t="s">
        <v>877</v>
      </c>
      <c r="Q1159" s="7">
        <v>240000</v>
      </c>
    </row>
    <row r="1160" spans="1:17">
      <c r="A1160" t="s">
        <v>2055</v>
      </c>
      <c r="B1160" s="6">
        <v>45659</v>
      </c>
      <c r="C1160" t="s">
        <v>362</v>
      </c>
      <c r="D1160" t="s">
        <v>809</v>
      </c>
      <c r="E1160">
        <v>3</v>
      </c>
      <c r="F1160" s="7">
        <v>100000</v>
      </c>
      <c r="G1160" s="7">
        <v>300000</v>
      </c>
      <c r="H1160" t="s">
        <v>883</v>
      </c>
      <c r="I1160" s="7">
        <v>30000</v>
      </c>
      <c r="J1160" s="7">
        <v>25000</v>
      </c>
      <c r="K1160" s="7">
        <v>295000</v>
      </c>
      <c r="L1160" t="s">
        <v>880</v>
      </c>
      <c r="M1160" t="s">
        <v>903</v>
      </c>
      <c r="N1160" t="s">
        <v>890</v>
      </c>
      <c r="O1160" t="s">
        <v>908</v>
      </c>
      <c r="P1160" t="s">
        <v>892</v>
      </c>
      <c r="Q1160" s="7">
        <v>270000</v>
      </c>
    </row>
    <row r="1161" spans="1:17">
      <c r="A1161" t="s">
        <v>2056</v>
      </c>
      <c r="B1161" s="6">
        <v>45759</v>
      </c>
      <c r="C1161" t="s">
        <v>258</v>
      </c>
      <c r="D1161" t="s">
        <v>785</v>
      </c>
      <c r="E1161">
        <v>3</v>
      </c>
      <c r="F1161" s="7">
        <v>100000</v>
      </c>
      <c r="G1161" s="7">
        <v>300000</v>
      </c>
      <c r="H1161" t="s">
        <v>883</v>
      </c>
      <c r="I1161" s="7">
        <v>30000</v>
      </c>
      <c r="J1161" s="7">
        <v>10000</v>
      </c>
      <c r="K1161" s="7">
        <v>280000</v>
      </c>
      <c r="L1161" t="s">
        <v>889</v>
      </c>
      <c r="M1161" t="s">
        <v>901</v>
      </c>
      <c r="N1161" t="s">
        <v>875</v>
      </c>
      <c r="O1161" t="s">
        <v>891</v>
      </c>
      <c r="P1161" t="s">
        <v>877</v>
      </c>
      <c r="Q1161" s="7">
        <v>270000</v>
      </c>
    </row>
    <row r="1162" spans="1:17">
      <c r="A1162" t="s">
        <v>2057</v>
      </c>
      <c r="B1162" s="6">
        <v>45773</v>
      </c>
      <c r="C1162" t="s">
        <v>488</v>
      </c>
      <c r="D1162" t="s">
        <v>779</v>
      </c>
      <c r="E1162">
        <v>2</v>
      </c>
      <c r="F1162" s="7">
        <v>150000</v>
      </c>
      <c r="G1162" s="7">
        <v>300000</v>
      </c>
      <c r="H1162" t="s">
        <v>886</v>
      </c>
      <c r="I1162" s="7">
        <v>30000</v>
      </c>
      <c r="J1162" s="7">
        <v>30000</v>
      </c>
      <c r="K1162" s="7">
        <v>300000</v>
      </c>
      <c r="L1162" t="s">
        <v>889</v>
      </c>
      <c r="M1162" t="s">
        <v>903</v>
      </c>
      <c r="N1162" t="s">
        <v>890</v>
      </c>
      <c r="O1162" t="s">
        <v>891</v>
      </c>
      <c r="P1162" t="s">
        <v>892</v>
      </c>
      <c r="Q1162" s="7">
        <v>270000</v>
      </c>
    </row>
    <row r="1163" spans="1:17">
      <c r="A1163" t="s">
        <v>2058</v>
      </c>
      <c r="B1163" s="6">
        <v>45716</v>
      </c>
      <c r="C1163" t="s">
        <v>125</v>
      </c>
      <c r="D1163" t="s">
        <v>779</v>
      </c>
      <c r="E1163">
        <v>2</v>
      </c>
      <c r="F1163" s="7">
        <v>150000</v>
      </c>
      <c r="G1163" s="7">
        <v>300000</v>
      </c>
      <c r="H1163" t="s">
        <v>879</v>
      </c>
      <c r="I1163" s="7">
        <v>60000</v>
      </c>
      <c r="J1163" s="7">
        <v>10000</v>
      </c>
      <c r="K1163" s="7">
        <v>250000</v>
      </c>
      <c r="L1163" t="s">
        <v>873</v>
      </c>
      <c r="M1163" t="s">
        <v>874</v>
      </c>
      <c r="N1163" t="s">
        <v>875</v>
      </c>
      <c r="O1163" t="s">
        <v>887</v>
      </c>
      <c r="P1163" t="s">
        <v>877</v>
      </c>
      <c r="Q1163" s="7">
        <v>240000</v>
      </c>
    </row>
    <row r="1164" spans="1:17">
      <c r="A1164" t="s">
        <v>2059</v>
      </c>
      <c r="B1164" s="6">
        <v>45831</v>
      </c>
      <c r="C1164" t="s">
        <v>482</v>
      </c>
      <c r="D1164" t="s">
        <v>763</v>
      </c>
      <c r="E1164">
        <v>2</v>
      </c>
      <c r="F1164" s="7">
        <v>75000</v>
      </c>
      <c r="G1164" s="7">
        <v>150000</v>
      </c>
      <c r="H1164" t="s">
        <v>872</v>
      </c>
      <c r="I1164" s="7">
        <v>0</v>
      </c>
      <c r="J1164" s="7">
        <v>30000</v>
      </c>
      <c r="K1164" s="7">
        <v>180000</v>
      </c>
      <c r="L1164" t="s">
        <v>880</v>
      </c>
      <c r="M1164" t="s">
        <v>874</v>
      </c>
      <c r="N1164" t="s">
        <v>875</v>
      </c>
      <c r="O1164" t="s">
        <v>915</v>
      </c>
      <c r="P1164" t="s">
        <v>877</v>
      </c>
      <c r="Q1164" s="7">
        <v>150000</v>
      </c>
    </row>
    <row r="1165" spans="1:17">
      <c r="A1165" t="s">
        <v>2060</v>
      </c>
      <c r="B1165" s="6">
        <v>45686</v>
      </c>
      <c r="C1165" t="s">
        <v>54</v>
      </c>
      <c r="D1165" t="s">
        <v>829</v>
      </c>
      <c r="E1165">
        <v>4</v>
      </c>
      <c r="F1165" s="7">
        <v>500000</v>
      </c>
      <c r="G1165" s="7">
        <v>2000000</v>
      </c>
      <c r="H1165" t="s">
        <v>872</v>
      </c>
      <c r="I1165" s="7">
        <v>0</v>
      </c>
      <c r="J1165" s="7">
        <v>15000</v>
      </c>
      <c r="K1165" s="7">
        <v>2015000</v>
      </c>
      <c r="L1165" t="s">
        <v>873</v>
      </c>
      <c r="M1165" t="s">
        <v>901</v>
      </c>
      <c r="N1165" t="s">
        <v>875</v>
      </c>
      <c r="O1165" t="s">
        <v>908</v>
      </c>
      <c r="P1165" t="s">
        <v>877</v>
      </c>
      <c r="Q1165" s="7">
        <v>2000000</v>
      </c>
    </row>
    <row r="1166" spans="1:17">
      <c r="A1166" t="s">
        <v>2061</v>
      </c>
      <c r="B1166" s="6">
        <v>45662</v>
      </c>
      <c r="C1166" t="s">
        <v>47</v>
      </c>
      <c r="D1166" t="s">
        <v>769</v>
      </c>
      <c r="E1166">
        <v>3</v>
      </c>
      <c r="F1166" s="7">
        <v>100000</v>
      </c>
      <c r="G1166" s="7">
        <v>300000</v>
      </c>
      <c r="H1166" t="s">
        <v>872</v>
      </c>
      <c r="I1166" s="7">
        <v>0</v>
      </c>
      <c r="J1166" s="7">
        <v>15000</v>
      </c>
      <c r="K1166" s="7">
        <v>315000</v>
      </c>
      <c r="L1166" t="s">
        <v>884</v>
      </c>
      <c r="M1166" t="s">
        <v>874</v>
      </c>
      <c r="N1166" t="s">
        <v>875</v>
      </c>
      <c r="O1166" t="s">
        <v>908</v>
      </c>
      <c r="P1166" t="s">
        <v>877</v>
      </c>
      <c r="Q1166" s="7">
        <v>300000</v>
      </c>
    </row>
    <row r="1167" spans="1:17">
      <c r="A1167" t="s">
        <v>2062</v>
      </c>
      <c r="B1167" s="6">
        <v>45768</v>
      </c>
      <c r="C1167" t="s">
        <v>438</v>
      </c>
      <c r="D1167" t="s">
        <v>725</v>
      </c>
      <c r="E1167">
        <v>1</v>
      </c>
      <c r="F1167" s="7">
        <v>300000</v>
      </c>
      <c r="G1167" s="7">
        <v>300000</v>
      </c>
      <c r="H1167" t="s">
        <v>872</v>
      </c>
      <c r="I1167" s="7">
        <v>0</v>
      </c>
      <c r="J1167" s="7">
        <v>15000</v>
      </c>
      <c r="K1167" s="7">
        <v>315000</v>
      </c>
      <c r="L1167" t="s">
        <v>873</v>
      </c>
      <c r="M1167" t="s">
        <v>874</v>
      </c>
      <c r="N1167" t="s">
        <v>875</v>
      </c>
      <c r="O1167" t="s">
        <v>891</v>
      </c>
      <c r="P1167" t="s">
        <v>877</v>
      </c>
      <c r="Q1167" s="7">
        <v>300000</v>
      </c>
    </row>
    <row r="1168" spans="1:17">
      <c r="A1168" t="s">
        <v>2063</v>
      </c>
      <c r="B1168" s="6">
        <v>45775</v>
      </c>
      <c r="C1168" t="s">
        <v>238</v>
      </c>
      <c r="D1168" t="s">
        <v>751</v>
      </c>
      <c r="E1168">
        <v>2</v>
      </c>
      <c r="F1168" s="7">
        <v>150000</v>
      </c>
      <c r="G1168" s="7">
        <v>300000</v>
      </c>
      <c r="H1168" t="s">
        <v>872</v>
      </c>
      <c r="I1168" s="7">
        <v>0</v>
      </c>
      <c r="J1168" s="7">
        <v>30000</v>
      </c>
      <c r="K1168" s="7">
        <v>330000</v>
      </c>
      <c r="L1168" t="s">
        <v>873</v>
      </c>
      <c r="M1168" t="s">
        <v>874</v>
      </c>
      <c r="N1168" t="s">
        <v>875</v>
      </c>
      <c r="O1168" t="s">
        <v>891</v>
      </c>
      <c r="P1168" t="s">
        <v>877</v>
      </c>
      <c r="Q1168" s="7">
        <v>300000</v>
      </c>
    </row>
    <row r="1169" spans="1:17">
      <c r="A1169" t="s">
        <v>2064</v>
      </c>
      <c r="B1169" s="6">
        <v>45737</v>
      </c>
      <c r="C1169" t="s">
        <v>160</v>
      </c>
      <c r="D1169" t="s">
        <v>789</v>
      </c>
      <c r="E1169">
        <v>3</v>
      </c>
      <c r="F1169" s="7">
        <v>200000</v>
      </c>
      <c r="G1169" s="7">
        <v>600000</v>
      </c>
      <c r="H1169" t="s">
        <v>872</v>
      </c>
      <c r="I1169" s="7">
        <v>0</v>
      </c>
      <c r="J1169" s="7">
        <v>25000</v>
      </c>
      <c r="K1169" s="7">
        <v>625000</v>
      </c>
      <c r="L1169" t="s">
        <v>873</v>
      </c>
      <c r="M1169" t="s">
        <v>874</v>
      </c>
      <c r="N1169" t="s">
        <v>875</v>
      </c>
      <c r="O1169" t="s">
        <v>876</v>
      </c>
      <c r="P1169" t="s">
        <v>877</v>
      </c>
      <c r="Q1169" s="7">
        <v>600000</v>
      </c>
    </row>
    <row r="1170" spans="1:17">
      <c r="A1170" t="s">
        <v>2065</v>
      </c>
      <c r="B1170" s="6">
        <v>45664</v>
      </c>
      <c r="C1170" t="s">
        <v>338</v>
      </c>
      <c r="D1170" t="s">
        <v>831</v>
      </c>
      <c r="E1170">
        <v>1</v>
      </c>
      <c r="F1170" s="7">
        <v>300000</v>
      </c>
      <c r="G1170" s="7">
        <v>300000</v>
      </c>
      <c r="H1170" t="s">
        <v>872</v>
      </c>
      <c r="I1170" s="7">
        <v>0</v>
      </c>
      <c r="J1170" s="7">
        <v>15000</v>
      </c>
      <c r="K1170" s="7">
        <v>315000</v>
      </c>
      <c r="L1170" t="s">
        <v>873</v>
      </c>
      <c r="M1170" t="s">
        <v>903</v>
      </c>
      <c r="N1170" t="s">
        <v>875</v>
      </c>
      <c r="O1170" t="s">
        <v>908</v>
      </c>
      <c r="P1170" t="s">
        <v>877</v>
      </c>
      <c r="Q1170" s="7">
        <v>300000</v>
      </c>
    </row>
    <row r="1171" spans="1:17">
      <c r="A1171" t="s">
        <v>2066</v>
      </c>
      <c r="B1171" s="6">
        <v>45737</v>
      </c>
      <c r="C1171" t="s">
        <v>424</v>
      </c>
      <c r="D1171" t="s">
        <v>799</v>
      </c>
      <c r="E1171">
        <v>2</v>
      </c>
      <c r="F1171" s="7">
        <v>35000</v>
      </c>
      <c r="G1171" s="7">
        <v>70000</v>
      </c>
      <c r="H1171" t="s">
        <v>872</v>
      </c>
      <c r="I1171" s="7">
        <v>0</v>
      </c>
      <c r="J1171" s="7">
        <v>25000</v>
      </c>
      <c r="K1171" s="7">
        <v>95000</v>
      </c>
      <c r="L1171" t="s">
        <v>880</v>
      </c>
      <c r="M1171" t="s">
        <v>901</v>
      </c>
      <c r="N1171" t="s">
        <v>875</v>
      </c>
      <c r="O1171" t="s">
        <v>876</v>
      </c>
      <c r="P1171" t="s">
        <v>877</v>
      </c>
      <c r="Q1171" s="7">
        <v>70000</v>
      </c>
    </row>
    <row r="1172" spans="1:17">
      <c r="A1172" t="s">
        <v>2067</v>
      </c>
      <c r="B1172" s="6">
        <v>45684</v>
      </c>
      <c r="C1172" t="s">
        <v>350</v>
      </c>
      <c r="D1172" t="s">
        <v>771</v>
      </c>
      <c r="E1172">
        <v>4</v>
      </c>
      <c r="F1172" s="7">
        <v>500000</v>
      </c>
      <c r="G1172" s="7">
        <v>2000000</v>
      </c>
      <c r="H1172" t="s">
        <v>886</v>
      </c>
      <c r="I1172" s="7">
        <v>200000</v>
      </c>
      <c r="J1172" s="7">
        <v>30000</v>
      </c>
      <c r="K1172" s="7">
        <v>1830000</v>
      </c>
      <c r="L1172" t="s">
        <v>884</v>
      </c>
      <c r="M1172" t="s">
        <v>901</v>
      </c>
      <c r="N1172" t="s">
        <v>875</v>
      </c>
      <c r="O1172" t="s">
        <v>908</v>
      </c>
      <c r="P1172" t="s">
        <v>877</v>
      </c>
      <c r="Q1172" s="7">
        <v>1800000</v>
      </c>
    </row>
    <row r="1173" spans="1:17">
      <c r="A1173" t="s">
        <v>2068</v>
      </c>
      <c r="B1173" s="6">
        <v>45706</v>
      </c>
      <c r="C1173" t="s">
        <v>356</v>
      </c>
      <c r="D1173" t="s">
        <v>839</v>
      </c>
      <c r="E1173">
        <v>2</v>
      </c>
      <c r="F1173" s="7">
        <v>200000</v>
      </c>
      <c r="G1173" s="7">
        <v>400000</v>
      </c>
      <c r="H1173" t="s">
        <v>872</v>
      </c>
      <c r="I1173" s="7">
        <v>0</v>
      </c>
      <c r="J1173" s="7">
        <v>25000</v>
      </c>
      <c r="K1173" s="7">
        <v>425000</v>
      </c>
      <c r="L1173" t="s">
        <v>889</v>
      </c>
      <c r="M1173" t="s">
        <v>901</v>
      </c>
      <c r="N1173" t="s">
        <v>905</v>
      </c>
      <c r="O1173" t="s">
        <v>887</v>
      </c>
      <c r="P1173" t="s">
        <v>892</v>
      </c>
      <c r="Q1173" s="7">
        <v>400000</v>
      </c>
    </row>
    <row r="1174" spans="1:17">
      <c r="A1174" t="s">
        <v>2069</v>
      </c>
      <c r="B1174" s="6">
        <v>45803</v>
      </c>
      <c r="C1174" t="s">
        <v>18</v>
      </c>
      <c r="D1174" t="s">
        <v>773</v>
      </c>
      <c r="E1174">
        <v>1</v>
      </c>
      <c r="F1174" s="7">
        <v>500000</v>
      </c>
      <c r="G1174" s="7">
        <v>500000</v>
      </c>
      <c r="H1174" t="s">
        <v>872</v>
      </c>
      <c r="I1174" s="7">
        <v>0</v>
      </c>
      <c r="J1174" s="7">
        <v>10000</v>
      </c>
      <c r="K1174" s="7">
        <v>510000</v>
      </c>
      <c r="L1174" t="s">
        <v>884</v>
      </c>
      <c r="M1174" t="s">
        <v>901</v>
      </c>
      <c r="N1174" t="s">
        <v>875</v>
      </c>
      <c r="O1174" t="s">
        <v>896</v>
      </c>
      <c r="P1174" t="s">
        <v>877</v>
      </c>
      <c r="Q1174" s="7">
        <v>500000</v>
      </c>
    </row>
    <row r="1175" spans="1:17">
      <c r="A1175" t="s">
        <v>2070</v>
      </c>
      <c r="B1175" s="6">
        <v>45743</v>
      </c>
      <c r="C1175" t="s">
        <v>40</v>
      </c>
      <c r="D1175" t="s">
        <v>845</v>
      </c>
      <c r="E1175">
        <v>1</v>
      </c>
      <c r="F1175" s="7">
        <v>300000</v>
      </c>
      <c r="G1175" s="7">
        <v>300000</v>
      </c>
      <c r="H1175" t="s">
        <v>879</v>
      </c>
      <c r="I1175" s="7">
        <v>60000</v>
      </c>
      <c r="J1175" s="7">
        <v>30000</v>
      </c>
      <c r="K1175" s="7">
        <v>270000</v>
      </c>
      <c r="L1175" t="s">
        <v>884</v>
      </c>
      <c r="M1175" t="s">
        <v>903</v>
      </c>
      <c r="N1175" t="s">
        <v>890</v>
      </c>
      <c r="O1175" t="s">
        <v>876</v>
      </c>
      <c r="P1175" t="s">
        <v>892</v>
      </c>
      <c r="Q1175" s="7">
        <v>240000</v>
      </c>
    </row>
    <row r="1176" spans="1:17">
      <c r="A1176" t="s">
        <v>2071</v>
      </c>
      <c r="B1176" s="6">
        <v>45676</v>
      </c>
      <c r="C1176" t="s">
        <v>458</v>
      </c>
      <c r="D1176" t="s">
        <v>827</v>
      </c>
      <c r="E1176">
        <v>1</v>
      </c>
      <c r="F1176" s="7">
        <v>100000</v>
      </c>
      <c r="G1176" s="7">
        <v>100000</v>
      </c>
      <c r="H1176" t="s">
        <v>883</v>
      </c>
      <c r="I1176" s="7">
        <v>10000</v>
      </c>
      <c r="J1176" s="7">
        <v>25000</v>
      </c>
      <c r="K1176" s="7">
        <v>115000</v>
      </c>
      <c r="L1176" t="s">
        <v>889</v>
      </c>
      <c r="M1176" t="s">
        <v>903</v>
      </c>
      <c r="N1176" t="s">
        <v>875</v>
      </c>
      <c r="O1176" t="s">
        <v>908</v>
      </c>
      <c r="P1176" t="s">
        <v>877</v>
      </c>
      <c r="Q1176" s="7">
        <v>90000</v>
      </c>
    </row>
    <row r="1177" spans="1:17">
      <c r="A1177" t="s">
        <v>2072</v>
      </c>
      <c r="B1177" s="6">
        <v>45703</v>
      </c>
      <c r="C1177" t="s">
        <v>42</v>
      </c>
      <c r="D1177" t="s">
        <v>777</v>
      </c>
      <c r="E1177">
        <v>4</v>
      </c>
      <c r="F1177" s="7">
        <v>200000</v>
      </c>
      <c r="G1177" s="7">
        <v>800000</v>
      </c>
      <c r="H1177" t="s">
        <v>872</v>
      </c>
      <c r="I1177" s="7">
        <v>0</v>
      </c>
      <c r="J1177" s="7">
        <v>20000</v>
      </c>
      <c r="K1177" s="7">
        <v>820000</v>
      </c>
      <c r="L1177" t="s">
        <v>884</v>
      </c>
      <c r="M1177" t="s">
        <v>901</v>
      </c>
      <c r="N1177" t="s">
        <v>875</v>
      </c>
      <c r="O1177" t="s">
        <v>887</v>
      </c>
      <c r="P1177" t="s">
        <v>877</v>
      </c>
      <c r="Q1177" s="7">
        <v>800000</v>
      </c>
    </row>
    <row r="1178" spans="1:17">
      <c r="A1178" t="s">
        <v>2073</v>
      </c>
      <c r="B1178" s="6">
        <v>45734</v>
      </c>
      <c r="C1178" t="s">
        <v>682</v>
      </c>
      <c r="D1178" t="s">
        <v>829</v>
      </c>
      <c r="E1178">
        <v>1</v>
      </c>
      <c r="F1178" s="7">
        <v>500000</v>
      </c>
      <c r="G1178" s="7">
        <v>500000</v>
      </c>
      <c r="H1178" t="s">
        <v>872</v>
      </c>
      <c r="I1178" s="7">
        <v>0</v>
      </c>
      <c r="J1178" s="7">
        <v>15000</v>
      </c>
      <c r="K1178" s="7">
        <v>515000</v>
      </c>
      <c r="L1178" t="s">
        <v>880</v>
      </c>
      <c r="M1178" t="s">
        <v>881</v>
      </c>
      <c r="N1178" t="s">
        <v>875</v>
      </c>
      <c r="O1178" t="s">
        <v>876</v>
      </c>
      <c r="P1178" t="s">
        <v>877</v>
      </c>
      <c r="Q1178" s="7">
        <v>500000</v>
      </c>
    </row>
    <row r="1179" spans="1:17">
      <c r="A1179" t="s">
        <v>2074</v>
      </c>
      <c r="B1179" s="6">
        <v>45704</v>
      </c>
      <c r="C1179" t="s">
        <v>208</v>
      </c>
      <c r="D1179" t="s">
        <v>797</v>
      </c>
      <c r="E1179">
        <v>2</v>
      </c>
      <c r="F1179" s="7">
        <v>150000</v>
      </c>
      <c r="G1179" s="7">
        <v>300000</v>
      </c>
      <c r="H1179" t="s">
        <v>872</v>
      </c>
      <c r="I1179" s="7">
        <v>0</v>
      </c>
      <c r="J1179" s="7">
        <v>25000</v>
      </c>
      <c r="K1179" s="7">
        <v>325000</v>
      </c>
      <c r="L1179" t="s">
        <v>880</v>
      </c>
      <c r="M1179" t="s">
        <v>901</v>
      </c>
      <c r="N1179" t="s">
        <v>905</v>
      </c>
      <c r="O1179" t="s">
        <v>887</v>
      </c>
      <c r="P1179" t="s">
        <v>892</v>
      </c>
      <c r="Q1179" s="7">
        <v>300000</v>
      </c>
    </row>
    <row r="1180" spans="1:17">
      <c r="A1180" t="s">
        <v>2075</v>
      </c>
      <c r="B1180" s="6">
        <v>45777</v>
      </c>
      <c r="C1180" t="s">
        <v>478</v>
      </c>
      <c r="D1180" t="s">
        <v>745</v>
      </c>
      <c r="E1180">
        <v>2</v>
      </c>
      <c r="F1180" s="7">
        <v>500000</v>
      </c>
      <c r="G1180" s="7">
        <v>1000000</v>
      </c>
      <c r="I1180" s="7">
        <v>0</v>
      </c>
      <c r="J1180" s="7">
        <v>15000</v>
      </c>
      <c r="K1180" s="7">
        <v>1015000</v>
      </c>
      <c r="L1180" t="s">
        <v>884</v>
      </c>
      <c r="M1180" t="s">
        <v>874</v>
      </c>
      <c r="N1180" t="s">
        <v>875</v>
      </c>
      <c r="O1180" t="s">
        <v>891</v>
      </c>
      <c r="P1180" t="s">
        <v>877</v>
      </c>
      <c r="Q1180" s="7">
        <v>1000000</v>
      </c>
    </row>
    <row r="1181" spans="1:17">
      <c r="A1181" t="s">
        <v>2076</v>
      </c>
      <c r="B1181" s="6">
        <v>45752</v>
      </c>
      <c r="C1181" t="s">
        <v>129</v>
      </c>
      <c r="D1181" t="s">
        <v>799</v>
      </c>
      <c r="E1181">
        <v>2</v>
      </c>
      <c r="F1181" s="7">
        <v>35000</v>
      </c>
      <c r="G1181" s="7">
        <v>70000</v>
      </c>
      <c r="H1181" t="s">
        <v>872</v>
      </c>
      <c r="I1181" s="7">
        <v>0</v>
      </c>
      <c r="J1181" s="7">
        <v>10000</v>
      </c>
      <c r="K1181" s="7">
        <v>80000</v>
      </c>
      <c r="L1181" t="s">
        <v>889</v>
      </c>
      <c r="M1181" t="s">
        <v>901</v>
      </c>
      <c r="N1181" t="s">
        <v>875</v>
      </c>
      <c r="O1181" t="s">
        <v>891</v>
      </c>
      <c r="P1181" t="s">
        <v>877</v>
      </c>
      <c r="Q1181" s="7">
        <v>70000</v>
      </c>
    </row>
    <row r="1182" spans="1:17">
      <c r="A1182" t="s">
        <v>2077</v>
      </c>
      <c r="B1182" s="6">
        <v>45744</v>
      </c>
      <c r="C1182" t="s">
        <v>59</v>
      </c>
      <c r="D1182" t="s">
        <v>845</v>
      </c>
      <c r="E1182">
        <v>2</v>
      </c>
      <c r="F1182" s="7">
        <v>300000</v>
      </c>
      <c r="G1182" s="7">
        <v>600000</v>
      </c>
      <c r="H1182" t="s">
        <v>872</v>
      </c>
      <c r="I1182" s="7">
        <v>0</v>
      </c>
      <c r="J1182" s="7">
        <v>15000</v>
      </c>
      <c r="K1182" s="7">
        <v>615000</v>
      </c>
      <c r="L1182" t="s">
        <v>880</v>
      </c>
      <c r="M1182" t="s">
        <v>881</v>
      </c>
      <c r="N1182" t="s">
        <v>875</v>
      </c>
      <c r="O1182" t="s">
        <v>876</v>
      </c>
      <c r="P1182" t="s">
        <v>877</v>
      </c>
      <c r="Q1182" s="7">
        <v>600000</v>
      </c>
    </row>
    <row r="1183" spans="1:17">
      <c r="A1183" t="s">
        <v>2078</v>
      </c>
      <c r="B1183" s="6">
        <v>45772</v>
      </c>
      <c r="C1183" t="s">
        <v>113</v>
      </c>
      <c r="D1183" t="s">
        <v>853</v>
      </c>
      <c r="E1183">
        <v>3</v>
      </c>
      <c r="F1183" s="7">
        <v>75000</v>
      </c>
      <c r="G1183" s="7">
        <v>225000</v>
      </c>
      <c r="H1183" t="s">
        <v>872</v>
      </c>
      <c r="I1183" s="7">
        <v>0</v>
      </c>
      <c r="J1183" s="7">
        <v>15000</v>
      </c>
      <c r="K1183" s="7">
        <v>240000</v>
      </c>
      <c r="L1183" t="s">
        <v>873</v>
      </c>
      <c r="M1183" t="s">
        <v>901</v>
      </c>
      <c r="N1183" t="s">
        <v>875</v>
      </c>
      <c r="O1183" t="s">
        <v>891</v>
      </c>
      <c r="P1183" t="s">
        <v>877</v>
      </c>
      <c r="Q1183" s="7">
        <v>225000</v>
      </c>
    </row>
    <row r="1184" spans="1:17">
      <c r="A1184" t="s">
        <v>2079</v>
      </c>
      <c r="B1184" s="6">
        <v>45659</v>
      </c>
      <c r="C1184" t="s">
        <v>640</v>
      </c>
      <c r="D1184" t="s">
        <v>815</v>
      </c>
      <c r="E1184">
        <v>3</v>
      </c>
      <c r="F1184" s="7">
        <v>75000</v>
      </c>
      <c r="G1184" s="7">
        <v>225000</v>
      </c>
      <c r="H1184" t="s">
        <v>886</v>
      </c>
      <c r="I1184" s="7">
        <v>22500</v>
      </c>
      <c r="J1184" s="7">
        <v>10000</v>
      </c>
      <c r="K1184" s="7">
        <v>212500</v>
      </c>
      <c r="L1184" t="s">
        <v>889</v>
      </c>
      <c r="M1184" t="s">
        <v>903</v>
      </c>
      <c r="N1184" t="s">
        <v>905</v>
      </c>
      <c r="O1184" t="s">
        <v>908</v>
      </c>
      <c r="P1184" t="s">
        <v>892</v>
      </c>
      <c r="Q1184" s="7">
        <v>202500</v>
      </c>
    </row>
    <row r="1185" spans="1:17">
      <c r="A1185" t="s">
        <v>2080</v>
      </c>
      <c r="B1185" s="6">
        <v>45718</v>
      </c>
      <c r="C1185" t="s">
        <v>554</v>
      </c>
      <c r="D1185" t="s">
        <v>833</v>
      </c>
      <c r="E1185">
        <v>2</v>
      </c>
      <c r="F1185" s="7">
        <v>200000</v>
      </c>
      <c r="G1185" s="7">
        <v>400000</v>
      </c>
      <c r="H1185" t="s">
        <v>883</v>
      </c>
      <c r="I1185" s="7">
        <v>40000</v>
      </c>
      <c r="J1185" s="7">
        <v>10000</v>
      </c>
      <c r="K1185" s="7">
        <v>370000</v>
      </c>
      <c r="L1185" t="s">
        <v>884</v>
      </c>
      <c r="M1185" t="s">
        <v>881</v>
      </c>
      <c r="N1185" t="s">
        <v>875</v>
      </c>
      <c r="O1185" t="s">
        <v>876</v>
      </c>
      <c r="P1185" t="s">
        <v>877</v>
      </c>
      <c r="Q1185" s="7">
        <v>360000</v>
      </c>
    </row>
    <row r="1186" spans="1:17">
      <c r="A1186" t="s">
        <v>2081</v>
      </c>
      <c r="B1186" s="6">
        <v>45673</v>
      </c>
      <c r="C1186" t="s">
        <v>350</v>
      </c>
      <c r="D1186" t="s">
        <v>821</v>
      </c>
      <c r="E1186">
        <v>1</v>
      </c>
      <c r="F1186" s="7">
        <v>50000</v>
      </c>
      <c r="G1186" s="7">
        <v>50000</v>
      </c>
      <c r="H1186" t="s">
        <v>872</v>
      </c>
      <c r="I1186" s="7">
        <v>0</v>
      </c>
      <c r="J1186" s="7">
        <v>25000</v>
      </c>
      <c r="K1186" s="7">
        <v>75000</v>
      </c>
      <c r="L1186" t="s">
        <v>884</v>
      </c>
      <c r="M1186" t="s">
        <v>901</v>
      </c>
      <c r="N1186" t="s">
        <v>875</v>
      </c>
      <c r="O1186" t="s">
        <v>908</v>
      </c>
      <c r="P1186" t="s">
        <v>877</v>
      </c>
      <c r="Q1186" s="7">
        <v>50000</v>
      </c>
    </row>
    <row r="1187" spans="1:17">
      <c r="A1187" t="s">
        <v>2082</v>
      </c>
      <c r="B1187" s="6">
        <v>45797</v>
      </c>
      <c r="C1187" t="s">
        <v>300</v>
      </c>
      <c r="D1187" t="s">
        <v>807</v>
      </c>
      <c r="E1187">
        <v>4</v>
      </c>
      <c r="F1187" s="7">
        <v>150000</v>
      </c>
      <c r="G1187" s="7">
        <v>600000</v>
      </c>
      <c r="H1187" t="s">
        <v>872</v>
      </c>
      <c r="I1187" s="7">
        <v>0</v>
      </c>
      <c r="J1187" s="7">
        <v>25000</v>
      </c>
      <c r="K1187" s="7">
        <v>625000</v>
      </c>
      <c r="L1187" t="s">
        <v>873</v>
      </c>
      <c r="M1187" t="s">
        <v>874</v>
      </c>
      <c r="N1187" t="s">
        <v>875</v>
      </c>
      <c r="O1187" t="s">
        <v>896</v>
      </c>
      <c r="P1187" t="s">
        <v>877</v>
      </c>
      <c r="Q1187" s="7">
        <v>600000</v>
      </c>
    </row>
    <row r="1188" spans="1:17">
      <c r="A1188" t="s">
        <v>2083</v>
      </c>
      <c r="B1188" s="6">
        <v>45697</v>
      </c>
      <c r="C1188" t="s">
        <v>546</v>
      </c>
      <c r="D1188" t="s">
        <v>751</v>
      </c>
      <c r="E1188">
        <v>1</v>
      </c>
      <c r="F1188" s="7">
        <v>150000</v>
      </c>
      <c r="G1188" s="7">
        <v>150000</v>
      </c>
      <c r="H1188" t="s">
        <v>872</v>
      </c>
      <c r="I1188" s="7">
        <v>0</v>
      </c>
      <c r="J1188" s="7">
        <v>30000</v>
      </c>
      <c r="K1188" s="7">
        <v>180000</v>
      </c>
      <c r="L1188" t="s">
        <v>884</v>
      </c>
      <c r="M1188" t="s">
        <v>874</v>
      </c>
      <c r="N1188" t="s">
        <v>875</v>
      </c>
      <c r="O1188" t="s">
        <v>887</v>
      </c>
      <c r="P1188" t="s">
        <v>877</v>
      </c>
      <c r="Q1188" s="7">
        <v>150000</v>
      </c>
    </row>
    <row r="1189" spans="1:17">
      <c r="A1189" t="s">
        <v>2084</v>
      </c>
      <c r="B1189" s="6">
        <v>45836</v>
      </c>
      <c r="C1189" t="s">
        <v>190</v>
      </c>
      <c r="D1189" t="s">
        <v>741</v>
      </c>
      <c r="E1189">
        <v>4</v>
      </c>
      <c r="F1189" s="7">
        <v>75000</v>
      </c>
      <c r="G1189" s="7">
        <v>300000</v>
      </c>
      <c r="H1189" t="s">
        <v>872</v>
      </c>
      <c r="I1189" s="7">
        <v>0</v>
      </c>
      <c r="J1189" s="7">
        <v>30000</v>
      </c>
      <c r="K1189" s="7">
        <v>330000</v>
      </c>
      <c r="L1189" t="s">
        <v>884</v>
      </c>
      <c r="M1189" t="s">
        <v>901</v>
      </c>
      <c r="N1189" t="s">
        <v>921</v>
      </c>
      <c r="O1189" t="s">
        <v>915</v>
      </c>
      <c r="P1189" t="s">
        <v>892</v>
      </c>
      <c r="Q1189" s="7">
        <v>300000</v>
      </c>
    </row>
    <row r="1190" spans="1:17">
      <c r="A1190" t="s">
        <v>2085</v>
      </c>
      <c r="B1190" s="6">
        <v>45744</v>
      </c>
      <c r="C1190" t="s">
        <v>578</v>
      </c>
      <c r="D1190" t="s">
        <v>803</v>
      </c>
      <c r="E1190">
        <v>4</v>
      </c>
      <c r="F1190" s="7">
        <v>50000</v>
      </c>
      <c r="G1190" s="7">
        <v>200000</v>
      </c>
      <c r="H1190" t="s">
        <v>886</v>
      </c>
      <c r="I1190" s="7">
        <v>20000</v>
      </c>
      <c r="J1190" s="7">
        <v>30000</v>
      </c>
      <c r="K1190" s="7">
        <v>210000</v>
      </c>
      <c r="L1190" t="s">
        <v>880</v>
      </c>
      <c r="M1190" t="s">
        <v>903</v>
      </c>
      <c r="N1190" t="s">
        <v>890</v>
      </c>
      <c r="O1190" t="s">
        <v>876</v>
      </c>
      <c r="P1190" t="s">
        <v>892</v>
      </c>
      <c r="Q1190" s="7">
        <v>180000</v>
      </c>
    </row>
    <row r="1191" spans="1:17">
      <c r="A1191" t="s">
        <v>2086</v>
      </c>
      <c r="B1191" s="6">
        <v>45835</v>
      </c>
      <c r="C1191" t="s">
        <v>704</v>
      </c>
      <c r="D1191" t="s">
        <v>843</v>
      </c>
      <c r="E1191">
        <v>2</v>
      </c>
      <c r="F1191" s="7">
        <v>100000</v>
      </c>
      <c r="G1191" s="7">
        <v>200000</v>
      </c>
      <c r="H1191" t="s">
        <v>872</v>
      </c>
      <c r="I1191" s="7">
        <v>0</v>
      </c>
      <c r="J1191" s="7">
        <v>10000</v>
      </c>
      <c r="K1191" s="7">
        <v>210000</v>
      </c>
      <c r="L1191" t="s">
        <v>873</v>
      </c>
      <c r="M1191" t="s">
        <v>881</v>
      </c>
      <c r="N1191" t="s">
        <v>875</v>
      </c>
      <c r="O1191" t="s">
        <v>915</v>
      </c>
      <c r="P1191" t="s">
        <v>877</v>
      </c>
      <c r="Q1191" s="7">
        <v>200000</v>
      </c>
    </row>
    <row r="1192" spans="1:17">
      <c r="A1192" t="s">
        <v>2087</v>
      </c>
      <c r="B1192" s="6">
        <v>45746</v>
      </c>
      <c r="C1192" t="s">
        <v>268</v>
      </c>
      <c r="D1192" t="s">
        <v>833</v>
      </c>
      <c r="E1192">
        <v>2</v>
      </c>
      <c r="F1192" s="7">
        <v>200000</v>
      </c>
      <c r="G1192" s="7">
        <v>400000</v>
      </c>
      <c r="H1192" t="s">
        <v>872</v>
      </c>
      <c r="I1192" s="7">
        <v>0</v>
      </c>
      <c r="J1192" s="7">
        <v>10000</v>
      </c>
      <c r="K1192" s="7">
        <v>410000</v>
      </c>
      <c r="L1192" t="s">
        <v>889</v>
      </c>
      <c r="M1192" t="s">
        <v>903</v>
      </c>
      <c r="N1192" t="s">
        <v>875</v>
      </c>
      <c r="O1192" t="s">
        <v>876</v>
      </c>
      <c r="P1192" t="s">
        <v>877</v>
      </c>
      <c r="Q1192" s="7">
        <v>400000</v>
      </c>
    </row>
    <row r="1193" spans="1:17">
      <c r="A1193" t="s">
        <v>2088</v>
      </c>
      <c r="B1193" s="6">
        <v>45725</v>
      </c>
      <c r="C1193" t="s">
        <v>460</v>
      </c>
      <c r="D1193" t="s">
        <v>765</v>
      </c>
      <c r="E1193">
        <v>1</v>
      </c>
      <c r="F1193" s="7">
        <v>500000</v>
      </c>
      <c r="G1193" s="7">
        <v>500000</v>
      </c>
      <c r="H1193" t="s">
        <v>886</v>
      </c>
      <c r="I1193" s="7">
        <v>50000</v>
      </c>
      <c r="J1193" s="7">
        <v>25000</v>
      </c>
      <c r="K1193" s="7">
        <v>475000</v>
      </c>
      <c r="L1193" t="s">
        <v>884</v>
      </c>
      <c r="M1193" t="s">
        <v>901</v>
      </c>
      <c r="N1193" t="s">
        <v>875</v>
      </c>
      <c r="O1193" t="s">
        <v>876</v>
      </c>
      <c r="P1193" t="s">
        <v>877</v>
      </c>
      <c r="Q1193" s="7">
        <v>450000</v>
      </c>
    </row>
    <row r="1194" spans="1:17">
      <c r="A1194" t="s">
        <v>2089</v>
      </c>
      <c r="B1194" s="6">
        <v>45734</v>
      </c>
      <c r="C1194" t="s">
        <v>288</v>
      </c>
      <c r="D1194" t="s">
        <v>751</v>
      </c>
      <c r="E1194">
        <v>2</v>
      </c>
      <c r="F1194" s="7">
        <v>150000</v>
      </c>
      <c r="G1194" s="7">
        <v>300000</v>
      </c>
      <c r="H1194" t="s">
        <v>886</v>
      </c>
      <c r="I1194" s="7">
        <v>30000</v>
      </c>
      <c r="J1194" s="7">
        <v>20000</v>
      </c>
      <c r="K1194" s="7">
        <v>290000</v>
      </c>
      <c r="L1194" t="s">
        <v>873</v>
      </c>
      <c r="M1194" t="s">
        <v>874</v>
      </c>
      <c r="N1194" t="s">
        <v>875</v>
      </c>
      <c r="O1194" t="s">
        <v>876</v>
      </c>
      <c r="P1194" t="s">
        <v>877</v>
      </c>
      <c r="Q1194" s="7">
        <v>270000</v>
      </c>
    </row>
    <row r="1195" spans="1:17">
      <c r="A1195" t="s">
        <v>2090</v>
      </c>
      <c r="B1195" s="6">
        <v>45688</v>
      </c>
      <c r="C1195" t="s">
        <v>530</v>
      </c>
      <c r="D1195" t="s">
        <v>759</v>
      </c>
      <c r="E1195">
        <v>2</v>
      </c>
      <c r="F1195" s="7">
        <v>300000</v>
      </c>
      <c r="G1195" s="7">
        <v>600000</v>
      </c>
      <c r="H1195" t="s">
        <v>883</v>
      </c>
      <c r="I1195" s="7">
        <v>60000</v>
      </c>
      <c r="J1195" s="7">
        <v>10000</v>
      </c>
      <c r="K1195" s="7">
        <v>550000</v>
      </c>
      <c r="L1195" t="s">
        <v>880</v>
      </c>
      <c r="M1195" t="s">
        <v>874</v>
      </c>
      <c r="N1195" t="s">
        <v>890</v>
      </c>
      <c r="O1195" t="s">
        <v>908</v>
      </c>
      <c r="P1195" t="s">
        <v>892</v>
      </c>
      <c r="Q1195" s="7">
        <v>540000</v>
      </c>
    </row>
    <row r="1196" spans="1:17">
      <c r="A1196" t="s">
        <v>2091</v>
      </c>
      <c r="B1196" s="6">
        <v>45820</v>
      </c>
      <c r="C1196" t="s">
        <v>376</v>
      </c>
      <c r="D1196" t="s">
        <v>737</v>
      </c>
      <c r="E1196">
        <v>4</v>
      </c>
      <c r="F1196" s="7">
        <v>300000</v>
      </c>
      <c r="G1196" s="7">
        <v>1200000</v>
      </c>
      <c r="H1196" t="s">
        <v>872</v>
      </c>
      <c r="I1196" s="7">
        <v>0</v>
      </c>
      <c r="J1196" s="7">
        <v>10000</v>
      </c>
      <c r="K1196" s="7">
        <v>1210000</v>
      </c>
      <c r="L1196" t="s">
        <v>889</v>
      </c>
      <c r="M1196" t="s">
        <v>901</v>
      </c>
      <c r="N1196" t="s">
        <v>875</v>
      </c>
      <c r="O1196" t="s">
        <v>915</v>
      </c>
      <c r="P1196" t="s">
        <v>877</v>
      </c>
      <c r="Q1196" s="7">
        <v>1200000</v>
      </c>
    </row>
    <row r="1197" spans="1:17">
      <c r="A1197" t="s">
        <v>2092</v>
      </c>
      <c r="B1197" s="6">
        <v>45825</v>
      </c>
      <c r="C1197" t="s">
        <v>378</v>
      </c>
      <c r="D1197" t="s">
        <v>851</v>
      </c>
      <c r="E1197">
        <v>2</v>
      </c>
      <c r="F1197" s="7">
        <v>35000</v>
      </c>
      <c r="G1197" s="7">
        <v>70000</v>
      </c>
      <c r="H1197" t="s">
        <v>872</v>
      </c>
      <c r="I1197" s="7">
        <v>0</v>
      </c>
      <c r="J1197" s="7">
        <v>15000</v>
      </c>
      <c r="K1197" s="7">
        <v>85000</v>
      </c>
      <c r="L1197" t="s">
        <v>884</v>
      </c>
      <c r="M1197" t="s">
        <v>901</v>
      </c>
      <c r="N1197" t="s">
        <v>875</v>
      </c>
      <c r="O1197" t="s">
        <v>915</v>
      </c>
      <c r="P1197" t="s">
        <v>877</v>
      </c>
      <c r="Q1197" s="7">
        <v>70000</v>
      </c>
    </row>
    <row r="1198" spans="1:17">
      <c r="A1198" t="s">
        <v>2093</v>
      </c>
      <c r="B1198" s="6">
        <v>45727</v>
      </c>
      <c r="C1198" t="s">
        <v>49</v>
      </c>
      <c r="D1198" t="s">
        <v>831</v>
      </c>
      <c r="E1198">
        <v>1</v>
      </c>
      <c r="F1198" s="7">
        <v>300000</v>
      </c>
      <c r="G1198" s="7">
        <v>300000</v>
      </c>
      <c r="H1198" t="s">
        <v>886</v>
      </c>
      <c r="I1198" s="7">
        <v>30000</v>
      </c>
      <c r="J1198" s="7">
        <v>10000</v>
      </c>
      <c r="K1198" s="7">
        <v>280000</v>
      </c>
      <c r="L1198" t="s">
        <v>889</v>
      </c>
      <c r="M1198" t="s">
        <v>901</v>
      </c>
      <c r="N1198" t="s">
        <v>875</v>
      </c>
      <c r="O1198" t="s">
        <v>876</v>
      </c>
      <c r="P1198" t="s">
        <v>877</v>
      </c>
      <c r="Q1198" s="7">
        <v>270000</v>
      </c>
    </row>
    <row r="1199" spans="1:17">
      <c r="A1199" t="s">
        <v>2094</v>
      </c>
      <c r="B1199" s="6">
        <v>45714</v>
      </c>
      <c r="C1199" t="s">
        <v>184</v>
      </c>
      <c r="D1199" t="s">
        <v>801</v>
      </c>
      <c r="E1199">
        <v>1</v>
      </c>
      <c r="F1199" s="7">
        <v>100000</v>
      </c>
      <c r="G1199" s="7">
        <v>100000</v>
      </c>
      <c r="H1199" t="s">
        <v>886</v>
      </c>
      <c r="I1199" s="7">
        <v>10000</v>
      </c>
      <c r="J1199" s="7">
        <v>20000</v>
      </c>
      <c r="K1199" s="7">
        <v>110000</v>
      </c>
      <c r="L1199" t="s">
        <v>889</v>
      </c>
      <c r="M1199" t="s">
        <v>881</v>
      </c>
      <c r="N1199" t="s">
        <v>875</v>
      </c>
      <c r="O1199" t="s">
        <v>887</v>
      </c>
      <c r="P1199" t="s">
        <v>877</v>
      </c>
      <c r="Q1199" s="7">
        <v>90000</v>
      </c>
    </row>
    <row r="1200" spans="1:17">
      <c r="A1200" t="s">
        <v>2095</v>
      </c>
      <c r="B1200" s="6">
        <v>45808</v>
      </c>
      <c r="C1200" t="s">
        <v>294</v>
      </c>
      <c r="D1200" t="s">
        <v>837</v>
      </c>
      <c r="E1200">
        <v>1</v>
      </c>
      <c r="F1200" s="7">
        <v>300000</v>
      </c>
      <c r="G1200" s="7">
        <v>300000</v>
      </c>
      <c r="H1200" t="s">
        <v>872</v>
      </c>
      <c r="I1200" s="7">
        <v>0</v>
      </c>
      <c r="J1200" s="7">
        <v>20000</v>
      </c>
      <c r="K1200" s="7">
        <v>320000</v>
      </c>
      <c r="L1200" t="s">
        <v>884</v>
      </c>
      <c r="M1200" t="s">
        <v>874</v>
      </c>
      <c r="N1200" t="s">
        <v>905</v>
      </c>
      <c r="O1200" t="s">
        <v>896</v>
      </c>
      <c r="P1200" t="s">
        <v>892</v>
      </c>
      <c r="Q1200" s="7">
        <v>300000</v>
      </c>
    </row>
    <row r="1201" spans="1:17">
      <c r="A1201" t="s">
        <v>2096</v>
      </c>
      <c r="B1201" s="6">
        <v>45714</v>
      </c>
      <c r="C1201" t="s">
        <v>470</v>
      </c>
      <c r="D1201" t="s">
        <v>737</v>
      </c>
      <c r="E1201">
        <v>3</v>
      </c>
      <c r="F1201" s="7">
        <v>300000</v>
      </c>
      <c r="G1201" s="7">
        <v>900000</v>
      </c>
      <c r="H1201" t="s">
        <v>872</v>
      </c>
      <c r="I1201" s="7">
        <v>0</v>
      </c>
      <c r="J1201" s="7">
        <v>15000</v>
      </c>
      <c r="K1201" s="7">
        <v>915000</v>
      </c>
      <c r="L1201" t="s">
        <v>889</v>
      </c>
      <c r="M1201" t="s">
        <v>881</v>
      </c>
      <c r="N1201" t="s">
        <v>875</v>
      </c>
      <c r="O1201" t="s">
        <v>887</v>
      </c>
      <c r="P1201" t="s">
        <v>877</v>
      </c>
      <c r="Q1201" s="7">
        <v>900000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1"/>
  <sheetViews>
    <sheetView workbookViewId="0">
      <selection activeCell="F10" sqref="F10"/>
    </sheetView>
  </sheetViews>
  <sheetFormatPr defaultRowHeight="14.4"/>
  <cols>
    <col min="1" max="1" width="15.88671875" bestFit="1" customWidth="1"/>
    <col min="2" max="2" width="30.44140625" bestFit="1" customWidth="1"/>
    <col min="3" max="3" width="11.33203125" bestFit="1" customWidth="1"/>
    <col min="4" max="4" width="10.109375" bestFit="1" customWidth="1"/>
    <col min="5" max="5" width="21.77734375" bestFit="1" customWidth="1"/>
  </cols>
  <sheetData>
    <row r="1" spans="1:5">
      <c r="A1" s="1" t="s">
        <v>0</v>
      </c>
      <c r="B1" s="1" t="s">
        <v>1</v>
      </c>
      <c r="C1" s="1" t="s">
        <v>2</v>
      </c>
      <c r="D1" s="1" t="s">
        <v>3</v>
      </c>
      <c r="E1" s="1" t="s">
        <v>4</v>
      </c>
    </row>
    <row r="2" spans="1:5">
      <c r="A2" t="s">
        <v>5</v>
      </c>
      <c r="B2" s="2" t="s">
        <v>6</v>
      </c>
      <c r="C2" t="s">
        <v>7</v>
      </c>
      <c r="D2" t="s">
        <v>8</v>
      </c>
      <c r="E2" t="s">
        <v>9</v>
      </c>
    </row>
    <row r="3" spans="1:5">
      <c r="A3" t="s">
        <v>10</v>
      </c>
      <c r="B3" s="3" t="s">
        <v>11</v>
      </c>
      <c r="C3" t="s">
        <v>7</v>
      </c>
      <c r="D3" t="s">
        <v>12</v>
      </c>
      <c r="E3" t="s">
        <v>9</v>
      </c>
    </row>
    <row r="4" spans="1:5">
      <c r="A4" t="s">
        <v>13</v>
      </c>
      <c r="B4" s="2" t="s">
        <v>14</v>
      </c>
      <c r="C4" t="s">
        <v>7</v>
      </c>
      <c r="D4" t="s">
        <v>8</v>
      </c>
      <c r="E4" t="s">
        <v>15</v>
      </c>
    </row>
    <row r="5" spans="1:5">
      <c r="A5" t="s">
        <v>16</v>
      </c>
      <c r="B5" s="3" t="s">
        <v>17</v>
      </c>
      <c r="C5" t="s">
        <v>7</v>
      </c>
      <c r="D5" t="s">
        <v>12</v>
      </c>
      <c r="E5" t="s">
        <v>15</v>
      </c>
    </row>
    <row r="6" spans="1:5">
      <c r="A6" t="s">
        <v>18</v>
      </c>
      <c r="B6" s="2" t="s">
        <v>19</v>
      </c>
      <c r="C6" t="s">
        <v>7</v>
      </c>
      <c r="D6" t="s">
        <v>20</v>
      </c>
      <c r="E6" t="s">
        <v>9</v>
      </c>
    </row>
    <row r="7" spans="1:5">
      <c r="A7" t="s">
        <v>21</v>
      </c>
      <c r="B7" s="3" t="s">
        <v>22</v>
      </c>
      <c r="C7" t="s">
        <v>23</v>
      </c>
      <c r="D7" t="s">
        <v>20</v>
      </c>
      <c r="E7" t="s">
        <v>24</v>
      </c>
    </row>
    <row r="8" spans="1:5">
      <c r="A8" t="s">
        <v>25</v>
      </c>
      <c r="B8" s="2" t="s">
        <v>26</v>
      </c>
      <c r="C8" t="s">
        <v>23</v>
      </c>
      <c r="D8" t="s">
        <v>20</v>
      </c>
      <c r="E8" t="s">
        <v>9</v>
      </c>
    </row>
    <row r="9" spans="1:5">
      <c r="A9" t="s">
        <v>27</v>
      </c>
      <c r="B9" s="3" t="s">
        <v>28</v>
      </c>
      <c r="C9" t="s">
        <v>7</v>
      </c>
      <c r="D9" t="s">
        <v>29</v>
      </c>
      <c r="E9" t="s">
        <v>9</v>
      </c>
    </row>
    <row r="10" spans="1:5">
      <c r="A10" t="s">
        <v>30</v>
      </c>
      <c r="B10" s="2" t="s">
        <v>31</v>
      </c>
      <c r="C10" t="s">
        <v>23</v>
      </c>
      <c r="D10" t="s">
        <v>8</v>
      </c>
      <c r="E10" t="s">
        <v>9</v>
      </c>
    </row>
    <row r="11" spans="1:5">
      <c r="A11" t="s">
        <v>32</v>
      </c>
      <c r="B11" s="3" t="s">
        <v>33</v>
      </c>
      <c r="C11" t="s">
        <v>23</v>
      </c>
      <c r="D11" t="s">
        <v>12</v>
      </c>
      <c r="E11" t="s">
        <v>9</v>
      </c>
    </row>
    <row r="12" spans="1:5">
      <c r="A12" t="s">
        <v>34</v>
      </c>
      <c r="B12" s="2" t="s">
        <v>35</v>
      </c>
      <c r="C12" t="s">
        <v>23</v>
      </c>
      <c r="D12" t="s">
        <v>36</v>
      </c>
      <c r="E12" t="s">
        <v>24</v>
      </c>
    </row>
    <row r="13" spans="1:5">
      <c r="A13" t="s">
        <v>37</v>
      </c>
      <c r="B13" s="3" t="s">
        <v>38</v>
      </c>
      <c r="C13" t="s">
        <v>23</v>
      </c>
      <c r="D13" t="s">
        <v>39</v>
      </c>
      <c r="E13" t="s">
        <v>9</v>
      </c>
    </row>
    <row r="14" spans="1:5">
      <c r="A14" t="s">
        <v>40</v>
      </c>
      <c r="B14" s="2" t="s">
        <v>41</v>
      </c>
      <c r="C14" t="s">
        <v>7</v>
      </c>
      <c r="D14" t="s">
        <v>36</v>
      </c>
      <c r="E14" t="s">
        <v>15</v>
      </c>
    </row>
    <row r="15" spans="1:5">
      <c r="A15" t="s">
        <v>42</v>
      </c>
      <c r="B15" s="3" t="s">
        <v>43</v>
      </c>
      <c r="C15" t="s">
        <v>23</v>
      </c>
      <c r="D15" t="s">
        <v>39</v>
      </c>
      <c r="E15" t="s">
        <v>15</v>
      </c>
    </row>
    <row r="16" spans="1:5">
      <c r="A16" t="s">
        <v>44</v>
      </c>
      <c r="B16" s="2" t="s">
        <v>45</v>
      </c>
      <c r="C16" t="s">
        <v>7</v>
      </c>
      <c r="D16" t="s">
        <v>46</v>
      </c>
      <c r="E16" t="s">
        <v>24</v>
      </c>
    </row>
    <row r="17" spans="1:5">
      <c r="A17" t="s">
        <v>47</v>
      </c>
      <c r="B17" s="3" t="s">
        <v>48</v>
      </c>
      <c r="C17" t="s">
        <v>23</v>
      </c>
      <c r="D17" t="s">
        <v>36</v>
      </c>
      <c r="E17" t="s">
        <v>9</v>
      </c>
    </row>
    <row r="18" spans="1:5">
      <c r="A18" t="s">
        <v>49</v>
      </c>
      <c r="B18" s="2" t="s">
        <v>50</v>
      </c>
      <c r="C18" t="s">
        <v>23</v>
      </c>
      <c r="D18" t="s">
        <v>51</v>
      </c>
      <c r="E18" t="s">
        <v>9</v>
      </c>
    </row>
    <row r="19" spans="1:5">
      <c r="A19" t="s">
        <v>52</v>
      </c>
      <c r="B19" s="3" t="s">
        <v>53</v>
      </c>
      <c r="C19" t="s">
        <v>23</v>
      </c>
      <c r="D19" t="s">
        <v>51</v>
      </c>
      <c r="E19" t="s">
        <v>24</v>
      </c>
    </row>
    <row r="20" spans="1:5">
      <c r="A20" t="s">
        <v>54</v>
      </c>
      <c r="B20" s="2" t="s">
        <v>55</v>
      </c>
      <c r="C20" t="s">
        <v>7</v>
      </c>
      <c r="D20" t="s">
        <v>56</v>
      </c>
      <c r="E20" t="s">
        <v>24</v>
      </c>
    </row>
    <row r="21" spans="1:5">
      <c r="A21" t="s">
        <v>57</v>
      </c>
      <c r="B21" s="3" t="s">
        <v>58</v>
      </c>
      <c r="C21" t="s">
        <v>23</v>
      </c>
      <c r="D21" t="s">
        <v>8</v>
      </c>
      <c r="E21" t="s">
        <v>9</v>
      </c>
    </row>
    <row r="22" spans="1:5">
      <c r="A22" t="s">
        <v>59</v>
      </c>
      <c r="B22" s="2" t="s">
        <v>60</v>
      </c>
      <c r="C22" t="s">
        <v>7</v>
      </c>
      <c r="D22" t="s">
        <v>39</v>
      </c>
      <c r="E22" t="s">
        <v>15</v>
      </c>
    </row>
    <row r="23" spans="1:5">
      <c r="A23" t="s">
        <v>61</v>
      </c>
      <c r="B23" s="3" t="s">
        <v>62</v>
      </c>
      <c r="C23" t="s">
        <v>23</v>
      </c>
      <c r="D23" t="s">
        <v>39</v>
      </c>
      <c r="E23" t="s">
        <v>24</v>
      </c>
    </row>
    <row r="24" spans="1:5">
      <c r="A24" t="s">
        <v>63</v>
      </c>
      <c r="B24" s="2" t="s">
        <v>64</v>
      </c>
      <c r="C24" t="s">
        <v>7</v>
      </c>
      <c r="D24" t="s">
        <v>8</v>
      </c>
      <c r="E24" t="s">
        <v>15</v>
      </c>
    </row>
    <row r="25" spans="1:5">
      <c r="A25" t="s">
        <v>65</v>
      </c>
      <c r="B25" s="3" t="s">
        <v>66</v>
      </c>
      <c r="C25" t="s">
        <v>23</v>
      </c>
      <c r="D25" t="s">
        <v>29</v>
      </c>
      <c r="E25" t="s">
        <v>24</v>
      </c>
    </row>
    <row r="26" spans="1:5">
      <c r="A26" t="s">
        <v>67</v>
      </c>
      <c r="B26" s="2" t="s">
        <v>68</v>
      </c>
      <c r="C26" t="s">
        <v>7</v>
      </c>
      <c r="D26" t="s">
        <v>56</v>
      </c>
      <c r="E26" t="s">
        <v>24</v>
      </c>
    </row>
    <row r="27" spans="1:5">
      <c r="A27" t="s">
        <v>69</v>
      </c>
      <c r="B27" s="3" t="s">
        <v>70</v>
      </c>
      <c r="C27" t="s">
        <v>7</v>
      </c>
      <c r="D27" t="s">
        <v>29</v>
      </c>
      <c r="E27" t="s">
        <v>9</v>
      </c>
    </row>
    <row r="28" spans="1:5">
      <c r="A28" t="s">
        <v>71</v>
      </c>
      <c r="B28" s="2" t="s">
        <v>72</v>
      </c>
      <c r="C28" t="s">
        <v>23</v>
      </c>
      <c r="D28" t="s">
        <v>29</v>
      </c>
      <c r="E28" t="s">
        <v>15</v>
      </c>
    </row>
    <row r="29" spans="1:5">
      <c r="A29" t="s">
        <v>73</v>
      </c>
      <c r="B29" s="3" t="s">
        <v>74</v>
      </c>
      <c r="C29" t="s">
        <v>7</v>
      </c>
      <c r="D29" t="s">
        <v>29</v>
      </c>
      <c r="E29" t="s">
        <v>15</v>
      </c>
    </row>
    <row r="30" spans="1:5">
      <c r="A30" t="s">
        <v>75</v>
      </c>
      <c r="B30" s="2" t="s">
        <v>76</v>
      </c>
      <c r="C30" t="s">
        <v>23</v>
      </c>
      <c r="D30" t="s">
        <v>8</v>
      </c>
      <c r="E30" t="s">
        <v>9</v>
      </c>
    </row>
    <row r="31" spans="1:5">
      <c r="A31" t="s">
        <v>77</v>
      </c>
      <c r="B31" s="3" t="s">
        <v>78</v>
      </c>
      <c r="C31" t="s">
        <v>23</v>
      </c>
      <c r="D31" t="s">
        <v>29</v>
      </c>
      <c r="E31" t="s">
        <v>9</v>
      </c>
    </row>
    <row r="32" spans="1:5">
      <c r="A32" t="s">
        <v>79</v>
      </c>
      <c r="B32" s="2" t="s">
        <v>80</v>
      </c>
      <c r="C32" t="s">
        <v>23</v>
      </c>
      <c r="D32" t="s">
        <v>51</v>
      </c>
      <c r="E32" t="s">
        <v>9</v>
      </c>
    </row>
    <row r="33" spans="1:5">
      <c r="A33" t="s">
        <v>81</v>
      </c>
      <c r="B33" s="3" t="s">
        <v>82</v>
      </c>
      <c r="C33" t="s">
        <v>23</v>
      </c>
      <c r="D33" t="s">
        <v>20</v>
      </c>
      <c r="E33" t="s">
        <v>24</v>
      </c>
    </row>
    <row r="34" spans="1:5">
      <c r="A34" t="s">
        <v>83</v>
      </c>
      <c r="B34" s="2" t="s">
        <v>84</v>
      </c>
      <c r="C34" t="s">
        <v>23</v>
      </c>
      <c r="D34" t="s">
        <v>46</v>
      </c>
      <c r="E34" t="s">
        <v>15</v>
      </c>
    </row>
    <row r="35" spans="1:5">
      <c r="A35" t="s">
        <v>85</v>
      </c>
      <c r="B35" s="3" t="s">
        <v>86</v>
      </c>
      <c r="C35" t="s">
        <v>23</v>
      </c>
      <c r="D35" t="s">
        <v>39</v>
      </c>
      <c r="E35" t="s">
        <v>9</v>
      </c>
    </row>
    <row r="36" spans="1:5">
      <c r="A36" t="s">
        <v>87</v>
      </c>
      <c r="B36" s="2" t="s">
        <v>88</v>
      </c>
      <c r="C36" t="s">
        <v>23</v>
      </c>
      <c r="D36" t="s">
        <v>39</v>
      </c>
      <c r="E36" t="s">
        <v>24</v>
      </c>
    </row>
    <row r="37" spans="1:5">
      <c r="A37" t="s">
        <v>89</v>
      </c>
      <c r="B37" s="3" t="s">
        <v>90</v>
      </c>
      <c r="C37" t="s">
        <v>23</v>
      </c>
      <c r="D37" t="s">
        <v>46</v>
      </c>
      <c r="E37" t="s">
        <v>9</v>
      </c>
    </row>
    <row r="38" spans="1:5">
      <c r="A38" t="s">
        <v>91</v>
      </c>
      <c r="B38" s="2" t="s">
        <v>92</v>
      </c>
      <c r="C38" t="s">
        <v>23</v>
      </c>
      <c r="D38" t="s">
        <v>8</v>
      </c>
      <c r="E38" t="s">
        <v>15</v>
      </c>
    </row>
    <row r="39" spans="1:5">
      <c r="A39" t="s">
        <v>93</v>
      </c>
      <c r="B39" s="3" t="s">
        <v>94</v>
      </c>
      <c r="C39" t="s">
        <v>23</v>
      </c>
      <c r="D39" t="s">
        <v>36</v>
      </c>
      <c r="E39" t="s">
        <v>24</v>
      </c>
    </row>
    <row r="40" spans="1:5">
      <c r="A40" t="s">
        <v>95</v>
      </c>
      <c r="B40" s="2" t="s">
        <v>96</v>
      </c>
      <c r="C40" t="s">
        <v>23</v>
      </c>
      <c r="D40" t="s">
        <v>8</v>
      </c>
      <c r="E40" t="s">
        <v>24</v>
      </c>
    </row>
    <row r="41" spans="1:5">
      <c r="A41" t="s">
        <v>97</v>
      </c>
      <c r="B41" s="3" t="s">
        <v>98</v>
      </c>
      <c r="C41" t="s">
        <v>7</v>
      </c>
      <c r="D41" t="s">
        <v>39</v>
      </c>
      <c r="E41" t="s">
        <v>9</v>
      </c>
    </row>
    <row r="42" spans="1:5">
      <c r="A42" t="s">
        <v>99</v>
      </c>
      <c r="B42" s="2" t="s">
        <v>100</v>
      </c>
      <c r="C42" t="s">
        <v>7</v>
      </c>
      <c r="D42" t="s">
        <v>39</v>
      </c>
      <c r="E42" t="s">
        <v>9</v>
      </c>
    </row>
    <row r="43" spans="1:5">
      <c r="A43" t="s">
        <v>101</v>
      </c>
      <c r="B43" s="3" t="s">
        <v>102</v>
      </c>
      <c r="C43" t="s">
        <v>23</v>
      </c>
      <c r="D43" t="s">
        <v>46</v>
      </c>
      <c r="E43" t="s">
        <v>9</v>
      </c>
    </row>
    <row r="44" spans="1:5">
      <c r="A44" t="s">
        <v>103</v>
      </c>
      <c r="B44" s="2" t="s">
        <v>104</v>
      </c>
      <c r="C44" t="s">
        <v>23</v>
      </c>
      <c r="D44" t="s">
        <v>29</v>
      </c>
      <c r="E44" t="s">
        <v>9</v>
      </c>
    </row>
    <row r="45" spans="1:5">
      <c r="A45" t="s">
        <v>105</v>
      </c>
      <c r="B45" s="3" t="s">
        <v>106</v>
      </c>
      <c r="C45" t="s">
        <v>23</v>
      </c>
      <c r="D45" t="s">
        <v>8</v>
      </c>
      <c r="E45" t="s">
        <v>15</v>
      </c>
    </row>
    <row r="46" spans="1:5">
      <c r="A46" t="s">
        <v>107</v>
      </c>
      <c r="B46" s="2" t="s">
        <v>108</v>
      </c>
      <c r="C46" t="s">
        <v>23</v>
      </c>
      <c r="D46" t="s">
        <v>12</v>
      </c>
      <c r="E46" t="s">
        <v>24</v>
      </c>
    </row>
    <row r="47" spans="1:5">
      <c r="A47" t="s">
        <v>109</v>
      </c>
      <c r="B47" s="3" t="s">
        <v>110</v>
      </c>
      <c r="C47" t="s">
        <v>23</v>
      </c>
      <c r="D47" t="s">
        <v>46</v>
      </c>
      <c r="E47" t="s">
        <v>15</v>
      </c>
    </row>
    <row r="48" spans="1:5">
      <c r="A48" t="s">
        <v>111</v>
      </c>
      <c r="B48" s="2" t="s">
        <v>112</v>
      </c>
      <c r="C48" t="s">
        <v>23</v>
      </c>
      <c r="D48" t="s">
        <v>51</v>
      </c>
      <c r="E48" t="s">
        <v>15</v>
      </c>
    </row>
    <row r="49" spans="1:5">
      <c r="A49" t="s">
        <v>113</v>
      </c>
      <c r="B49" s="3" t="s">
        <v>114</v>
      </c>
      <c r="C49" t="s">
        <v>23</v>
      </c>
      <c r="D49" t="s">
        <v>39</v>
      </c>
      <c r="E49" t="s">
        <v>24</v>
      </c>
    </row>
    <row r="50" spans="1:5">
      <c r="A50" t="s">
        <v>115</v>
      </c>
      <c r="B50" s="2" t="s">
        <v>116</v>
      </c>
      <c r="C50" t="s">
        <v>23</v>
      </c>
      <c r="D50" t="s">
        <v>46</v>
      </c>
      <c r="E50" t="s">
        <v>24</v>
      </c>
    </row>
    <row r="51" spans="1:5">
      <c r="A51" t="s">
        <v>117</v>
      </c>
      <c r="B51" s="3" t="s">
        <v>118</v>
      </c>
      <c r="C51" t="s">
        <v>7</v>
      </c>
      <c r="D51" t="s">
        <v>8</v>
      </c>
      <c r="E51" t="s">
        <v>15</v>
      </c>
    </row>
    <row r="52" spans="1:5">
      <c r="A52" t="s">
        <v>119</v>
      </c>
      <c r="B52" s="2" t="s">
        <v>120</v>
      </c>
      <c r="C52" t="s">
        <v>23</v>
      </c>
      <c r="D52" t="s">
        <v>39</v>
      </c>
      <c r="E52" t="s">
        <v>24</v>
      </c>
    </row>
    <row r="53" spans="1:5">
      <c r="A53" t="s">
        <v>121</v>
      </c>
      <c r="B53" s="3" t="s">
        <v>122</v>
      </c>
      <c r="C53" t="s">
        <v>7</v>
      </c>
      <c r="D53" t="s">
        <v>36</v>
      </c>
      <c r="E53" t="s">
        <v>9</v>
      </c>
    </row>
    <row r="54" spans="1:5">
      <c r="A54" t="s">
        <v>123</v>
      </c>
      <c r="B54" s="2" t="s">
        <v>124</v>
      </c>
      <c r="C54" t="s">
        <v>23</v>
      </c>
      <c r="D54" t="s">
        <v>46</v>
      </c>
      <c r="E54" t="s">
        <v>9</v>
      </c>
    </row>
    <row r="55" spans="1:5">
      <c r="A55" t="s">
        <v>125</v>
      </c>
      <c r="B55" s="3" t="s">
        <v>126</v>
      </c>
      <c r="C55" t="s">
        <v>23</v>
      </c>
      <c r="D55" t="s">
        <v>56</v>
      </c>
      <c r="E55" t="s">
        <v>9</v>
      </c>
    </row>
    <row r="56" spans="1:5">
      <c r="A56" t="s">
        <v>127</v>
      </c>
      <c r="B56" s="2" t="s">
        <v>128</v>
      </c>
      <c r="C56" t="s">
        <v>7</v>
      </c>
      <c r="D56" t="s">
        <v>39</v>
      </c>
      <c r="E56" t="s">
        <v>15</v>
      </c>
    </row>
    <row r="57" spans="1:5">
      <c r="A57" t="s">
        <v>129</v>
      </c>
      <c r="B57" s="3" t="s">
        <v>130</v>
      </c>
      <c r="C57" t="s">
        <v>23</v>
      </c>
      <c r="D57" t="s">
        <v>8</v>
      </c>
      <c r="E57" t="s">
        <v>24</v>
      </c>
    </row>
    <row r="58" spans="1:5">
      <c r="A58" t="s">
        <v>131</v>
      </c>
      <c r="B58" s="2" t="s">
        <v>132</v>
      </c>
      <c r="C58" t="s">
        <v>7</v>
      </c>
      <c r="D58" t="s">
        <v>20</v>
      </c>
      <c r="E58" t="s">
        <v>9</v>
      </c>
    </row>
    <row r="59" spans="1:5">
      <c r="A59" t="s">
        <v>133</v>
      </c>
      <c r="B59" s="3" t="s">
        <v>134</v>
      </c>
      <c r="C59" t="s">
        <v>23</v>
      </c>
      <c r="D59" t="s">
        <v>12</v>
      </c>
      <c r="E59" t="s">
        <v>24</v>
      </c>
    </row>
    <row r="60" spans="1:5">
      <c r="A60" t="s">
        <v>135</v>
      </c>
      <c r="B60" s="2" t="s">
        <v>136</v>
      </c>
      <c r="C60" t="s">
        <v>23</v>
      </c>
      <c r="D60" t="s">
        <v>137</v>
      </c>
      <c r="E60" t="s">
        <v>24</v>
      </c>
    </row>
    <row r="61" spans="1:5">
      <c r="A61" t="s">
        <v>138</v>
      </c>
      <c r="B61" s="3" t="s">
        <v>139</v>
      </c>
      <c r="C61" t="s">
        <v>7</v>
      </c>
      <c r="D61" t="s">
        <v>29</v>
      </c>
      <c r="E61" t="s">
        <v>9</v>
      </c>
    </row>
    <row r="62" spans="1:5">
      <c r="A62" t="s">
        <v>140</v>
      </c>
      <c r="B62" s="2" t="s">
        <v>141</v>
      </c>
      <c r="C62" t="s">
        <v>23</v>
      </c>
      <c r="D62" t="s">
        <v>137</v>
      </c>
      <c r="E62" t="s">
        <v>9</v>
      </c>
    </row>
    <row r="63" spans="1:5">
      <c r="A63" t="s">
        <v>142</v>
      </c>
      <c r="B63" s="3" t="s">
        <v>143</v>
      </c>
      <c r="C63" t="s">
        <v>7</v>
      </c>
      <c r="D63" t="s">
        <v>8</v>
      </c>
      <c r="E63" t="s">
        <v>24</v>
      </c>
    </row>
    <row r="64" spans="1:5">
      <c r="A64" t="s">
        <v>144</v>
      </c>
      <c r="B64" s="2" t="s">
        <v>145</v>
      </c>
      <c r="C64" t="s">
        <v>23</v>
      </c>
      <c r="D64" t="s">
        <v>51</v>
      </c>
      <c r="E64" t="s">
        <v>9</v>
      </c>
    </row>
    <row r="65" spans="1:5">
      <c r="A65" t="s">
        <v>146</v>
      </c>
      <c r="B65" s="3" t="s">
        <v>147</v>
      </c>
      <c r="C65" t="s">
        <v>7</v>
      </c>
      <c r="D65" t="s">
        <v>51</v>
      </c>
      <c r="E65" t="s">
        <v>24</v>
      </c>
    </row>
    <row r="66" spans="1:5">
      <c r="A66" t="s">
        <v>148</v>
      </c>
      <c r="B66" s="2" t="s">
        <v>149</v>
      </c>
      <c r="C66" t="s">
        <v>7</v>
      </c>
      <c r="D66" t="s">
        <v>20</v>
      </c>
      <c r="E66" t="s">
        <v>9</v>
      </c>
    </row>
    <row r="67" spans="1:5">
      <c r="A67" t="s">
        <v>150</v>
      </c>
      <c r="B67" s="3" t="s">
        <v>151</v>
      </c>
      <c r="C67" t="s">
        <v>23</v>
      </c>
      <c r="D67" t="s">
        <v>29</v>
      </c>
      <c r="E67" t="s">
        <v>15</v>
      </c>
    </row>
    <row r="68" spans="1:5">
      <c r="A68" t="s">
        <v>152</v>
      </c>
      <c r="B68" s="2" t="s">
        <v>153</v>
      </c>
      <c r="C68" t="s">
        <v>23</v>
      </c>
      <c r="D68" t="s">
        <v>56</v>
      </c>
      <c r="E68" t="s">
        <v>24</v>
      </c>
    </row>
    <row r="69" spans="1:5">
      <c r="A69" t="s">
        <v>154</v>
      </c>
      <c r="B69" s="3" t="s">
        <v>155</v>
      </c>
      <c r="C69" t="s">
        <v>7</v>
      </c>
      <c r="D69" t="s">
        <v>20</v>
      </c>
      <c r="E69" t="s">
        <v>24</v>
      </c>
    </row>
    <row r="70" spans="1:5">
      <c r="A70" t="s">
        <v>156</v>
      </c>
      <c r="B70" s="2" t="s">
        <v>157</v>
      </c>
      <c r="C70" t="s">
        <v>23</v>
      </c>
      <c r="D70" t="s">
        <v>137</v>
      </c>
      <c r="E70" t="s">
        <v>15</v>
      </c>
    </row>
    <row r="71" spans="1:5">
      <c r="A71" t="s">
        <v>158</v>
      </c>
      <c r="B71" s="3" t="s">
        <v>159</v>
      </c>
      <c r="C71" t="s">
        <v>23</v>
      </c>
      <c r="D71" t="s">
        <v>20</v>
      </c>
      <c r="E71" t="s">
        <v>9</v>
      </c>
    </row>
    <row r="72" spans="1:5">
      <c r="A72" t="s">
        <v>160</v>
      </c>
      <c r="B72" s="2" t="s">
        <v>161</v>
      </c>
      <c r="C72" t="s">
        <v>23</v>
      </c>
      <c r="D72" t="s">
        <v>137</v>
      </c>
      <c r="E72" t="s">
        <v>9</v>
      </c>
    </row>
    <row r="73" spans="1:5">
      <c r="A73" t="s">
        <v>162</v>
      </c>
      <c r="B73" s="3" t="s">
        <v>163</v>
      </c>
      <c r="C73" t="s">
        <v>7</v>
      </c>
      <c r="D73" t="s">
        <v>39</v>
      </c>
      <c r="E73" t="s">
        <v>9</v>
      </c>
    </row>
    <row r="74" spans="1:5">
      <c r="A74" t="s">
        <v>164</v>
      </c>
      <c r="B74" s="2" t="s">
        <v>165</v>
      </c>
      <c r="C74" t="s">
        <v>7</v>
      </c>
      <c r="D74" t="s">
        <v>51</v>
      </c>
      <c r="E74" t="s">
        <v>24</v>
      </c>
    </row>
    <row r="75" spans="1:5">
      <c r="A75" t="s">
        <v>166</v>
      </c>
      <c r="B75" s="3" t="s">
        <v>167</v>
      </c>
      <c r="C75" t="s">
        <v>7</v>
      </c>
      <c r="D75" t="s">
        <v>39</v>
      </c>
      <c r="E75" t="s">
        <v>24</v>
      </c>
    </row>
    <row r="76" spans="1:5">
      <c r="A76" t="s">
        <v>168</v>
      </c>
      <c r="B76" s="2" t="s">
        <v>169</v>
      </c>
      <c r="C76" t="s">
        <v>7</v>
      </c>
      <c r="D76" t="s">
        <v>12</v>
      </c>
      <c r="E76" t="s">
        <v>24</v>
      </c>
    </row>
    <row r="77" spans="1:5">
      <c r="A77" t="s">
        <v>170</v>
      </c>
      <c r="B77" s="3" t="s">
        <v>171</v>
      </c>
      <c r="C77" t="s">
        <v>7</v>
      </c>
      <c r="D77" t="s">
        <v>29</v>
      </c>
      <c r="E77" t="s">
        <v>9</v>
      </c>
    </row>
    <row r="78" spans="1:5">
      <c r="A78" t="s">
        <v>172</v>
      </c>
      <c r="B78" s="2" t="s">
        <v>173</v>
      </c>
      <c r="C78" t="s">
        <v>7</v>
      </c>
      <c r="D78" t="s">
        <v>56</v>
      </c>
      <c r="E78" t="s">
        <v>9</v>
      </c>
    </row>
    <row r="79" spans="1:5">
      <c r="A79" t="s">
        <v>174</v>
      </c>
      <c r="B79" s="3" t="s">
        <v>175</v>
      </c>
      <c r="C79" t="s">
        <v>7</v>
      </c>
      <c r="D79" t="s">
        <v>137</v>
      </c>
      <c r="E79" t="s">
        <v>9</v>
      </c>
    </row>
    <row r="80" spans="1:5">
      <c r="A80" t="s">
        <v>176</v>
      </c>
      <c r="B80" s="2" t="s">
        <v>177</v>
      </c>
      <c r="C80" t="s">
        <v>7</v>
      </c>
      <c r="D80" t="s">
        <v>56</v>
      </c>
      <c r="E80" t="s">
        <v>9</v>
      </c>
    </row>
    <row r="81" spans="1:5">
      <c r="A81" t="s">
        <v>178</v>
      </c>
      <c r="B81" s="3" t="s">
        <v>179</v>
      </c>
      <c r="C81" t="s">
        <v>7</v>
      </c>
      <c r="D81" t="s">
        <v>137</v>
      </c>
      <c r="E81" t="s">
        <v>24</v>
      </c>
    </row>
    <row r="82" spans="1:5">
      <c r="A82" t="s">
        <v>180</v>
      </c>
      <c r="B82" s="2" t="s">
        <v>181</v>
      </c>
      <c r="C82" t="s">
        <v>23</v>
      </c>
      <c r="D82" t="s">
        <v>8</v>
      </c>
      <c r="E82" t="s">
        <v>9</v>
      </c>
    </row>
    <row r="83" spans="1:5">
      <c r="A83" t="s">
        <v>182</v>
      </c>
      <c r="B83" s="3" t="s">
        <v>183</v>
      </c>
      <c r="C83" t="s">
        <v>7</v>
      </c>
      <c r="D83" t="s">
        <v>20</v>
      </c>
      <c r="E83" t="s">
        <v>9</v>
      </c>
    </row>
    <row r="84" spans="1:5">
      <c r="A84" t="s">
        <v>184</v>
      </c>
      <c r="B84" s="2" t="s">
        <v>185</v>
      </c>
      <c r="C84" t="s">
        <v>23</v>
      </c>
      <c r="D84" t="s">
        <v>12</v>
      </c>
      <c r="E84" t="s">
        <v>15</v>
      </c>
    </row>
    <row r="85" spans="1:5">
      <c r="A85" t="s">
        <v>186</v>
      </c>
      <c r="B85" s="3" t="s">
        <v>187</v>
      </c>
      <c r="C85" t="s">
        <v>23</v>
      </c>
      <c r="D85" t="s">
        <v>51</v>
      </c>
      <c r="E85" t="s">
        <v>9</v>
      </c>
    </row>
    <row r="86" spans="1:5">
      <c r="A86" t="s">
        <v>188</v>
      </c>
      <c r="B86" s="2" t="s">
        <v>189</v>
      </c>
      <c r="C86" t="s">
        <v>23</v>
      </c>
      <c r="D86" t="s">
        <v>137</v>
      </c>
      <c r="E86" t="s">
        <v>9</v>
      </c>
    </row>
    <row r="87" spans="1:5">
      <c r="A87" t="s">
        <v>190</v>
      </c>
      <c r="B87" s="3" t="s">
        <v>191</v>
      </c>
      <c r="C87" t="s">
        <v>7</v>
      </c>
      <c r="D87" t="s">
        <v>56</v>
      </c>
      <c r="E87" t="s">
        <v>24</v>
      </c>
    </row>
    <row r="88" spans="1:5">
      <c r="A88" t="s">
        <v>192</v>
      </c>
      <c r="B88" s="2" t="s">
        <v>193</v>
      </c>
      <c r="C88" t="s">
        <v>7</v>
      </c>
      <c r="D88" t="s">
        <v>12</v>
      </c>
      <c r="E88" t="s">
        <v>9</v>
      </c>
    </row>
    <row r="89" spans="1:5">
      <c r="A89" t="s">
        <v>194</v>
      </c>
      <c r="B89" s="3" t="s">
        <v>195</v>
      </c>
      <c r="C89" t="s">
        <v>7</v>
      </c>
      <c r="D89" t="s">
        <v>36</v>
      </c>
      <c r="E89" t="s">
        <v>24</v>
      </c>
    </row>
    <row r="90" spans="1:5">
      <c r="A90" t="s">
        <v>196</v>
      </c>
      <c r="B90" s="2" t="s">
        <v>197</v>
      </c>
      <c r="C90" t="s">
        <v>7</v>
      </c>
      <c r="D90" t="s">
        <v>36</v>
      </c>
      <c r="E90" t="s">
        <v>15</v>
      </c>
    </row>
    <row r="91" spans="1:5">
      <c r="A91" t="s">
        <v>198</v>
      </c>
      <c r="B91" s="3" t="s">
        <v>199</v>
      </c>
      <c r="C91" t="s">
        <v>23</v>
      </c>
      <c r="D91" t="s">
        <v>39</v>
      </c>
      <c r="E91" t="s">
        <v>15</v>
      </c>
    </row>
    <row r="92" spans="1:5">
      <c r="A92" t="s">
        <v>200</v>
      </c>
      <c r="B92" s="2" t="s">
        <v>201</v>
      </c>
      <c r="C92" t="s">
        <v>7</v>
      </c>
      <c r="D92" t="s">
        <v>51</v>
      </c>
      <c r="E92" t="s">
        <v>9</v>
      </c>
    </row>
    <row r="93" spans="1:5">
      <c r="A93" t="s">
        <v>202</v>
      </c>
      <c r="B93" s="3" t="s">
        <v>203</v>
      </c>
      <c r="C93" t="s">
        <v>7</v>
      </c>
      <c r="D93" t="s">
        <v>8</v>
      </c>
      <c r="E93" t="s">
        <v>15</v>
      </c>
    </row>
    <row r="94" spans="1:5">
      <c r="A94" t="s">
        <v>204</v>
      </c>
      <c r="B94" s="2" t="s">
        <v>205</v>
      </c>
      <c r="C94" t="s">
        <v>7</v>
      </c>
      <c r="D94" t="s">
        <v>56</v>
      </c>
      <c r="E94" t="s">
        <v>9</v>
      </c>
    </row>
    <row r="95" spans="1:5">
      <c r="A95" t="s">
        <v>206</v>
      </c>
      <c r="B95" s="3" t="s">
        <v>207</v>
      </c>
      <c r="C95" t="s">
        <v>7</v>
      </c>
      <c r="D95" t="s">
        <v>20</v>
      </c>
      <c r="E95" t="s">
        <v>9</v>
      </c>
    </row>
    <row r="96" spans="1:5">
      <c r="A96" t="s">
        <v>208</v>
      </c>
      <c r="B96" s="2" t="s">
        <v>209</v>
      </c>
      <c r="C96" t="s">
        <v>7</v>
      </c>
      <c r="D96" t="s">
        <v>20</v>
      </c>
      <c r="E96" t="s">
        <v>9</v>
      </c>
    </row>
    <row r="97" spans="1:5">
      <c r="A97" t="s">
        <v>210</v>
      </c>
      <c r="B97" s="3" t="s">
        <v>211</v>
      </c>
      <c r="C97" t="s">
        <v>23</v>
      </c>
      <c r="D97" t="s">
        <v>56</v>
      </c>
      <c r="E97" t="s">
        <v>15</v>
      </c>
    </row>
    <row r="98" spans="1:5">
      <c r="A98" t="s">
        <v>212</v>
      </c>
      <c r="B98" s="2" t="s">
        <v>213</v>
      </c>
      <c r="C98" t="s">
        <v>7</v>
      </c>
      <c r="D98" t="s">
        <v>29</v>
      </c>
      <c r="E98" t="s">
        <v>9</v>
      </c>
    </row>
    <row r="99" spans="1:5">
      <c r="A99" t="s">
        <v>214</v>
      </c>
      <c r="B99" s="3" t="s">
        <v>215</v>
      </c>
      <c r="C99" t="s">
        <v>23</v>
      </c>
      <c r="D99" t="s">
        <v>8</v>
      </c>
      <c r="E99" t="s">
        <v>9</v>
      </c>
    </row>
    <row r="100" spans="1:5">
      <c r="A100" t="s">
        <v>216</v>
      </c>
      <c r="B100" s="2" t="s">
        <v>217</v>
      </c>
      <c r="C100" t="s">
        <v>7</v>
      </c>
      <c r="D100" t="s">
        <v>12</v>
      </c>
      <c r="E100" t="s">
        <v>24</v>
      </c>
    </row>
    <row r="101" spans="1:5">
      <c r="A101" t="s">
        <v>218</v>
      </c>
      <c r="B101" s="3" t="s">
        <v>219</v>
      </c>
      <c r="C101" t="s">
        <v>23</v>
      </c>
      <c r="D101" t="s">
        <v>137</v>
      </c>
      <c r="E101" t="s">
        <v>9</v>
      </c>
    </row>
    <row r="102" spans="1:5">
      <c r="A102" t="s">
        <v>220</v>
      </c>
      <c r="B102" s="2" t="s">
        <v>221</v>
      </c>
      <c r="C102" t="s">
        <v>7</v>
      </c>
      <c r="D102" t="s">
        <v>29</v>
      </c>
      <c r="E102" t="s">
        <v>9</v>
      </c>
    </row>
    <row r="103" spans="1:5">
      <c r="A103" t="s">
        <v>222</v>
      </c>
      <c r="B103" s="3" t="s">
        <v>223</v>
      </c>
      <c r="C103" t="s">
        <v>7</v>
      </c>
      <c r="D103" t="s">
        <v>137</v>
      </c>
      <c r="E103" t="s">
        <v>9</v>
      </c>
    </row>
    <row r="104" spans="1:5">
      <c r="A104" t="s">
        <v>224</v>
      </c>
      <c r="B104" s="2" t="s">
        <v>225</v>
      </c>
      <c r="C104" t="s">
        <v>23</v>
      </c>
      <c r="D104" t="s">
        <v>137</v>
      </c>
      <c r="E104" t="s">
        <v>9</v>
      </c>
    </row>
    <row r="105" spans="1:5">
      <c r="A105" t="s">
        <v>226</v>
      </c>
      <c r="B105" s="3" t="s">
        <v>227</v>
      </c>
      <c r="C105" t="s">
        <v>23</v>
      </c>
      <c r="D105" t="s">
        <v>29</v>
      </c>
      <c r="E105" t="s">
        <v>9</v>
      </c>
    </row>
    <row r="106" spans="1:5">
      <c r="A106" t="s">
        <v>228</v>
      </c>
      <c r="B106" s="2" t="s">
        <v>229</v>
      </c>
      <c r="C106" t="s">
        <v>23</v>
      </c>
      <c r="D106" t="s">
        <v>39</v>
      </c>
      <c r="E106" t="s">
        <v>9</v>
      </c>
    </row>
    <row r="107" spans="1:5">
      <c r="A107" t="s">
        <v>230</v>
      </c>
      <c r="B107" s="3" t="s">
        <v>231</v>
      </c>
      <c r="C107" t="s">
        <v>7</v>
      </c>
      <c r="D107" t="s">
        <v>36</v>
      </c>
      <c r="E107" t="s">
        <v>24</v>
      </c>
    </row>
    <row r="108" spans="1:5">
      <c r="A108" t="s">
        <v>232</v>
      </c>
      <c r="B108" s="2" t="s">
        <v>233</v>
      </c>
      <c r="C108" t="s">
        <v>23</v>
      </c>
      <c r="D108" t="s">
        <v>137</v>
      </c>
      <c r="E108" t="s">
        <v>9</v>
      </c>
    </row>
    <row r="109" spans="1:5">
      <c r="A109" t="s">
        <v>234</v>
      </c>
      <c r="B109" s="3" t="s">
        <v>235</v>
      </c>
      <c r="C109" t="s">
        <v>7</v>
      </c>
      <c r="D109" t="s">
        <v>29</v>
      </c>
      <c r="E109" t="s">
        <v>9</v>
      </c>
    </row>
    <row r="110" spans="1:5">
      <c r="A110" t="s">
        <v>236</v>
      </c>
      <c r="B110" s="2" t="s">
        <v>237</v>
      </c>
      <c r="C110" t="s">
        <v>7</v>
      </c>
      <c r="D110" t="s">
        <v>29</v>
      </c>
      <c r="E110" t="s">
        <v>15</v>
      </c>
    </row>
    <row r="111" spans="1:5">
      <c r="A111" t="s">
        <v>238</v>
      </c>
      <c r="B111" s="3" t="s">
        <v>239</v>
      </c>
      <c r="C111" t="s">
        <v>23</v>
      </c>
      <c r="D111" t="s">
        <v>46</v>
      </c>
      <c r="E111" t="s">
        <v>9</v>
      </c>
    </row>
    <row r="112" spans="1:5">
      <c r="A112" t="s">
        <v>240</v>
      </c>
      <c r="B112" s="2" t="s">
        <v>241</v>
      </c>
      <c r="C112" t="s">
        <v>23</v>
      </c>
      <c r="D112" t="s">
        <v>39</v>
      </c>
      <c r="E112" t="s">
        <v>24</v>
      </c>
    </row>
    <row r="113" spans="1:5">
      <c r="A113" t="s">
        <v>242</v>
      </c>
      <c r="B113" s="3" t="s">
        <v>243</v>
      </c>
      <c r="C113" t="s">
        <v>7</v>
      </c>
      <c r="D113" t="s">
        <v>51</v>
      </c>
      <c r="E113" t="s">
        <v>9</v>
      </c>
    </row>
    <row r="114" spans="1:5">
      <c r="A114" t="s">
        <v>244</v>
      </c>
      <c r="B114" s="2" t="s">
        <v>245</v>
      </c>
      <c r="C114" t="s">
        <v>7</v>
      </c>
      <c r="D114" t="s">
        <v>46</v>
      </c>
      <c r="E114" t="s">
        <v>9</v>
      </c>
    </row>
    <row r="115" spans="1:5">
      <c r="A115" t="s">
        <v>246</v>
      </c>
      <c r="B115" s="3" t="s">
        <v>247</v>
      </c>
      <c r="C115" t="s">
        <v>23</v>
      </c>
      <c r="D115" t="s">
        <v>46</v>
      </c>
      <c r="E115" t="s">
        <v>9</v>
      </c>
    </row>
    <row r="116" spans="1:5">
      <c r="A116" t="s">
        <v>248</v>
      </c>
      <c r="B116" s="2" t="s">
        <v>249</v>
      </c>
      <c r="C116" t="s">
        <v>23</v>
      </c>
      <c r="D116" t="s">
        <v>56</v>
      </c>
      <c r="E116" t="s">
        <v>9</v>
      </c>
    </row>
    <row r="117" spans="1:5">
      <c r="A117" t="s">
        <v>250</v>
      </c>
      <c r="B117" s="3" t="s">
        <v>251</v>
      </c>
      <c r="C117" t="s">
        <v>23</v>
      </c>
      <c r="D117" t="s">
        <v>36</v>
      </c>
      <c r="E117" t="s">
        <v>9</v>
      </c>
    </row>
    <row r="118" spans="1:5">
      <c r="A118" t="s">
        <v>252</v>
      </c>
      <c r="B118" s="2" t="s">
        <v>253</v>
      </c>
      <c r="C118" t="s">
        <v>7</v>
      </c>
      <c r="D118" t="s">
        <v>29</v>
      </c>
      <c r="E118" t="s">
        <v>9</v>
      </c>
    </row>
    <row r="119" spans="1:5">
      <c r="A119" t="s">
        <v>254</v>
      </c>
      <c r="B119" s="3" t="s">
        <v>255</v>
      </c>
      <c r="C119" t="s">
        <v>7</v>
      </c>
      <c r="D119" t="s">
        <v>36</v>
      </c>
      <c r="E119" t="s">
        <v>9</v>
      </c>
    </row>
    <row r="120" spans="1:5">
      <c r="A120" t="s">
        <v>256</v>
      </c>
      <c r="B120" s="2" t="s">
        <v>257</v>
      </c>
      <c r="C120" t="s">
        <v>7</v>
      </c>
      <c r="D120" t="s">
        <v>8</v>
      </c>
      <c r="E120" t="s">
        <v>9</v>
      </c>
    </row>
    <row r="121" spans="1:5">
      <c r="A121" t="s">
        <v>258</v>
      </c>
      <c r="B121" s="3" t="s">
        <v>259</v>
      </c>
      <c r="C121" t="s">
        <v>7</v>
      </c>
      <c r="D121" t="s">
        <v>56</v>
      </c>
      <c r="E121" t="s">
        <v>9</v>
      </c>
    </row>
    <row r="122" spans="1:5">
      <c r="A122" t="s">
        <v>260</v>
      </c>
      <c r="B122" s="2" t="s">
        <v>261</v>
      </c>
      <c r="C122" t="s">
        <v>7</v>
      </c>
      <c r="D122" t="s">
        <v>51</v>
      </c>
      <c r="E122" t="s">
        <v>9</v>
      </c>
    </row>
    <row r="123" spans="1:5">
      <c r="A123" t="s">
        <v>262</v>
      </c>
      <c r="B123" s="3" t="s">
        <v>263</v>
      </c>
      <c r="C123" t="s">
        <v>7</v>
      </c>
      <c r="D123" t="s">
        <v>36</v>
      </c>
      <c r="E123" t="s">
        <v>9</v>
      </c>
    </row>
    <row r="124" spans="1:5">
      <c r="A124" t="s">
        <v>264</v>
      </c>
      <c r="B124" s="2" t="s">
        <v>265</v>
      </c>
      <c r="C124" t="s">
        <v>23</v>
      </c>
      <c r="D124" t="s">
        <v>20</v>
      </c>
      <c r="E124" t="s">
        <v>9</v>
      </c>
    </row>
    <row r="125" spans="1:5">
      <c r="A125" t="s">
        <v>266</v>
      </c>
      <c r="B125" s="3" t="s">
        <v>267</v>
      </c>
      <c r="C125" t="s">
        <v>7</v>
      </c>
      <c r="D125" t="s">
        <v>137</v>
      </c>
      <c r="E125" t="s">
        <v>24</v>
      </c>
    </row>
    <row r="126" spans="1:5">
      <c r="A126" t="s">
        <v>268</v>
      </c>
      <c r="B126" s="2" t="s">
        <v>269</v>
      </c>
      <c r="C126" t="s">
        <v>7</v>
      </c>
      <c r="D126" t="s">
        <v>8</v>
      </c>
      <c r="E126" t="s">
        <v>9</v>
      </c>
    </row>
    <row r="127" spans="1:5">
      <c r="A127" t="s">
        <v>270</v>
      </c>
      <c r="B127" s="3" t="s">
        <v>271</v>
      </c>
      <c r="C127" t="s">
        <v>7</v>
      </c>
      <c r="D127" t="s">
        <v>39</v>
      </c>
      <c r="E127" t="s">
        <v>24</v>
      </c>
    </row>
    <row r="128" spans="1:5">
      <c r="A128" t="s">
        <v>272</v>
      </c>
      <c r="B128" s="2" t="s">
        <v>273</v>
      </c>
      <c r="C128" t="s">
        <v>23</v>
      </c>
      <c r="D128" t="s">
        <v>51</v>
      </c>
      <c r="E128" t="s">
        <v>24</v>
      </c>
    </row>
    <row r="129" spans="1:5">
      <c r="A129" t="s">
        <v>274</v>
      </c>
      <c r="B129" s="3" t="s">
        <v>275</v>
      </c>
      <c r="C129" t="s">
        <v>7</v>
      </c>
      <c r="D129" t="s">
        <v>8</v>
      </c>
      <c r="E129" t="s">
        <v>9</v>
      </c>
    </row>
    <row r="130" spans="1:5">
      <c r="A130" t="s">
        <v>276</v>
      </c>
      <c r="B130" s="2" t="s">
        <v>277</v>
      </c>
      <c r="C130" t="s">
        <v>7</v>
      </c>
      <c r="D130" t="s">
        <v>137</v>
      </c>
      <c r="E130" t="s">
        <v>15</v>
      </c>
    </row>
    <row r="131" spans="1:5">
      <c r="A131" t="s">
        <v>278</v>
      </c>
      <c r="B131" s="3" t="s">
        <v>279</v>
      </c>
      <c r="C131" t="s">
        <v>23</v>
      </c>
      <c r="D131" t="s">
        <v>56</v>
      </c>
      <c r="E131" t="s">
        <v>15</v>
      </c>
    </row>
    <row r="132" spans="1:5">
      <c r="A132" t="s">
        <v>280</v>
      </c>
      <c r="B132" s="2" t="s">
        <v>281</v>
      </c>
      <c r="C132" t="s">
        <v>7</v>
      </c>
      <c r="D132" t="s">
        <v>137</v>
      </c>
      <c r="E132" t="s">
        <v>9</v>
      </c>
    </row>
    <row r="133" spans="1:5">
      <c r="A133" t="s">
        <v>282</v>
      </c>
      <c r="B133" s="3" t="s">
        <v>283</v>
      </c>
      <c r="C133" t="s">
        <v>7</v>
      </c>
      <c r="D133" t="s">
        <v>46</v>
      </c>
      <c r="E133" t="s">
        <v>9</v>
      </c>
    </row>
    <row r="134" spans="1:5">
      <c r="A134" t="s">
        <v>284</v>
      </c>
      <c r="B134" s="2" t="s">
        <v>285</v>
      </c>
      <c r="C134" t="s">
        <v>7</v>
      </c>
      <c r="D134" t="s">
        <v>137</v>
      </c>
      <c r="E134" t="s">
        <v>24</v>
      </c>
    </row>
    <row r="135" spans="1:5">
      <c r="A135" t="s">
        <v>286</v>
      </c>
      <c r="B135" s="3" t="s">
        <v>287</v>
      </c>
      <c r="C135" t="s">
        <v>7</v>
      </c>
      <c r="D135" t="s">
        <v>46</v>
      </c>
      <c r="E135" t="s">
        <v>24</v>
      </c>
    </row>
    <row r="136" spans="1:5">
      <c r="A136" t="s">
        <v>288</v>
      </c>
      <c r="B136" s="2" t="s">
        <v>289</v>
      </c>
      <c r="C136" t="s">
        <v>7</v>
      </c>
      <c r="D136" t="s">
        <v>56</v>
      </c>
      <c r="E136" t="s">
        <v>9</v>
      </c>
    </row>
    <row r="137" spans="1:5">
      <c r="A137" t="s">
        <v>290</v>
      </c>
      <c r="B137" s="3" t="s">
        <v>291</v>
      </c>
      <c r="C137" t="s">
        <v>23</v>
      </c>
      <c r="D137" t="s">
        <v>12</v>
      </c>
      <c r="E137" t="s">
        <v>9</v>
      </c>
    </row>
    <row r="138" spans="1:5">
      <c r="A138" t="s">
        <v>292</v>
      </c>
      <c r="B138" s="2" t="s">
        <v>293</v>
      </c>
      <c r="C138" t="s">
        <v>23</v>
      </c>
      <c r="D138" t="s">
        <v>46</v>
      </c>
      <c r="E138" t="s">
        <v>9</v>
      </c>
    </row>
    <row r="139" spans="1:5">
      <c r="A139" t="s">
        <v>294</v>
      </c>
      <c r="B139" s="3" t="s">
        <v>295</v>
      </c>
      <c r="C139" t="s">
        <v>23</v>
      </c>
      <c r="D139" t="s">
        <v>39</v>
      </c>
      <c r="E139" t="s">
        <v>9</v>
      </c>
    </row>
    <row r="140" spans="1:5">
      <c r="A140" t="s">
        <v>296</v>
      </c>
      <c r="B140" s="2" t="s">
        <v>297</v>
      </c>
      <c r="C140" t="s">
        <v>7</v>
      </c>
      <c r="D140" t="s">
        <v>137</v>
      </c>
      <c r="E140" t="s">
        <v>24</v>
      </c>
    </row>
    <row r="141" spans="1:5">
      <c r="A141" t="s">
        <v>298</v>
      </c>
      <c r="B141" s="3" t="s">
        <v>299</v>
      </c>
      <c r="C141" t="s">
        <v>7</v>
      </c>
      <c r="D141" t="s">
        <v>137</v>
      </c>
      <c r="E141" t="s">
        <v>9</v>
      </c>
    </row>
    <row r="142" spans="1:5">
      <c r="A142" t="s">
        <v>300</v>
      </c>
      <c r="B142" s="2" t="s">
        <v>301</v>
      </c>
      <c r="C142" t="s">
        <v>7</v>
      </c>
      <c r="D142" t="s">
        <v>39</v>
      </c>
      <c r="E142" t="s">
        <v>9</v>
      </c>
    </row>
    <row r="143" spans="1:5">
      <c r="A143" t="s">
        <v>302</v>
      </c>
      <c r="B143" s="3" t="s">
        <v>303</v>
      </c>
      <c r="C143" t="s">
        <v>23</v>
      </c>
      <c r="D143" t="s">
        <v>20</v>
      </c>
      <c r="E143" t="s">
        <v>24</v>
      </c>
    </row>
    <row r="144" spans="1:5">
      <c r="A144" t="s">
        <v>304</v>
      </c>
      <c r="B144" s="2" t="s">
        <v>305</v>
      </c>
      <c r="C144" t="s">
        <v>7</v>
      </c>
      <c r="D144" t="s">
        <v>29</v>
      </c>
      <c r="E144" t="s">
        <v>9</v>
      </c>
    </row>
    <row r="145" spans="1:5">
      <c r="A145" t="s">
        <v>306</v>
      </c>
      <c r="B145" s="3" t="s">
        <v>307</v>
      </c>
      <c r="C145" t="s">
        <v>7</v>
      </c>
      <c r="D145" t="s">
        <v>12</v>
      </c>
      <c r="E145" t="s">
        <v>9</v>
      </c>
    </row>
    <row r="146" spans="1:5">
      <c r="A146" t="s">
        <v>308</v>
      </c>
      <c r="B146" s="2" t="s">
        <v>309</v>
      </c>
      <c r="C146" t="s">
        <v>23</v>
      </c>
      <c r="D146" t="s">
        <v>51</v>
      </c>
      <c r="E146" t="s">
        <v>24</v>
      </c>
    </row>
    <row r="147" spans="1:5">
      <c r="A147" t="s">
        <v>310</v>
      </c>
      <c r="B147" s="3" t="s">
        <v>311</v>
      </c>
      <c r="C147" t="s">
        <v>7</v>
      </c>
      <c r="D147" t="s">
        <v>46</v>
      </c>
      <c r="E147" t="s">
        <v>15</v>
      </c>
    </row>
    <row r="148" spans="1:5">
      <c r="A148" t="s">
        <v>312</v>
      </c>
      <c r="B148" s="2" t="s">
        <v>313</v>
      </c>
      <c r="C148" t="s">
        <v>23</v>
      </c>
      <c r="D148" t="s">
        <v>39</v>
      </c>
      <c r="E148" t="s">
        <v>9</v>
      </c>
    </row>
    <row r="149" spans="1:5">
      <c r="A149" t="s">
        <v>314</v>
      </c>
      <c r="B149" s="3" t="s">
        <v>315</v>
      </c>
      <c r="C149" t="s">
        <v>23</v>
      </c>
      <c r="D149" t="s">
        <v>56</v>
      </c>
      <c r="E149" t="s">
        <v>9</v>
      </c>
    </row>
    <row r="150" spans="1:5">
      <c r="A150" t="s">
        <v>316</v>
      </c>
      <c r="B150" s="2" t="s">
        <v>317</v>
      </c>
      <c r="C150" t="s">
        <v>23</v>
      </c>
      <c r="D150" t="s">
        <v>46</v>
      </c>
      <c r="E150" t="s">
        <v>9</v>
      </c>
    </row>
    <row r="151" spans="1:5">
      <c r="A151" t="s">
        <v>318</v>
      </c>
      <c r="B151" s="3" t="s">
        <v>319</v>
      </c>
      <c r="C151" t="s">
        <v>7</v>
      </c>
      <c r="D151" t="s">
        <v>29</v>
      </c>
      <c r="E151" t="s">
        <v>9</v>
      </c>
    </row>
    <row r="152" spans="1:5">
      <c r="A152" t="s">
        <v>320</v>
      </c>
      <c r="B152" s="2" t="s">
        <v>321</v>
      </c>
      <c r="C152" t="s">
        <v>7</v>
      </c>
      <c r="D152" t="s">
        <v>56</v>
      </c>
      <c r="E152" t="s">
        <v>9</v>
      </c>
    </row>
    <row r="153" spans="1:5">
      <c r="A153" t="s">
        <v>322</v>
      </c>
      <c r="B153" s="3" t="s">
        <v>323</v>
      </c>
      <c r="C153" t="s">
        <v>7</v>
      </c>
      <c r="D153" t="s">
        <v>8</v>
      </c>
      <c r="E153" t="s">
        <v>9</v>
      </c>
    </row>
    <row r="154" spans="1:5">
      <c r="A154" t="s">
        <v>324</v>
      </c>
      <c r="B154" s="2" t="s">
        <v>325</v>
      </c>
      <c r="C154" t="s">
        <v>7</v>
      </c>
      <c r="D154" t="s">
        <v>137</v>
      </c>
      <c r="E154" t="s">
        <v>9</v>
      </c>
    </row>
    <row r="155" spans="1:5">
      <c r="A155" t="s">
        <v>326</v>
      </c>
      <c r="B155" s="3" t="s">
        <v>327</v>
      </c>
      <c r="C155" t="s">
        <v>7</v>
      </c>
      <c r="D155" t="s">
        <v>8</v>
      </c>
      <c r="E155" t="s">
        <v>9</v>
      </c>
    </row>
    <row r="156" spans="1:5">
      <c r="A156" t="s">
        <v>328</v>
      </c>
      <c r="B156" s="2" t="s">
        <v>329</v>
      </c>
      <c r="C156" t="s">
        <v>7</v>
      </c>
      <c r="D156" t="s">
        <v>46</v>
      </c>
      <c r="E156" t="s">
        <v>9</v>
      </c>
    </row>
    <row r="157" spans="1:5">
      <c r="A157" t="s">
        <v>330</v>
      </c>
      <c r="B157" s="3" t="s">
        <v>331</v>
      </c>
      <c r="C157" t="s">
        <v>7</v>
      </c>
      <c r="D157" t="s">
        <v>29</v>
      </c>
      <c r="E157" t="s">
        <v>9</v>
      </c>
    </row>
    <row r="158" spans="1:5">
      <c r="A158" t="s">
        <v>332</v>
      </c>
      <c r="B158" s="2" t="s">
        <v>333</v>
      </c>
      <c r="C158" t="s">
        <v>23</v>
      </c>
      <c r="D158" t="s">
        <v>12</v>
      </c>
      <c r="E158" t="s">
        <v>9</v>
      </c>
    </row>
    <row r="159" spans="1:5">
      <c r="A159" t="s">
        <v>334</v>
      </c>
      <c r="B159" s="3" t="s">
        <v>335</v>
      </c>
      <c r="C159" t="s">
        <v>7</v>
      </c>
      <c r="D159" t="s">
        <v>46</v>
      </c>
      <c r="E159" t="s">
        <v>9</v>
      </c>
    </row>
    <row r="160" spans="1:5">
      <c r="A160" t="s">
        <v>336</v>
      </c>
      <c r="B160" s="2" t="s">
        <v>337</v>
      </c>
      <c r="C160" t="s">
        <v>23</v>
      </c>
      <c r="D160" t="s">
        <v>39</v>
      </c>
      <c r="E160" t="s">
        <v>9</v>
      </c>
    </row>
    <row r="161" spans="1:5">
      <c r="A161" t="s">
        <v>338</v>
      </c>
      <c r="B161" s="3" t="s">
        <v>339</v>
      </c>
      <c r="C161" t="s">
        <v>7</v>
      </c>
      <c r="D161" t="s">
        <v>36</v>
      </c>
      <c r="E161" t="s">
        <v>15</v>
      </c>
    </row>
    <row r="162" spans="1:5">
      <c r="A162" t="s">
        <v>340</v>
      </c>
      <c r="B162" s="2" t="s">
        <v>341</v>
      </c>
      <c r="C162" t="s">
        <v>7</v>
      </c>
      <c r="D162" t="s">
        <v>46</v>
      </c>
      <c r="E162" t="s">
        <v>24</v>
      </c>
    </row>
    <row r="163" spans="1:5">
      <c r="A163" t="s">
        <v>342</v>
      </c>
      <c r="B163" s="3" t="s">
        <v>343</v>
      </c>
      <c r="C163" t="s">
        <v>7</v>
      </c>
      <c r="D163" t="s">
        <v>137</v>
      </c>
      <c r="E163" t="s">
        <v>24</v>
      </c>
    </row>
    <row r="164" spans="1:5">
      <c r="A164" t="s">
        <v>344</v>
      </c>
      <c r="B164" s="2" t="s">
        <v>345</v>
      </c>
      <c r="C164" t="s">
        <v>23</v>
      </c>
      <c r="D164" t="s">
        <v>137</v>
      </c>
      <c r="E164" t="s">
        <v>24</v>
      </c>
    </row>
    <row r="165" spans="1:5">
      <c r="A165" t="s">
        <v>346</v>
      </c>
      <c r="B165" s="3" t="s">
        <v>347</v>
      </c>
      <c r="C165" t="s">
        <v>23</v>
      </c>
      <c r="D165" t="s">
        <v>46</v>
      </c>
      <c r="E165" t="s">
        <v>9</v>
      </c>
    </row>
    <row r="166" spans="1:5">
      <c r="A166" t="s">
        <v>348</v>
      </c>
      <c r="B166" s="2" t="s">
        <v>349</v>
      </c>
      <c r="C166" t="s">
        <v>23</v>
      </c>
      <c r="D166" t="s">
        <v>56</v>
      </c>
      <c r="E166" t="s">
        <v>9</v>
      </c>
    </row>
    <row r="167" spans="1:5">
      <c r="A167" t="s">
        <v>350</v>
      </c>
      <c r="B167" s="3" t="s">
        <v>351</v>
      </c>
      <c r="C167" t="s">
        <v>23</v>
      </c>
      <c r="D167" t="s">
        <v>36</v>
      </c>
      <c r="E167" t="s">
        <v>9</v>
      </c>
    </row>
    <row r="168" spans="1:5">
      <c r="A168" t="s">
        <v>352</v>
      </c>
      <c r="B168" s="2" t="s">
        <v>353</v>
      </c>
      <c r="C168" t="s">
        <v>7</v>
      </c>
      <c r="D168" t="s">
        <v>39</v>
      </c>
      <c r="E168" t="s">
        <v>24</v>
      </c>
    </row>
    <row r="169" spans="1:5">
      <c r="A169" t="s">
        <v>354</v>
      </c>
      <c r="B169" s="3" t="s">
        <v>355</v>
      </c>
      <c r="C169" t="s">
        <v>23</v>
      </c>
      <c r="D169" t="s">
        <v>46</v>
      </c>
      <c r="E169" t="s">
        <v>24</v>
      </c>
    </row>
    <row r="170" spans="1:5">
      <c r="A170" t="s">
        <v>356</v>
      </c>
      <c r="B170" s="2" t="s">
        <v>357</v>
      </c>
      <c r="C170" t="s">
        <v>7</v>
      </c>
      <c r="D170" t="s">
        <v>56</v>
      </c>
      <c r="E170" t="s">
        <v>9</v>
      </c>
    </row>
    <row r="171" spans="1:5">
      <c r="A171" t="s">
        <v>358</v>
      </c>
      <c r="B171" s="3" t="s">
        <v>359</v>
      </c>
      <c r="C171" t="s">
        <v>7</v>
      </c>
      <c r="D171" t="s">
        <v>137</v>
      </c>
      <c r="E171" t="s">
        <v>9</v>
      </c>
    </row>
    <row r="172" spans="1:5">
      <c r="A172" t="s">
        <v>360</v>
      </c>
      <c r="B172" s="2" t="s">
        <v>361</v>
      </c>
      <c r="C172" t="s">
        <v>23</v>
      </c>
      <c r="D172" t="s">
        <v>137</v>
      </c>
      <c r="E172" t="s">
        <v>9</v>
      </c>
    </row>
    <row r="173" spans="1:5">
      <c r="A173" t="s">
        <v>362</v>
      </c>
      <c r="B173" s="3" t="s">
        <v>363</v>
      </c>
      <c r="C173" t="s">
        <v>23</v>
      </c>
      <c r="D173" t="s">
        <v>29</v>
      </c>
      <c r="E173" t="s">
        <v>9</v>
      </c>
    </row>
    <row r="174" spans="1:5">
      <c r="A174" t="s">
        <v>364</v>
      </c>
      <c r="B174" s="2" t="s">
        <v>365</v>
      </c>
      <c r="C174" t="s">
        <v>23</v>
      </c>
      <c r="D174" t="s">
        <v>46</v>
      </c>
      <c r="E174" t="s">
        <v>24</v>
      </c>
    </row>
    <row r="175" spans="1:5">
      <c r="A175" t="s">
        <v>366</v>
      </c>
      <c r="B175" s="3" t="s">
        <v>367</v>
      </c>
      <c r="C175" t="s">
        <v>23</v>
      </c>
      <c r="D175" t="s">
        <v>36</v>
      </c>
      <c r="E175" t="s">
        <v>24</v>
      </c>
    </row>
    <row r="176" spans="1:5">
      <c r="A176" t="s">
        <v>368</v>
      </c>
      <c r="B176" s="2" t="s">
        <v>369</v>
      </c>
      <c r="C176" t="s">
        <v>23</v>
      </c>
      <c r="D176" t="s">
        <v>20</v>
      </c>
      <c r="E176" t="s">
        <v>9</v>
      </c>
    </row>
    <row r="177" spans="1:5">
      <c r="A177" t="s">
        <v>370</v>
      </c>
      <c r="B177" s="3" t="s">
        <v>371</v>
      </c>
      <c r="C177" t="s">
        <v>23</v>
      </c>
      <c r="D177" t="s">
        <v>36</v>
      </c>
      <c r="E177" t="s">
        <v>15</v>
      </c>
    </row>
    <row r="178" spans="1:5">
      <c r="A178" t="s">
        <v>372</v>
      </c>
      <c r="B178" s="2" t="s">
        <v>373</v>
      </c>
      <c r="C178" t="s">
        <v>23</v>
      </c>
      <c r="D178" t="s">
        <v>137</v>
      </c>
      <c r="E178" t="s">
        <v>24</v>
      </c>
    </row>
    <row r="179" spans="1:5">
      <c r="A179" t="s">
        <v>374</v>
      </c>
      <c r="B179" s="3" t="s">
        <v>375</v>
      </c>
      <c r="C179" t="s">
        <v>23</v>
      </c>
      <c r="D179" t="s">
        <v>137</v>
      </c>
      <c r="E179" t="s">
        <v>9</v>
      </c>
    </row>
    <row r="180" spans="1:5">
      <c r="A180" t="s">
        <v>376</v>
      </c>
      <c r="B180" s="2" t="s">
        <v>377</v>
      </c>
      <c r="C180" t="s">
        <v>7</v>
      </c>
      <c r="D180" t="s">
        <v>8</v>
      </c>
      <c r="E180" t="s">
        <v>9</v>
      </c>
    </row>
    <row r="181" spans="1:5">
      <c r="A181" t="s">
        <v>378</v>
      </c>
      <c r="B181" s="3" t="s">
        <v>379</v>
      </c>
      <c r="C181" t="s">
        <v>23</v>
      </c>
      <c r="D181" t="s">
        <v>137</v>
      </c>
      <c r="E181" t="s">
        <v>9</v>
      </c>
    </row>
    <row r="182" spans="1:5">
      <c r="A182" t="s">
        <v>380</v>
      </c>
      <c r="B182" s="2" t="s">
        <v>381</v>
      </c>
      <c r="C182" t="s">
        <v>23</v>
      </c>
      <c r="D182" t="s">
        <v>39</v>
      </c>
      <c r="E182" t="s">
        <v>9</v>
      </c>
    </row>
    <row r="183" spans="1:5">
      <c r="A183" t="s">
        <v>382</v>
      </c>
      <c r="B183" s="3" t="s">
        <v>383</v>
      </c>
      <c r="C183" t="s">
        <v>7</v>
      </c>
      <c r="D183" t="s">
        <v>51</v>
      </c>
      <c r="E183" t="s">
        <v>9</v>
      </c>
    </row>
    <row r="184" spans="1:5">
      <c r="A184" t="s">
        <v>384</v>
      </c>
      <c r="B184" s="2" t="s">
        <v>385</v>
      </c>
      <c r="C184" t="s">
        <v>23</v>
      </c>
      <c r="D184" t="s">
        <v>46</v>
      </c>
      <c r="E184" t="s">
        <v>9</v>
      </c>
    </row>
    <row r="185" spans="1:5">
      <c r="A185" t="s">
        <v>386</v>
      </c>
      <c r="B185" s="3" t="s">
        <v>387</v>
      </c>
      <c r="C185" t="s">
        <v>7</v>
      </c>
      <c r="D185" t="s">
        <v>36</v>
      </c>
      <c r="E185" t="s">
        <v>9</v>
      </c>
    </row>
    <row r="186" spans="1:5">
      <c r="A186" t="s">
        <v>388</v>
      </c>
      <c r="B186" s="2" t="s">
        <v>389</v>
      </c>
      <c r="C186" t="s">
        <v>7</v>
      </c>
      <c r="D186" t="s">
        <v>51</v>
      </c>
      <c r="E186" t="s">
        <v>9</v>
      </c>
    </row>
    <row r="187" spans="1:5">
      <c r="A187" t="s">
        <v>390</v>
      </c>
      <c r="B187" s="3" t="s">
        <v>391</v>
      </c>
      <c r="C187" t="s">
        <v>23</v>
      </c>
      <c r="D187" t="s">
        <v>56</v>
      </c>
      <c r="E187" t="s">
        <v>15</v>
      </c>
    </row>
    <row r="188" spans="1:5">
      <c r="A188" t="s">
        <v>392</v>
      </c>
      <c r="B188" s="2" t="s">
        <v>393</v>
      </c>
      <c r="C188" t="s">
        <v>7</v>
      </c>
      <c r="D188" t="s">
        <v>20</v>
      </c>
      <c r="E188" t="s">
        <v>9</v>
      </c>
    </row>
    <row r="189" spans="1:5">
      <c r="A189" t="s">
        <v>394</v>
      </c>
      <c r="B189" s="3" t="s">
        <v>395</v>
      </c>
      <c r="C189" t="s">
        <v>7</v>
      </c>
      <c r="D189" t="s">
        <v>39</v>
      </c>
      <c r="E189" t="s">
        <v>9</v>
      </c>
    </row>
    <row r="190" spans="1:5">
      <c r="A190" t="s">
        <v>396</v>
      </c>
      <c r="B190" s="2" t="s">
        <v>397</v>
      </c>
      <c r="C190" t="s">
        <v>7</v>
      </c>
      <c r="D190" t="s">
        <v>36</v>
      </c>
      <c r="E190" t="s">
        <v>9</v>
      </c>
    </row>
    <row r="191" spans="1:5">
      <c r="A191" t="s">
        <v>398</v>
      </c>
      <c r="B191" s="3" t="s">
        <v>399</v>
      </c>
      <c r="C191" t="s">
        <v>7</v>
      </c>
      <c r="D191" t="s">
        <v>51</v>
      </c>
      <c r="E191" t="s">
        <v>15</v>
      </c>
    </row>
    <row r="192" spans="1:5">
      <c r="A192" t="s">
        <v>400</v>
      </c>
      <c r="B192" s="2" t="s">
        <v>401</v>
      </c>
      <c r="C192" t="s">
        <v>23</v>
      </c>
      <c r="D192" t="s">
        <v>20</v>
      </c>
      <c r="E192" t="s">
        <v>9</v>
      </c>
    </row>
    <row r="193" spans="1:5">
      <c r="A193" t="s">
        <v>402</v>
      </c>
      <c r="B193" s="3" t="s">
        <v>403</v>
      </c>
      <c r="C193" t="s">
        <v>7</v>
      </c>
      <c r="D193" t="s">
        <v>8</v>
      </c>
      <c r="E193" t="s">
        <v>9</v>
      </c>
    </row>
    <row r="194" spans="1:5">
      <c r="A194" t="s">
        <v>404</v>
      </c>
      <c r="B194" s="2" t="s">
        <v>405</v>
      </c>
      <c r="C194" t="s">
        <v>23</v>
      </c>
      <c r="D194" t="s">
        <v>39</v>
      </c>
      <c r="E194" t="s">
        <v>15</v>
      </c>
    </row>
    <row r="195" spans="1:5">
      <c r="A195" t="s">
        <v>406</v>
      </c>
      <c r="B195" s="3" t="s">
        <v>407</v>
      </c>
      <c r="C195" t="s">
        <v>7</v>
      </c>
      <c r="D195" t="s">
        <v>39</v>
      </c>
      <c r="E195" t="s">
        <v>15</v>
      </c>
    </row>
    <row r="196" spans="1:5">
      <c r="A196" t="s">
        <v>408</v>
      </c>
      <c r="B196" s="2" t="s">
        <v>409</v>
      </c>
      <c r="C196" t="s">
        <v>7</v>
      </c>
      <c r="D196" t="s">
        <v>8</v>
      </c>
      <c r="E196" t="s">
        <v>24</v>
      </c>
    </row>
    <row r="197" spans="1:5">
      <c r="A197" t="s">
        <v>410</v>
      </c>
      <c r="B197" s="3" t="s">
        <v>411</v>
      </c>
      <c r="C197" t="s">
        <v>7</v>
      </c>
      <c r="D197" t="s">
        <v>46</v>
      </c>
      <c r="E197" t="s">
        <v>9</v>
      </c>
    </row>
    <row r="198" spans="1:5">
      <c r="A198" t="s">
        <v>412</v>
      </c>
      <c r="B198" s="2" t="s">
        <v>413</v>
      </c>
      <c r="C198" t="s">
        <v>7</v>
      </c>
      <c r="D198" t="s">
        <v>8</v>
      </c>
      <c r="E198" t="s">
        <v>9</v>
      </c>
    </row>
    <row r="199" spans="1:5">
      <c r="A199" t="s">
        <v>414</v>
      </c>
      <c r="B199" s="3" t="s">
        <v>415</v>
      </c>
      <c r="C199" t="s">
        <v>23</v>
      </c>
      <c r="D199" t="s">
        <v>39</v>
      </c>
      <c r="E199" t="s">
        <v>24</v>
      </c>
    </row>
    <row r="200" spans="1:5">
      <c r="A200" t="s">
        <v>416</v>
      </c>
      <c r="B200" s="2" t="s">
        <v>417</v>
      </c>
      <c r="C200" t="s">
        <v>23</v>
      </c>
      <c r="D200" t="s">
        <v>39</v>
      </c>
      <c r="E200" t="s">
        <v>15</v>
      </c>
    </row>
    <row r="201" spans="1:5">
      <c r="A201" t="s">
        <v>418</v>
      </c>
      <c r="B201" s="3" t="s">
        <v>419</v>
      </c>
      <c r="C201" t="s">
        <v>7</v>
      </c>
      <c r="D201" t="s">
        <v>51</v>
      </c>
      <c r="E201" t="s">
        <v>24</v>
      </c>
    </row>
    <row r="202" spans="1:5">
      <c r="A202" t="s">
        <v>420</v>
      </c>
      <c r="B202" s="2" t="s">
        <v>421</v>
      </c>
      <c r="C202" t="s">
        <v>7</v>
      </c>
      <c r="D202" t="s">
        <v>137</v>
      </c>
      <c r="E202" t="s">
        <v>24</v>
      </c>
    </row>
    <row r="203" spans="1:5">
      <c r="A203" t="s">
        <v>422</v>
      </c>
      <c r="B203" s="3" t="s">
        <v>423</v>
      </c>
      <c r="C203" t="s">
        <v>23</v>
      </c>
      <c r="D203" t="s">
        <v>20</v>
      </c>
      <c r="E203" t="s">
        <v>9</v>
      </c>
    </row>
    <row r="204" spans="1:5">
      <c r="A204" t="s">
        <v>424</v>
      </c>
      <c r="B204" s="2" t="s">
        <v>425</v>
      </c>
      <c r="C204" t="s">
        <v>7</v>
      </c>
      <c r="D204" t="s">
        <v>8</v>
      </c>
      <c r="E204" t="s">
        <v>24</v>
      </c>
    </row>
    <row r="205" spans="1:5">
      <c r="A205" t="s">
        <v>426</v>
      </c>
      <c r="B205" s="3" t="s">
        <v>427</v>
      </c>
      <c r="C205" t="s">
        <v>7</v>
      </c>
      <c r="D205" t="s">
        <v>20</v>
      </c>
      <c r="E205" t="s">
        <v>9</v>
      </c>
    </row>
    <row r="206" spans="1:5">
      <c r="A206" t="s">
        <v>428</v>
      </c>
      <c r="B206" s="2" t="s">
        <v>429</v>
      </c>
      <c r="C206" t="s">
        <v>7</v>
      </c>
      <c r="D206" t="s">
        <v>8</v>
      </c>
      <c r="E206" t="s">
        <v>9</v>
      </c>
    </row>
    <row r="207" spans="1:5">
      <c r="A207" t="s">
        <v>430</v>
      </c>
      <c r="B207" s="3" t="s">
        <v>431</v>
      </c>
      <c r="C207" t="s">
        <v>23</v>
      </c>
      <c r="D207" t="s">
        <v>56</v>
      </c>
      <c r="E207" t="s">
        <v>9</v>
      </c>
    </row>
    <row r="208" spans="1:5">
      <c r="A208" t="s">
        <v>432</v>
      </c>
      <c r="B208" s="2" t="s">
        <v>433</v>
      </c>
      <c r="C208" t="s">
        <v>23</v>
      </c>
      <c r="D208" t="s">
        <v>39</v>
      </c>
      <c r="E208" t="s">
        <v>9</v>
      </c>
    </row>
    <row r="209" spans="1:5">
      <c r="A209" t="s">
        <v>434</v>
      </c>
      <c r="B209" s="3" t="s">
        <v>435</v>
      </c>
      <c r="C209" t="s">
        <v>23</v>
      </c>
      <c r="D209" t="s">
        <v>137</v>
      </c>
      <c r="E209" t="s">
        <v>9</v>
      </c>
    </row>
    <row r="210" spans="1:5">
      <c r="A210" t="s">
        <v>436</v>
      </c>
      <c r="B210" s="2" t="s">
        <v>437</v>
      </c>
      <c r="C210" t="s">
        <v>7</v>
      </c>
      <c r="D210" t="s">
        <v>51</v>
      </c>
      <c r="E210" t="s">
        <v>9</v>
      </c>
    </row>
    <row r="211" spans="1:5">
      <c r="A211" t="s">
        <v>438</v>
      </c>
      <c r="B211" s="3" t="s">
        <v>439</v>
      </c>
      <c r="C211" t="s">
        <v>7</v>
      </c>
      <c r="D211" t="s">
        <v>137</v>
      </c>
      <c r="E211" t="s">
        <v>24</v>
      </c>
    </row>
    <row r="212" spans="1:5">
      <c r="A212" t="s">
        <v>440</v>
      </c>
      <c r="B212" s="2" t="s">
        <v>441</v>
      </c>
      <c r="C212" t="s">
        <v>23</v>
      </c>
      <c r="D212" t="s">
        <v>137</v>
      </c>
      <c r="E212" t="s">
        <v>9</v>
      </c>
    </row>
    <row r="213" spans="1:5">
      <c r="A213" t="s">
        <v>442</v>
      </c>
      <c r="B213" s="3" t="s">
        <v>443</v>
      </c>
      <c r="C213" t="s">
        <v>23</v>
      </c>
      <c r="D213" t="s">
        <v>137</v>
      </c>
      <c r="E213" t="s">
        <v>24</v>
      </c>
    </row>
    <row r="214" spans="1:5">
      <c r="A214" t="s">
        <v>444</v>
      </c>
      <c r="B214" s="2" t="s">
        <v>445</v>
      </c>
      <c r="C214" t="s">
        <v>23</v>
      </c>
      <c r="D214" t="s">
        <v>20</v>
      </c>
      <c r="E214" t="s">
        <v>9</v>
      </c>
    </row>
    <row r="215" spans="1:5">
      <c r="A215" t="s">
        <v>446</v>
      </c>
      <c r="B215" s="3" t="s">
        <v>447</v>
      </c>
      <c r="C215" t="s">
        <v>23</v>
      </c>
      <c r="D215" t="s">
        <v>8</v>
      </c>
      <c r="E215" t="s">
        <v>9</v>
      </c>
    </row>
    <row r="216" spans="1:5">
      <c r="A216" t="s">
        <v>448</v>
      </c>
      <c r="B216" s="2" t="s">
        <v>449</v>
      </c>
      <c r="C216" t="s">
        <v>7</v>
      </c>
      <c r="D216" t="s">
        <v>12</v>
      </c>
      <c r="E216" t="s">
        <v>9</v>
      </c>
    </row>
    <row r="217" spans="1:5">
      <c r="A217" t="s">
        <v>450</v>
      </c>
      <c r="B217" s="3" t="s">
        <v>451</v>
      </c>
      <c r="C217" t="s">
        <v>23</v>
      </c>
      <c r="D217" t="s">
        <v>56</v>
      </c>
      <c r="E217" t="s">
        <v>9</v>
      </c>
    </row>
    <row r="218" spans="1:5">
      <c r="A218" t="s">
        <v>452</v>
      </c>
      <c r="B218" s="2" t="s">
        <v>453</v>
      </c>
      <c r="C218" t="s">
        <v>7</v>
      </c>
      <c r="D218" t="s">
        <v>36</v>
      </c>
      <c r="E218" t="s">
        <v>9</v>
      </c>
    </row>
    <row r="219" spans="1:5">
      <c r="A219" t="s">
        <v>454</v>
      </c>
      <c r="B219" s="3" t="s">
        <v>455</v>
      </c>
      <c r="C219" t="s">
        <v>23</v>
      </c>
      <c r="D219" t="s">
        <v>137</v>
      </c>
      <c r="E219" t="s">
        <v>9</v>
      </c>
    </row>
    <row r="220" spans="1:5">
      <c r="A220" t="s">
        <v>456</v>
      </c>
      <c r="B220" s="2" t="s">
        <v>457</v>
      </c>
      <c r="C220" t="s">
        <v>7</v>
      </c>
      <c r="D220" t="s">
        <v>46</v>
      </c>
      <c r="E220" t="s">
        <v>9</v>
      </c>
    </row>
    <row r="221" spans="1:5">
      <c r="A221" t="s">
        <v>458</v>
      </c>
      <c r="B221" s="3" t="s">
        <v>459</v>
      </c>
      <c r="C221" t="s">
        <v>23</v>
      </c>
      <c r="D221" t="s">
        <v>20</v>
      </c>
      <c r="E221" t="s">
        <v>15</v>
      </c>
    </row>
    <row r="222" spans="1:5">
      <c r="A222" t="s">
        <v>460</v>
      </c>
      <c r="B222" s="2" t="s">
        <v>461</v>
      </c>
      <c r="C222" t="s">
        <v>23</v>
      </c>
      <c r="D222" t="s">
        <v>51</v>
      </c>
      <c r="E222" t="s">
        <v>9</v>
      </c>
    </row>
    <row r="223" spans="1:5">
      <c r="A223" t="s">
        <v>462</v>
      </c>
      <c r="B223" s="3" t="s">
        <v>463</v>
      </c>
      <c r="C223" t="s">
        <v>23</v>
      </c>
      <c r="D223" t="s">
        <v>36</v>
      </c>
      <c r="E223" t="s">
        <v>24</v>
      </c>
    </row>
    <row r="224" spans="1:5">
      <c r="A224" t="s">
        <v>464</v>
      </c>
      <c r="B224" s="2" t="s">
        <v>465</v>
      </c>
      <c r="C224" t="s">
        <v>23</v>
      </c>
      <c r="D224" t="s">
        <v>12</v>
      </c>
      <c r="E224" t="s">
        <v>9</v>
      </c>
    </row>
    <row r="225" spans="1:5">
      <c r="A225" t="s">
        <v>466</v>
      </c>
      <c r="B225" s="3" t="s">
        <v>467</v>
      </c>
      <c r="C225" t="s">
        <v>7</v>
      </c>
      <c r="D225" t="s">
        <v>46</v>
      </c>
      <c r="E225" t="s">
        <v>24</v>
      </c>
    </row>
    <row r="226" spans="1:5">
      <c r="A226" t="s">
        <v>468</v>
      </c>
      <c r="B226" s="2" t="s">
        <v>469</v>
      </c>
      <c r="C226" t="s">
        <v>23</v>
      </c>
      <c r="D226" t="s">
        <v>12</v>
      </c>
      <c r="E226" t="s">
        <v>24</v>
      </c>
    </row>
    <row r="227" spans="1:5">
      <c r="A227" t="s">
        <v>470</v>
      </c>
      <c r="B227" s="3" t="s">
        <v>471</v>
      </c>
      <c r="C227" t="s">
        <v>7</v>
      </c>
      <c r="D227" t="s">
        <v>36</v>
      </c>
      <c r="E227" t="s">
        <v>24</v>
      </c>
    </row>
    <row r="228" spans="1:5">
      <c r="A228" t="s">
        <v>472</v>
      </c>
      <c r="B228" s="2" t="s">
        <v>473</v>
      </c>
      <c r="C228" t="s">
        <v>7</v>
      </c>
      <c r="D228" t="s">
        <v>137</v>
      </c>
      <c r="E228" t="s">
        <v>9</v>
      </c>
    </row>
    <row r="229" spans="1:5">
      <c r="A229" t="s">
        <v>474</v>
      </c>
      <c r="B229" s="3" t="s">
        <v>475</v>
      </c>
      <c r="C229" t="s">
        <v>7</v>
      </c>
      <c r="D229" t="s">
        <v>46</v>
      </c>
      <c r="E229" t="s">
        <v>9</v>
      </c>
    </row>
    <row r="230" spans="1:5">
      <c r="A230" t="s">
        <v>476</v>
      </c>
      <c r="B230" s="2" t="s">
        <v>477</v>
      </c>
      <c r="C230" t="s">
        <v>7</v>
      </c>
      <c r="D230" t="s">
        <v>12</v>
      </c>
      <c r="E230" t="s">
        <v>9</v>
      </c>
    </row>
    <row r="231" spans="1:5">
      <c r="A231" t="s">
        <v>478</v>
      </c>
      <c r="B231" s="3" t="s">
        <v>479</v>
      </c>
      <c r="C231" t="s">
        <v>23</v>
      </c>
      <c r="D231" t="s">
        <v>51</v>
      </c>
      <c r="E231" t="s">
        <v>15</v>
      </c>
    </row>
    <row r="232" spans="1:5">
      <c r="A232" t="s">
        <v>480</v>
      </c>
      <c r="B232" s="2" t="s">
        <v>481</v>
      </c>
      <c r="C232" t="s">
        <v>7</v>
      </c>
      <c r="D232" t="s">
        <v>8</v>
      </c>
      <c r="E232" t="s">
        <v>24</v>
      </c>
    </row>
    <row r="233" spans="1:5">
      <c r="A233" t="s">
        <v>482</v>
      </c>
      <c r="B233" s="3" t="s">
        <v>483</v>
      </c>
      <c r="C233" t="s">
        <v>7</v>
      </c>
      <c r="D233" t="s">
        <v>39</v>
      </c>
      <c r="E233" t="s">
        <v>15</v>
      </c>
    </row>
    <row r="234" spans="1:5">
      <c r="A234" t="s">
        <v>484</v>
      </c>
      <c r="B234" s="2" t="s">
        <v>485</v>
      </c>
      <c r="C234" t="s">
        <v>7</v>
      </c>
      <c r="D234" t="s">
        <v>8</v>
      </c>
      <c r="E234" t="s">
        <v>9</v>
      </c>
    </row>
    <row r="235" spans="1:5">
      <c r="A235" t="s">
        <v>486</v>
      </c>
      <c r="B235" s="3" t="s">
        <v>487</v>
      </c>
      <c r="C235" t="s">
        <v>23</v>
      </c>
      <c r="D235" t="s">
        <v>36</v>
      </c>
      <c r="E235" t="s">
        <v>24</v>
      </c>
    </row>
    <row r="236" spans="1:5">
      <c r="A236" t="s">
        <v>488</v>
      </c>
      <c r="B236" s="2" t="s">
        <v>489</v>
      </c>
      <c r="C236" t="s">
        <v>23</v>
      </c>
      <c r="D236" t="s">
        <v>20</v>
      </c>
      <c r="E236" t="s">
        <v>15</v>
      </c>
    </row>
    <row r="237" spans="1:5">
      <c r="A237" t="s">
        <v>490</v>
      </c>
      <c r="B237" s="3" t="s">
        <v>491</v>
      </c>
      <c r="C237" t="s">
        <v>23</v>
      </c>
      <c r="D237" t="s">
        <v>39</v>
      </c>
      <c r="E237" t="s">
        <v>9</v>
      </c>
    </row>
    <row r="238" spans="1:5">
      <c r="A238" t="s">
        <v>492</v>
      </c>
      <c r="B238" s="2" t="s">
        <v>493</v>
      </c>
      <c r="C238" t="s">
        <v>23</v>
      </c>
      <c r="D238" t="s">
        <v>56</v>
      </c>
      <c r="E238" t="s">
        <v>9</v>
      </c>
    </row>
    <row r="239" spans="1:5">
      <c r="A239" t="s">
        <v>494</v>
      </c>
      <c r="B239" s="3" t="s">
        <v>495</v>
      </c>
      <c r="C239" t="s">
        <v>7</v>
      </c>
      <c r="D239" t="s">
        <v>51</v>
      </c>
      <c r="E239" t="s">
        <v>24</v>
      </c>
    </row>
    <row r="240" spans="1:5">
      <c r="A240" t="s">
        <v>496</v>
      </c>
      <c r="B240" s="2" t="s">
        <v>497</v>
      </c>
      <c r="C240" t="s">
        <v>7</v>
      </c>
      <c r="D240" t="s">
        <v>56</v>
      </c>
      <c r="E240" t="s">
        <v>24</v>
      </c>
    </row>
    <row r="241" spans="1:5">
      <c r="A241" t="s">
        <v>498</v>
      </c>
      <c r="B241" s="3" t="s">
        <v>499</v>
      </c>
      <c r="C241" t="s">
        <v>23</v>
      </c>
      <c r="D241" t="s">
        <v>46</v>
      </c>
      <c r="E241" t="s">
        <v>24</v>
      </c>
    </row>
    <row r="242" spans="1:5">
      <c r="A242" t="s">
        <v>500</v>
      </c>
      <c r="B242" s="2" t="s">
        <v>501</v>
      </c>
      <c r="C242" t="s">
        <v>7</v>
      </c>
      <c r="D242" t="s">
        <v>39</v>
      </c>
      <c r="E242" t="s">
        <v>9</v>
      </c>
    </row>
    <row r="243" spans="1:5">
      <c r="A243" t="s">
        <v>502</v>
      </c>
      <c r="B243" s="3" t="s">
        <v>503</v>
      </c>
      <c r="C243" t="s">
        <v>7</v>
      </c>
      <c r="D243" t="s">
        <v>56</v>
      </c>
      <c r="E243" t="s">
        <v>24</v>
      </c>
    </row>
    <row r="244" spans="1:5">
      <c r="A244" t="s">
        <v>504</v>
      </c>
      <c r="B244" s="2" t="s">
        <v>505</v>
      </c>
      <c r="C244" t="s">
        <v>7</v>
      </c>
      <c r="D244" t="s">
        <v>56</v>
      </c>
      <c r="E244" t="s">
        <v>9</v>
      </c>
    </row>
    <row r="245" spans="1:5">
      <c r="A245" t="s">
        <v>506</v>
      </c>
      <c r="B245" s="3" t="s">
        <v>507</v>
      </c>
      <c r="C245" t="s">
        <v>23</v>
      </c>
      <c r="D245" t="s">
        <v>12</v>
      </c>
      <c r="E245" t="s">
        <v>9</v>
      </c>
    </row>
    <row r="246" spans="1:5">
      <c r="A246" t="s">
        <v>508</v>
      </c>
      <c r="B246" s="2" t="s">
        <v>509</v>
      </c>
      <c r="C246" t="s">
        <v>23</v>
      </c>
      <c r="D246" t="s">
        <v>8</v>
      </c>
      <c r="E246" t="s">
        <v>9</v>
      </c>
    </row>
    <row r="247" spans="1:5">
      <c r="A247" t="s">
        <v>510</v>
      </c>
      <c r="B247" s="3" t="s">
        <v>511</v>
      </c>
      <c r="C247" t="s">
        <v>7</v>
      </c>
      <c r="D247" t="s">
        <v>12</v>
      </c>
      <c r="E247" t="s">
        <v>24</v>
      </c>
    </row>
    <row r="248" spans="1:5">
      <c r="A248" t="s">
        <v>512</v>
      </c>
      <c r="B248" s="2" t="s">
        <v>513</v>
      </c>
      <c r="C248" t="s">
        <v>23</v>
      </c>
      <c r="D248" t="s">
        <v>39</v>
      </c>
      <c r="E248" t="s">
        <v>24</v>
      </c>
    </row>
    <row r="249" spans="1:5">
      <c r="A249" t="s">
        <v>514</v>
      </c>
      <c r="B249" s="3" t="s">
        <v>515</v>
      </c>
      <c r="C249" t="s">
        <v>23</v>
      </c>
      <c r="D249" t="s">
        <v>39</v>
      </c>
      <c r="E249" t="s">
        <v>9</v>
      </c>
    </row>
    <row r="250" spans="1:5">
      <c r="A250" t="s">
        <v>516</v>
      </c>
      <c r="B250" s="2" t="s">
        <v>517</v>
      </c>
      <c r="C250" t="s">
        <v>23</v>
      </c>
      <c r="D250" t="s">
        <v>36</v>
      </c>
      <c r="E250" t="s">
        <v>9</v>
      </c>
    </row>
    <row r="251" spans="1:5">
      <c r="A251" t="s">
        <v>518</v>
      </c>
      <c r="B251" s="3" t="s">
        <v>519</v>
      </c>
      <c r="C251" t="s">
        <v>23</v>
      </c>
      <c r="D251" t="s">
        <v>12</v>
      </c>
      <c r="E251" t="s">
        <v>15</v>
      </c>
    </row>
    <row r="252" spans="1:5">
      <c r="A252" t="s">
        <v>520</v>
      </c>
      <c r="B252" s="2" t="s">
        <v>521</v>
      </c>
      <c r="C252" t="s">
        <v>23</v>
      </c>
      <c r="D252" t="s">
        <v>29</v>
      </c>
      <c r="E252" t="s">
        <v>9</v>
      </c>
    </row>
    <row r="253" spans="1:5">
      <c r="A253" t="s">
        <v>522</v>
      </c>
      <c r="B253" s="3" t="s">
        <v>523</v>
      </c>
      <c r="C253" t="s">
        <v>7</v>
      </c>
      <c r="D253" t="s">
        <v>8</v>
      </c>
      <c r="E253" t="s">
        <v>24</v>
      </c>
    </row>
    <row r="254" spans="1:5">
      <c r="A254" t="s">
        <v>524</v>
      </c>
      <c r="B254" s="2" t="s">
        <v>525</v>
      </c>
      <c r="C254" t="s">
        <v>23</v>
      </c>
      <c r="D254" t="s">
        <v>39</v>
      </c>
      <c r="E254" t="s">
        <v>9</v>
      </c>
    </row>
    <row r="255" spans="1:5">
      <c r="A255" t="s">
        <v>526</v>
      </c>
      <c r="B255" s="3" t="s">
        <v>527</v>
      </c>
      <c r="C255" t="s">
        <v>7</v>
      </c>
      <c r="D255" t="s">
        <v>36</v>
      </c>
      <c r="E255" t="s">
        <v>9</v>
      </c>
    </row>
    <row r="256" spans="1:5">
      <c r="A256" t="s">
        <v>528</v>
      </c>
      <c r="B256" s="2" t="s">
        <v>529</v>
      </c>
      <c r="C256" t="s">
        <v>7</v>
      </c>
      <c r="D256" t="s">
        <v>12</v>
      </c>
      <c r="E256" t="s">
        <v>9</v>
      </c>
    </row>
    <row r="257" spans="1:5">
      <c r="A257" t="s">
        <v>530</v>
      </c>
      <c r="B257" s="3" t="s">
        <v>531</v>
      </c>
      <c r="C257" t="s">
        <v>23</v>
      </c>
      <c r="D257" t="s">
        <v>8</v>
      </c>
      <c r="E257" t="s">
        <v>9</v>
      </c>
    </row>
    <row r="258" spans="1:5">
      <c r="A258" t="s">
        <v>532</v>
      </c>
      <c r="B258" s="2" t="s">
        <v>533</v>
      </c>
      <c r="C258" t="s">
        <v>7</v>
      </c>
      <c r="D258" t="s">
        <v>12</v>
      </c>
      <c r="E258" t="s">
        <v>24</v>
      </c>
    </row>
    <row r="259" spans="1:5">
      <c r="A259" t="s">
        <v>534</v>
      </c>
      <c r="B259" s="3" t="s">
        <v>535</v>
      </c>
      <c r="C259" t="s">
        <v>7</v>
      </c>
      <c r="D259" t="s">
        <v>56</v>
      </c>
      <c r="E259" t="s">
        <v>9</v>
      </c>
    </row>
    <row r="260" spans="1:5">
      <c r="A260" t="s">
        <v>536</v>
      </c>
      <c r="B260" s="2" t="s">
        <v>537</v>
      </c>
      <c r="C260" t="s">
        <v>7</v>
      </c>
      <c r="D260" t="s">
        <v>36</v>
      </c>
      <c r="E260" t="s">
        <v>9</v>
      </c>
    </row>
    <row r="261" spans="1:5">
      <c r="A261" t="s">
        <v>538</v>
      </c>
      <c r="B261" s="3" t="s">
        <v>539</v>
      </c>
      <c r="C261" t="s">
        <v>23</v>
      </c>
      <c r="D261" t="s">
        <v>8</v>
      </c>
      <c r="E261" t="s">
        <v>15</v>
      </c>
    </row>
    <row r="262" spans="1:5">
      <c r="A262" t="s">
        <v>540</v>
      </c>
      <c r="B262" s="2" t="s">
        <v>541</v>
      </c>
      <c r="C262" t="s">
        <v>23</v>
      </c>
      <c r="D262" t="s">
        <v>137</v>
      </c>
      <c r="E262" t="s">
        <v>9</v>
      </c>
    </row>
    <row r="263" spans="1:5">
      <c r="A263" t="s">
        <v>542</v>
      </c>
      <c r="B263" s="3" t="s">
        <v>543</v>
      </c>
      <c r="C263" t="s">
        <v>7</v>
      </c>
      <c r="D263" t="s">
        <v>46</v>
      </c>
      <c r="E263" t="s">
        <v>9</v>
      </c>
    </row>
    <row r="264" spans="1:5">
      <c r="A264" t="s">
        <v>544</v>
      </c>
      <c r="B264" s="2" t="s">
        <v>545</v>
      </c>
      <c r="C264" t="s">
        <v>23</v>
      </c>
      <c r="D264" t="s">
        <v>46</v>
      </c>
      <c r="E264" t="s">
        <v>15</v>
      </c>
    </row>
    <row r="265" spans="1:5">
      <c r="A265" t="s">
        <v>546</v>
      </c>
      <c r="B265" s="3" t="s">
        <v>547</v>
      </c>
      <c r="C265" t="s">
        <v>23</v>
      </c>
      <c r="D265" t="s">
        <v>8</v>
      </c>
      <c r="E265" t="s">
        <v>24</v>
      </c>
    </row>
    <row r="266" spans="1:5">
      <c r="A266" t="s">
        <v>548</v>
      </c>
      <c r="B266" s="2" t="s">
        <v>549</v>
      </c>
      <c r="C266" t="s">
        <v>23</v>
      </c>
      <c r="D266" t="s">
        <v>12</v>
      </c>
      <c r="E266" t="s">
        <v>9</v>
      </c>
    </row>
    <row r="267" spans="1:5">
      <c r="A267" t="s">
        <v>550</v>
      </c>
      <c r="B267" s="3" t="s">
        <v>551</v>
      </c>
      <c r="C267" t="s">
        <v>23</v>
      </c>
      <c r="D267" t="s">
        <v>36</v>
      </c>
      <c r="E267" t="s">
        <v>15</v>
      </c>
    </row>
    <row r="268" spans="1:5">
      <c r="A268" t="s">
        <v>552</v>
      </c>
      <c r="B268" s="2" t="s">
        <v>553</v>
      </c>
      <c r="C268" t="s">
        <v>7</v>
      </c>
      <c r="D268" t="s">
        <v>46</v>
      </c>
      <c r="E268" t="s">
        <v>24</v>
      </c>
    </row>
    <row r="269" spans="1:5">
      <c r="A269" t="s">
        <v>554</v>
      </c>
      <c r="B269" s="3" t="s">
        <v>555</v>
      </c>
      <c r="C269" t="s">
        <v>7</v>
      </c>
      <c r="D269" t="s">
        <v>36</v>
      </c>
      <c r="E269" t="s">
        <v>9</v>
      </c>
    </row>
    <row r="270" spans="1:5">
      <c r="A270" t="s">
        <v>556</v>
      </c>
      <c r="B270" s="2" t="s">
        <v>557</v>
      </c>
      <c r="C270" t="s">
        <v>23</v>
      </c>
      <c r="D270" t="s">
        <v>46</v>
      </c>
      <c r="E270" t="s">
        <v>9</v>
      </c>
    </row>
    <row r="271" spans="1:5">
      <c r="A271" t="s">
        <v>558</v>
      </c>
      <c r="B271" s="3" t="s">
        <v>559</v>
      </c>
      <c r="C271" t="s">
        <v>23</v>
      </c>
      <c r="D271" t="s">
        <v>56</v>
      </c>
      <c r="E271" t="s">
        <v>24</v>
      </c>
    </row>
    <row r="272" spans="1:5">
      <c r="A272" t="s">
        <v>560</v>
      </c>
      <c r="B272" s="2" t="s">
        <v>561</v>
      </c>
      <c r="C272" t="s">
        <v>7</v>
      </c>
      <c r="D272" t="s">
        <v>12</v>
      </c>
      <c r="E272" t="s">
        <v>24</v>
      </c>
    </row>
    <row r="273" spans="1:5">
      <c r="A273" t="s">
        <v>562</v>
      </c>
      <c r="B273" s="3" t="s">
        <v>563</v>
      </c>
      <c r="C273" t="s">
        <v>7</v>
      </c>
      <c r="D273" t="s">
        <v>56</v>
      </c>
      <c r="E273" t="s">
        <v>9</v>
      </c>
    </row>
    <row r="274" spans="1:5">
      <c r="A274" t="s">
        <v>564</v>
      </c>
      <c r="B274" s="2" t="s">
        <v>565</v>
      </c>
      <c r="C274" t="s">
        <v>23</v>
      </c>
      <c r="D274" t="s">
        <v>46</v>
      </c>
      <c r="E274" t="s">
        <v>15</v>
      </c>
    </row>
    <row r="275" spans="1:5">
      <c r="A275" t="s">
        <v>566</v>
      </c>
      <c r="B275" s="3" t="s">
        <v>567</v>
      </c>
      <c r="C275" t="s">
        <v>7</v>
      </c>
      <c r="D275" t="s">
        <v>137</v>
      </c>
      <c r="E275" t="s">
        <v>24</v>
      </c>
    </row>
    <row r="276" spans="1:5">
      <c r="A276" t="s">
        <v>568</v>
      </c>
      <c r="B276" s="2" t="s">
        <v>569</v>
      </c>
      <c r="C276" t="s">
        <v>23</v>
      </c>
      <c r="D276" t="s">
        <v>137</v>
      </c>
      <c r="E276" t="s">
        <v>9</v>
      </c>
    </row>
    <row r="277" spans="1:5">
      <c r="A277" t="s">
        <v>570</v>
      </c>
      <c r="B277" s="3" t="s">
        <v>571</v>
      </c>
      <c r="C277" t="s">
        <v>23</v>
      </c>
      <c r="D277" t="s">
        <v>56</v>
      </c>
      <c r="E277" t="s">
        <v>9</v>
      </c>
    </row>
    <row r="278" spans="1:5">
      <c r="A278" t="s">
        <v>572</v>
      </c>
      <c r="B278" s="2" t="s">
        <v>573</v>
      </c>
      <c r="C278" t="s">
        <v>7</v>
      </c>
      <c r="D278" t="s">
        <v>137</v>
      </c>
      <c r="E278" t="s">
        <v>9</v>
      </c>
    </row>
    <row r="279" spans="1:5">
      <c r="A279" t="s">
        <v>574</v>
      </c>
      <c r="B279" s="3" t="s">
        <v>575</v>
      </c>
      <c r="C279" t="s">
        <v>7</v>
      </c>
      <c r="D279" t="s">
        <v>46</v>
      </c>
      <c r="E279" t="s">
        <v>24</v>
      </c>
    </row>
    <row r="280" spans="1:5">
      <c r="A280" t="s">
        <v>576</v>
      </c>
      <c r="B280" s="2" t="s">
        <v>577</v>
      </c>
      <c r="C280" t="s">
        <v>23</v>
      </c>
      <c r="D280" t="s">
        <v>8</v>
      </c>
      <c r="E280" t="s">
        <v>9</v>
      </c>
    </row>
    <row r="281" spans="1:5">
      <c r="A281" t="s">
        <v>578</v>
      </c>
      <c r="B281" s="3" t="s">
        <v>579</v>
      </c>
      <c r="C281" t="s">
        <v>23</v>
      </c>
      <c r="D281" t="s">
        <v>56</v>
      </c>
      <c r="E281" t="s">
        <v>24</v>
      </c>
    </row>
    <row r="282" spans="1:5">
      <c r="A282" t="s">
        <v>580</v>
      </c>
      <c r="B282" s="2" t="s">
        <v>581</v>
      </c>
      <c r="C282" t="s">
        <v>7</v>
      </c>
      <c r="D282" t="s">
        <v>20</v>
      </c>
      <c r="E282" t="s">
        <v>24</v>
      </c>
    </row>
    <row r="283" spans="1:5">
      <c r="A283" t="s">
        <v>582</v>
      </c>
      <c r="B283" s="3" t="s">
        <v>583</v>
      </c>
      <c r="C283" t="s">
        <v>23</v>
      </c>
      <c r="D283" t="s">
        <v>12</v>
      </c>
      <c r="E283" t="s">
        <v>15</v>
      </c>
    </row>
    <row r="284" spans="1:5">
      <c r="A284" t="s">
        <v>584</v>
      </c>
      <c r="B284" s="2" t="s">
        <v>585</v>
      </c>
      <c r="C284" t="s">
        <v>7</v>
      </c>
      <c r="D284" t="s">
        <v>137</v>
      </c>
      <c r="E284" t="s">
        <v>9</v>
      </c>
    </row>
    <row r="285" spans="1:5">
      <c r="A285" t="s">
        <v>586</v>
      </c>
      <c r="B285" s="3" t="s">
        <v>587</v>
      </c>
      <c r="C285" t="s">
        <v>23</v>
      </c>
      <c r="D285" t="s">
        <v>137</v>
      </c>
      <c r="E285" t="s">
        <v>24</v>
      </c>
    </row>
    <row r="286" spans="1:5">
      <c r="A286" t="s">
        <v>588</v>
      </c>
      <c r="B286" s="2" t="s">
        <v>589</v>
      </c>
      <c r="C286" t="s">
        <v>7</v>
      </c>
      <c r="D286" t="s">
        <v>39</v>
      </c>
      <c r="E286" t="s">
        <v>9</v>
      </c>
    </row>
    <row r="287" spans="1:5">
      <c r="A287" t="s">
        <v>590</v>
      </c>
      <c r="B287" s="3" t="s">
        <v>591</v>
      </c>
      <c r="C287" t="s">
        <v>7</v>
      </c>
      <c r="D287" t="s">
        <v>29</v>
      </c>
      <c r="E287" t="s">
        <v>24</v>
      </c>
    </row>
    <row r="288" spans="1:5">
      <c r="A288" t="s">
        <v>592</v>
      </c>
      <c r="B288" s="2" t="s">
        <v>593</v>
      </c>
      <c r="C288" t="s">
        <v>7</v>
      </c>
      <c r="D288" t="s">
        <v>56</v>
      </c>
      <c r="E288" t="s">
        <v>9</v>
      </c>
    </row>
    <row r="289" spans="1:5">
      <c r="A289" t="s">
        <v>594</v>
      </c>
      <c r="B289" s="3" t="s">
        <v>595</v>
      </c>
      <c r="C289" t="s">
        <v>23</v>
      </c>
      <c r="D289" t="s">
        <v>51</v>
      </c>
      <c r="E289" t="s">
        <v>9</v>
      </c>
    </row>
    <row r="290" spans="1:5">
      <c r="A290" t="s">
        <v>596</v>
      </c>
      <c r="B290" s="2" t="s">
        <v>597</v>
      </c>
      <c r="C290" t="s">
        <v>23</v>
      </c>
      <c r="D290" t="s">
        <v>137</v>
      </c>
      <c r="E290" t="s">
        <v>24</v>
      </c>
    </row>
    <row r="291" spans="1:5">
      <c r="A291" t="s">
        <v>598</v>
      </c>
      <c r="B291" s="3" t="s">
        <v>599</v>
      </c>
      <c r="C291" t="s">
        <v>7</v>
      </c>
      <c r="D291" t="s">
        <v>12</v>
      </c>
      <c r="E291" t="s">
        <v>9</v>
      </c>
    </row>
    <row r="292" spans="1:5">
      <c r="A292" t="s">
        <v>600</v>
      </c>
      <c r="B292" s="2" t="s">
        <v>601</v>
      </c>
      <c r="C292" t="s">
        <v>23</v>
      </c>
      <c r="D292" t="s">
        <v>20</v>
      </c>
      <c r="E292" t="s">
        <v>9</v>
      </c>
    </row>
    <row r="293" spans="1:5">
      <c r="A293" t="s">
        <v>602</v>
      </c>
      <c r="B293" s="3" t="s">
        <v>603</v>
      </c>
      <c r="C293" t="s">
        <v>7</v>
      </c>
      <c r="D293" t="s">
        <v>137</v>
      </c>
      <c r="E293" t="s">
        <v>24</v>
      </c>
    </row>
    <row r="294" spans="1:5">
      <c r="A294" t="s">
        <v>604</v>
      </c>
      <c r="B294" s="2" t="s">
        <v>605</v>
      </c>
      <c r="C294" t="s">
        <v>7</v>
      </c>
      <c r="D294" t="s">
        <v>20</v>
      </c>
      <c r="E294" t="s">
        <v>24</v>
      </c>
    </row>
    <row r="295" spans="1:5">
      <c r="A295" t="s">
        <v>606</v>
      </c>
      <c r="B295" s="3" t="s">
        <v>607</v>
      </c>
      <c r="C295" t="s">
        <v>23</v>
      </c>
      <c r="D295" t="s">
        <v>46</v>
      </c>
      <c r="E295" t="s">
        <v>24</v>
      </c>
    </row>
    <row r="296" spans="1:5">
      <c r="A296" t="s">
        <v>608</v>
      </c>
      <c r="B296" s="2" t="s">
        <v>609</v>
      </c>
      <c r="C296" t="s">
        <v>23</v>
      </c>
      <c r="D296" t="s">
        <v>46</v>
      </c>
      <c r="E296" t="s">
        <v>24</v>
      </c>
    </row>
    <row r="297" spans="1:5">
      <c r="A297" t="s">
        <v>610</v>
      </c>
      <c r="B297" s="3" t="s">
        <v>611</v>
      </c>
      <c r="C297" t="s">
        <v>7</v>
      </c>
      <c r="D297" t="s">
        <v>29</v>
      </c>
      <c r="E297" t="s">
        <v>9</v>
      </c>
    </row>
    <row r="298" spans="1:5">
      <c r="A298" t="s">
        <v>612</v>
      </c>
      <c r="B298" s="2" t="s">
        <v>613</v>
      </c>
      <c r="C298" t="s">
        <v>23</v>
      </c>
      <c r="D298" t="s">
        <v>8</v>
      </c>
      <c r="E298" t="s">
        <v>9</v>
      </c>
    </row>
    <row r="299" spans="1:5">
      <c r="A299" t="s">
        <v>614</v>
      </c>
      <c r="B299" s="3" t="s">
        <v>615</v>
      </c>
      <c r="C299" t="s">
        <v>23</v>
      </c>
      <c r="D299" t="s">
        <v>51</v>
      </c>
      <c r="E299" t="s">
        <v>9</v>
      </c>
    </row>
    <row r="300" spans="1:5">
      <c r="A300" t="s">
        <v>616</v>
      </c>
      <c r="B300" s="2" t="s">
        <v>617</v>
      </c>
      <c r="C300" t="s">
        <v>7</v>
      </c>
      <c r="D300" t="s">
        <v>39</v>
      </c>
      <c r="E300" t="s">
        <v>9</v>
      </c>
    </row>
    <row r="301" spans="1:5">
      <c r="A301" t="s">
        <v>618</v>
      </c>
      <c r="B301" s="3" t="s">
        <v>619</v>
      </c>
      <c r="C301" t="s">
        <v>7</v>
      </c>
      <c r="D301" t="s">
        <v>29</v>
      </c>
      <c r="E301" t="s">
        <v>15</v>
      </c>
    </row>
    <row r="302" spans="1:5">
      <c r="A302" t="s">
        <v>620</v>
      </c>
      <c r="B302" s="2" t="s">
        <v>621</v>
      </c>
      <c r="C302" t="s">
        <v>23</v>
      </c>
      <c r="D302" t="s">
        <v>36</v>
      </c>
      <c r="E302" t="s">
        <v>24</v>
      </c>
    </row>
    <row r="303" spans="1:5">
      <c r="A303" t="s">
        <v>622</v>
      </c>
      <c r="B303" s="3" t="s">
        <v>623</v>
      </c>
      <c r="C303" t="s">
        <v>7</v>
      </c>
      <c r="D303" t="s">
        <v>39</v>
      </c>
      <c r="E303" t="s">
        <v>9</v>
      </c>
    </row>
    <row r="304" spans="1:5">
      <c r="A304" t="s">
        <v>624</v>
      </c>
      <c r="B304" s="2" t="s">
        <v>625</v>
      </c>
      <c r="C304" t="s">
        <v>7</v>
      </c>
      <c r="D304" t="s">
        <v>56</v>
      </c>
      <c r="E304" t="s">
        <v>9</v>
      </c>
    </row>
    <row r="305" spans="1:5">
      <c r="A305" t="s">
        <v>626</v>
      </c>
      <c r="B305" s="3" t="s">
        <v>627</v>
      </c>
      <c r="C305" t="s">
        <v>23</v>
      </c>
      <c r="D305" t="s">
        <v>12</v>
      </c>
      <c r="E305" t="s">
        <v>15</v>
      </c>
    </row>
    <row r="306" spans="1:5">
      <c r="A306" t="s">
        <v>628</v>
      </c>
      <c r="B306" s="2" t="s">
        <v>629</v>
      </c>
      <c r="C306" t="s">
        <v>7</v>
      </c>
      <c r="D306" t="s">
        <v>36</v>
      </c>
      <c r="E306" t="s">
        <v>9</v>
      </c>
    </row>
    <row r="307" spans="1:5">
      <c r="A307" t="s">
        <v>630</v>
      </c>
      <c r="B307" s="3" t="s">
        <v>631</v>
      </c>
      <c r="C307" t="s">
        <v>7</v>
      </c>
      <c r="D307" t="s">
        <v>36</v>
      </c>
      <c r="E307" t="s">
        <v>24</v>
      </c>
    </row>
    <row r="308" spans="1:5">
      <c r="A308" t="s">
        <v>632</v>
      </c>
      <c r="B308" s="2" t="s">
        <v>633</v>
      </c>
      <c r="C308" t="s">
        <v>23</v>
      </c>
      <c r="D308" t="s">
        <v>29</v>
      </c>
      <c r="E308" t="s">
        <v>9</v>
      </c>
    </row>
    <row r="309" spans="1:5">
      <c r="A309" t="s">
        <v>634</v>
      </c>
      <c r="B309" s="3" t="s">
        <v>635</v>
      </c>
      <c r="C309" t="s">
        <v>23</v>
      </c>
      <c r="D309" t="s">
        <v>8</v>
      </c>
      <c r="E309" t="s">
        <v>24</v>
      </c>
    </row>
    <row r="310" spans="1:5">
      <c r="A310" t="s">
        <v>636</v>
      </c>
      <c r="B310" s="2" t="s">
        <v>637</v>
      </c>
      <c r="C310" t="s">
        <v>7</v>
      </c>
      <c r="D310" t="s">
        <v>29</v>
      </c>
      <c r="E310" t="s">
        <v>9</v>
      </c>
    </row>
    <row r="311" spans="1:5">
      <c r="A311" t="s">
        <v>638</v>
      </c>
      <c r="B311" s="3" t="s">
        <v>639</v>
      </c>
      <c r="C311" t="s">
        <v>7</v>
      </c>
      <c r="D311" t="s">
        <v>56</v>
      </c>
      <c r="E311" t="s">
        <v>15</v>
      </c>
    </row>
    <row r="312" spans="1:5">
      <c r="A312" t="s">
        <v>640</v>
      </c>
      <c r="B312" s="2" t="s">
        <v>641</v>
      </c>
      <c r="C312" t="s">
        <v>23</v>
      </c>
      <c r="D312" t="s">
        <v>137</v>
      </c>
      <c r="E312" t="s">
        <v>15</v>
      </c>
    </row>
    <row r="313" spans="1:5">
      <c r="A313" t="s">
        <v>642</v>
      </c>
      <c r="B313" s="3" t="s">
        <v>643</v>
      </c>
      <c r="C313" t="s">
        <v>23</v>
      </c>
      <c r="D313" t="s">
        <v>137</v>
      </c>
      <c r="E313" t="s">
        <v>24</v>
      </c>
    </row>
    <row r="314" spans="1:5">
      <c r="A314" t="s">
        <v>644</v>
      </c>
      <c r="B314" s="2" t="s">
        <v>645</v>
      </c>
      <c r="C314" t="s">
        <v>23</v>
      </c>
      <c r="D314" t="s">
        <v>8</v>
      </c>
      <c r="E314" t="s">
        <v>24</v>
      </c>
    </row>
    <row r="315" spans="1:5">
      <c r="A315" t="s">
        <v>646</v>
      </c>
      <c r="B315" s="3" t="s">
        <v>647</v>
      </c>
      <c r="C315" t="s">
        <v>23</v>
      </c>
      <c r="D315" t="s">
        <v>56</v>
      </c>
      <c r="E315" t="s">
        <v>15</v>
      </c>
    </row>
    <row r="316" spans="1:5">
      <c r="A316" t="s">
        <v>648</v>
      </c>
      <c r="B316" s="2" t="s">
        <v>649</v>
      </c>
      <c r="C316" t="s">
        <v>7</v>
      </c>
      <c r="D316" t="s">
        <v>8</v>
      </c>
      <c r="E316" t="s">
        <v>24</v>
      </c>
    </row>
    <row r="317" spans="1:5">
      <c r="A317" t="s">
        <v>650</v>
      </c>
      <c r="B317" s="3" t="s">
        <v>651</v>
      </c>
      <c r="C317" t="s">
        <v>23</v>
      </c>
      <c r="D317" t="s">
        <v>20</v>
      </c>
      <c r="E317" t="s">
        <v>9</v>
      </c>
    </row>
    <row r="318" spans="1:5">
      <c r="A318" t="s">
        <v>652</v>
      </c>
      <c r="B318" s="2" t="s">
        <v>653</v>
      </c>
      <c r="C318" t="s">
        <v>23</v>
      </c>
      <c r="D318" t="s">
        <v>137</v>
      </c>
      <c r="E318" t="s">
        <v>24</v>
      </c>
    </row>
    <row r="319" spans="1:5">
      <c r="A319" t="s">
        <v>654</v>
      </c>
      <c r="B319" s="3" t="s">
        <v>655</v>
      </c>
      <c r="C319" t="s">
        <v>7</v>
      </c>
      <c r="D319" t="s">
        <v>36</v>
      </c>
      <c r="E319" t="s">
        <v>24</v>
      </c>
    </row>
    <row r="320" spans="1:5">
      <c r="A320" t="s">
        <v>656</v>
      </c>
      <c r="B320" s="2" t="s">
        <v>657</v>
      </c>
      <c r="C320" t="s">
        <v>23</v>
      </c>
      <c r="D320" t="s">
        <v>51</v>
      </c>
      <c r="E320" t="s">
        <v>9</v>
      </c>
    </row>
    <row r="321" spans="1:5">
      <c r="A321" t="s">
        <v>658</v>
      </c>
      <c r="B321" s="3" t="s">
        <v>659</v>
      </c>
      <c r="C321" t="s">
        <v>7</v>
      </c>
      <c r="D321" t="s">
        <v>12</v>
      </c>
      <c r="E321" t="s">
        <v>24</v>
      </c>
    </row>
    <row r="322" spans="1:5">
      <c r="A322" t="s">
        <v>660</v>
      </c>
      <c r="B322" s="2" t="s">
        <v>661</v>
      </c>
      <c r="C322" t="s">
        <v>23</v>
      </c>
      <c r="D322" t="s">
        <v>56</v>
      </c>
      <c r="E322" t="s">
        <v>15</v>
      </c>
    </row>
    <row r="323" spans="1:5">
      <c r="A323" t="s">
        <v>662</v>
      </c>
      <c r="B323" s="3" t="s">
        <v>663</v>
      </c>
      <c r="C323" t="s">
        <v>23</v>
      </c>
      <c r="D323" t="s">
        <v>39</v>
      </c>
      <c r="E323" t="s">
        <v>15</v>
      </c>
    </row>
    <row r="324" spans="1:5">
      <c r="A324" t="s">
        <v>664</v>
      </c>
      <c r="B324" s="2" t="s">
        <v>665</v>
      </c>
      <c r="C324" t="s">
        <v>23</v>
      </c>
      <c r="D324" t="s">
        <v>8</v>
      </c>
      <c r="E324" t="s">
        <v>9</v>
      </c>
    </row>
    <row r="325" spans="1:5">
      <c r="A325" t="s">
        <v>666</v>
      </c>
      <c r="B325" s="3" t="s">
        <v>667</v>
      </c>
      <c r="C325" t="s">
        <v>7</v>
      </c>
      <c r="D325" t="s">
        <v>12</v>
      </c>
      <c r="E325" t="s">
        <v>9</v>
      </c>
    </row>
    <row r="326" spans="1:5">
      <c r="A326" t="s">
        <v>668</v>
      </c>
      <c r="B326" s="2" t="s">
        <v>669</v>
      </c>
      <c r="C326" t="s">
        <v>7</v>
      </c>
      <c r="D326" t="s">
        <v>39</v>
      </c>
      <c r="E326" t="s">
        <v>15</v>
      </c>
    </row>
    <row r="327" spans="1:5">
      <c r="A327" t="s">
        <v>670</v>
      </c>
      <c r="B327" s="3" t="s">
        <v>671</v>
      </c>
      <c r="C327" t="s">
        <v>23</v>
      </c>
      <c r="D327" t="s">
        <v>12</v>
      </c>
      <c r="E327" t="s">
        <v>24</v>
      </c>
    </row>
    <row r="328" spans="1:5">
      <c r="A328" t="s">
        <v>672</v>
      </c>
      <c r="B328" s="2" t="s">
        <v>673</v>
      </c>
      <c r="C328" t="s">
        <v>7</v>
      </c>
      <c r="D328" t="s">
        <v>51</v>
      </c>
      <c r="E328" t="s">
        <v>9</v>
      </c>
    </row>
    <row r="329" spans="1:5">
      <c r="A329" t="s">
        <v>674</v>
      </c>
      <c r="B329" s="3" t="s">
        <v>675</v>
      </c>
      <c r="C329" t="s">
        <v>7</v>
      </c>
      <c r="D329" t="s">
        <v>39</v>
      </c>
      <c r="E329" t="s">
        <v>15</v>
      </c>
    </row>
    <row r="330" spans="1:5">
      <c r="A330" t="s">
        <v>676</v>
      </c>
      <c r="B330" s="2" t="s">
        <v>677</v>
      </c>
      <c r="C330" t="s">
        <v>7</v>
      </c>
      <c r="D330" t="s">
        <v>29</v>
      </c>
      <c r="E330" t="s">
        <v>15</v>
      </c>
    </row>
    <row r="331" spans="1:5">
      <c r="A331" t="s">
        <v>678</v>
      </c>
      <c r="B331" s="3" t="s">
        <v>679</v>
      </c>
      <c r="C331" t="s">
        <v>7</v>
      </c>
      <c r="D331" t="s">
        <v>46</v>
      </c>
      <c r="E331" t="s">
        <v>9</v>
      </c>
    </row>
    <row r="332" spans="1:5">
      <c r="A332" t="s">
        <v>680</v>
      </c>
      <c r="B332" s="2" t="s">
        <v>681</v>
      </c>
      <c r="C332" t="s">
        <v>7</v>
      </c>
      <c r="D332" t="s">
        <v>29</v>
      </c>
      <c r="E332" t="s">
        <v>24</v>
      </c>
    </row>
    <row r="333" spans="1:5">
      <c r="A333" t="s">
        <v>682</v>
      </c>
      <c r="B333" s="3" t="s">
        <v>683</v>
      </c>
      <c r="C333" t="s">
        <v>7</v>
      </c>
      <c r="D333" t="s">
        <v>137</v>
      </c>
      <c r="E333" t="s">
        <v>9</v>
      </c>
    </row>
    <row r="334" spans="1:5">
      <c r="A334" t="s">
        <v>684</v>
      </c>
      <c r="B334" s="2" t="s">
        <v>685</v>
      </c>
      <c r="C334" t="s">
        <v>23</v>
      </c>
      <c r="D334" t="s">
        <v>46</v>
      </c>
      <c r="E334" t="s">
        <v>9</v>
      </c>
    </row>
    <row r="335" spans="1:5">
      <c r="A335" t="s">
        <v>686</v>
      </c>
      <c r="B335" s="3" t="s">
        <v>687</v>
      </c>
      <c r="C335" t="s">
        <v>23</v>
      </c>
      <c r="D335" t="s">
        <v>29</v>
      </c>
      <c r="E335" t="s">
        <v>9</v>
      </c>
    </row>
    <row r="336" spans="1:5">
      <c r="A336" t="s">
        <v>688</v>
      </c>
      <c r="B336" s="2" t="s">
        <v>689</v>
      </c>
      <c r="C336" t="s">
        <v>7</v>
      </c>
      <c r="D336" t="s">
        <v>46</v>
      </c>
      <c r="E336" t="s">
        <v>24</v>
      </c>
    </row>
    <row r="337" spans="1:5">
      <c r="A337" t="s">
        <v>690</v>
      </c>
      <c r="B337" s="3" t="s">
        <v>691</v>
      </c>
      <c r="C337" t="s">
        <v>23</v>
      </c>
      <c r="D337" t="s">
        <v>46</v>
      </c>
      <c r="E337" t="s">
        <v>9</v>
      </c>
    </row>
    <row r="338" spans="1:5">
      <c r="A338" t="s">
        <v>692</v>
      </c>
      <c r="B338" s="2" t="s">
        <v>693</v>
      </c>
      <c r="C338" t="s">
        <v>23</v>
      </c>
      <c r="D338" t="s">
        <v>36</v>
      </c>
      <c r="E338" t="s">
        <v>9</v>
      </c>
    </row>
    <row r="339" spans="1:5">
      <c r="A339" t="s">
        <v>694</v>
      </c>
      <c r="B339" s="3" t="s">
        <v>695</v>
      </c>
      <c r="C339" t="s">
        <v>23</v>
      </c>
      <c r="D339" t="s">
        <v>8</v>
      </c>
      <c r="E339" t="s">
        <v>9</v>
      </c>
    </row>
    <row r="340" spans="1:5">
      <c r="A340" t="s">
        <v>696</v>
      </c>
      <c r="B340" s="2" t="s">
        <v>697</v>
      </c>
      <c r="C340" t="s">
        <v>23</v>
      </c>
      <c r="D340" t="s">
        <v>8</v>
      </c>
      <c r="E340" t="s">
        <v>9</v>
      </c>
    </row>
    <row r="341" spans="1:5">
      <c r="A341" t="s">
        <v>698</v>
      </c>
      <c r="B341" s="3" t="s">
        <v>699</v>
      </c>
      <c r="C341" t="s">
        <v>7</v>
      </c>
      <c r="D341" t="s">
        <v>36</v>
      </c>
      <c r="E341" t="s">
        <v>15</v>
      </c>
    </row>
    <row r="342" spans="1:5">
      <c r="A342" t="s">
        <v>700</v>
      </c>
      <c r="B342" s="2" t="s">
        <v>701</v>
      </c>
      <c r="C342" t="s">
        <v>23</v>
      </c>
      <c r="D342" t="s">
        <v>12</v>
      </c>
      <c r="E342" t="s">
        <v>9</v>
      </c>
    </row>
    <row r="343" spans="1:5">
      <c r="A343" t="s">
        <v>702</v>
      </c>
      <c r="B343" s="3" t="s">
        <v>703</v>
      </c>
      <c r="C343" t="s">
        <v>23</v>
      </c>
      <c r="D343" t="s">
        <v>20</v>
      </c>
      <c r="E343" t="s">
        <v>9</v>
      </c>
    </row>
    <row r="344" spans="1:5">
      <c r="A344" t="s">
        <v>704</v>
      </c>
      <c r="B344" s="2" t="s">
        <v>705</v>
      </c>
      <c r="C344" t="s">
        <v>7</v>
      </c>
      <c r="D344" t="s">
        <v>12</v>
      </c>
      <c r="E344" t="s">
        <v>24</v>
      </c>
    </row>
    <row r="345" spans="1:5">
      <c r="A345" t="s">
        <v>706</v>
      </c>
      <c r="B345" s="3" t="s">
        <v>707</v>
      </c>
      <c r="C345" t="s">
        <v>7</v>
      </c>
      <c r="D345" t="s">
        <v>39</v>
      </c>
      <c r="E345" t="s">
        <v>9</v>
      </c>
    </row>
    <row r="346" spans="1:5">
      <c r="A346" t="s">
        <v>708</v>
      </c>
      <c r="B346" s="2" t="s">
        <v>709</v>
      </c>
      <c r="C346" t="s">
        <v>23</v>
      </c>
      <c r="D346" t="s">
        <v>39</v>
      </c>
      <c r="E346" t="s">
        <v>9</v>
      </c>
    </row>
    <row r="347" spans="1:5">
      <c r="A347" t="s">
        <v>710</v>
      </c>
      <c r="B347" s="3" t="s">
        <v>711</v>
      </c>
      <c r="C347" t="s">
        <v>23</v>
      </c>
      <c r="D347" t="s">
        <v>46</v>
      </c>
      <c r="E347" t="s">
        <v>9</v>
      </c>
    </row>
    <row r="348" spans="1:5">
      <c r="A348" t="s">
        <v>712</v>
      </c>
      <c r="B348" s="2" t="s">
        <v>713</v>
      </c>
      <c r="C348" t="s">
        <v>23</v>
      </c>
      <c r="D348" t="s">
        <v>29</v>
      </c>
      <c r="E348" t="s">
        <v>9</v>
      </c>
    </row>
    <row r="349" spans="1:5">
      <c r="A349" t="s">
        <v>714</v>
      </c>
      <c r="B349" s="3" t="s">
        <v>715</v>
      </c>
      <c r="C349" t="s">
        <v>23</v>
      </c>
      <c r="D349" t="s">
        <v>29</v>
      </c>
      <c r="E349" t="s">
        <v>9</v>
      </c>
    </row>
    <row r="350" spans="1:5">
      <c r="A350" t="s">
        <v>716</v>
      </c>
      <c r="B350" s="2" t="s">
        <v>717</v>
      </c>
      <c r="C350" t="s">
        <v>23</v>
      </c>
      <c r="D350" t="s">
        <v>8</v>
      </c>
      <c r="E350" t="s">
        <v>9</v>
      </c>
    </row>
    <row r="351" spans="1:5">
      <c r="A351" t="s">
        <v>718</v>
      </c>
      <c r="B351" s="3" t="s">
        <v>719</v>
      </c>
      <c r="C351" t="s">
        <v>23</v>
      </c>
      <c r="D351" t="s">
        <v>56</v>
      </c>
      <c r="E351" t="s">
        <v>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E638-4FF6-414D-81A5-DF107CDA9AA4}">
  <dimension ref="A1:E61"/>
  <sheetViews>
    <sheetView workbookViewId="0">
      <selection activeCell="B16" sqref="B16"/>
    </sheetView>
  </sheetViews>
  <sheetFormatPr defaultRowHeight="14.4"/>
  <cols>
    <col min="1" max="1" width="14.6640625" bestFit="1" customWidth="1"/>
    <col min="2" max="2" width="39.88671875" bestFit="1" customWidth="1"/>
    <col min="3" max="3" width="12.77734375" bestFit="1" customWidth="1"/>
    <col min="4" max="4" width="10.44140625" bestFit="1" customWidth="1"/>
    <col min="5" max="5" width="13.88671875" bestFit="1" customWidth="1"/>
  </cols>
  <sheetData>
    <row r="1" spans="1:5">
      <c r="A1" s="1" t="s">
        <v>720</v>
      </c>
      <c r="B1" s="1" t="s">
        <v>721</v>
      </c>
      <c r="C1" s="1" t="s">
        <v>722</v>
      </c>
      <c r="D1" s="1" t="s">
        <v>723</v>
      </c>
      <c r="E1" s="1" t="s">
        <v>724</v>
      </c>
    </row>
    <row r="2" spans="1:5" ht="15">
      <c r="A2" t="s">
        <v>725</v>
      </c>
      <c r="B2" s="4" t="s">
        <v>726</v>
      </c>
      <c r="C2" t="s">
        <v>727</v>
      </c>
      <c r="D2" t="s">
        <v>728</v>
      </c>
      <c r="E2">
        <v>300000</v>
      </c>
    </row>
    <row r="3" spans="1:5" ht="15">
      <c r="A3" t="s">
        <v>729</v>
      </c>
      <c r="B3" s="5" t="s">
        <v>730</v>
      </c>
      <c r="C3" t="s">
        <v>731</v>
      </c>
      <c r="D3" t="s">
        <v>732</v>
      </c>
      <c r="E3">
        <v>100000</v>
      </c>
    </row>
    <row r="4" spans="1:5" ht="15">
      <c r="A4" t="s">
        <v>733</v>
      </c>
      <c r="B4" s="4" t="s">
        <v>734</v>
      </c>
      <c r="C4" t="s">
        <v>735</v>
      </c>
      <c r="D4" t="s">
        <v>736</v>
      </c>
      <c r="E4">
        <v>150000</v>
      </c>
    </row>
    <row r="5" spans="1:5" ht="15">
      <c r="A5" t="s">
        <v>737</v>
      </c>
      <c r="B5" s="5" t="s">
        <v>738</v>
      </c>
      <c r="C5" t="s">
        <v>739</v>
      </c>
      <c r="D5" t="s">
        <v>740</v>
      </c>
      <c r="E5">
        <v>300000</v>
      </c>
    </row>
    <row r="6" spans="1:5" ht="15">
      <c r="A6" t="s">
        <v>741</v>
      </c>
      <c r="B6" s="4" t="s">
        <v>742</v>
      </c>
      <c r="C6" t="s">
        <v>743</v>
      </c>
      <c r="D6" t="s">
        <v>744</v>
      </c>
      <c r="E6">
        <v>75000</v>
      </c>
    </row>
    <row r="7" spans="1:5" ht="15">
      <c r="A7" t="s">
        <v>745</v>
      </c>
      <c r="B7" s="5" t="s">
        <v>746</v>
      </c>
      <c r="C7" t="s">
        <v>747</v>
      </c>
      <c r="D7" t="s">
        <v>748</v>
      </c>
      <c r="E7">
        <v>500000</v>
      </c>
    </row>
    <row r="8" spans="1:5" ht="15">
      <c r="A8" t="s">
        <v>749</v>
      </c>
      <c r="B8" s="4" t="s">
        <v>750</v>
      </c>
      <c r="C8" t="s">
        <v>727</v>
      </c>
      <c r="D8" t="s">
        <v>728</v>
      </c>
      <c r="E8">
        <v>150000</v>
      </c>
    </row>
    <row r="9" spans="1:5" ht="15">
      <c r="A9" t="s">
        <v>751</v>
      </c>
      <c r="B9" s="5" t="s">
        <v>752</v>
      </c>
      <c r="C9" t="s">
        <v>731</v>
      </c>
      <c r="D9" t="s">
        <v>732</v>
      </c>
      <c r="E9">
        <v>150000</v>
      </c>
    </row>
    <row r="10" spans="1:5" ht="15">
      <c r="A10" t="s">
        <v>753</v>
      </c>
      <c r="B10" s="4" t="s">
        <v>754</v>
      </c>
      <c r="C10" t="s">
        <v>735</v>
      </c>
      <c r="D10" t="s">
        <v>736</v>
      </c>
      <c r="E10">
        <v>300000</v>
      </c>
    </row>
    <row r="11" spans="1:5" ht="15">
      <c r="A11" t="s">
        <v>755</v>
      </c>
      <c r="B11" s="5" t="s">
        <v>756</v>
      </c>
      <c r="C11" t="s">
        <v>739</v>
      </c>
      <c r="D11" t="s">
        <v>740</v>
      </c>
      <c r="E11">
        <v>50000</v>
      </c>
    </row>
    <row r="12" spans="1:5" ht="15">
      <c r="A12" t="s">
        <v>757</v>
      </c>
      <c r="B12" s="4" t="s">
        <v>758</v>
      </c>
      <c r="C12" t="s">
        <v>743</v>
      </c>
      <c r="D12" t="s">
        <v>744</v>
      </c>
      <c r="E12">
        <v>75000</v>
      </c>
    </row>
    <row r="13" spans="1:5" ht="15">
      <c r="A13" t="s">
        <v>759</v>
      </c>
      <c r="B13" s="5" t="s">
        <v>760</v>
      </c>
      <c r="C13" t="s">
        <v>747</v>
      </c>
      <c r="D13" t="s">
        <v>748</v>
      </c>
      <c r="E13">
        <v>300000</v>
      </c>
    </row>
    <row r="14" spans="1:5" ht="15">
      <c r="A14" t="s">
        <v>761</v>
      </c>
      <c r="B14" s="4" t="s">
        <v>762</v>
      </c>
      <c r="C14" t="s">
        <v>727</v>
      </c>
      <c r="D14" t="s">
        <v>728</v>
      </c>
      <c r="E14">
        <v>75000</v>
      </c>
    </row>
    <row r="15" spans="1:5" ht="15">
      <c r="A15" t="s">
        <v>763</v>
      </c>
      <c r="B15" s="5" t="s">
        <v>764</v>
      </c>
      <c r="C15" t="s">
        <v>731</v>
      </c>
      <c r="D15" t="s">
        <v>732</v>
      </c>
      <c r="E15">
        <v>75000</v>
      </c>
    </row>
    <row r="16" spans="1:5" ht="15">
      <c r="A16" t="s">
        <v>765</v>
      </c>
      <c r="B16" s="4" t="s">
        <v>766</v>
      </c>
      <c r="C16" t="s">
        <v>735</v>
      </c>
      <c r="D16" t="s">
        <v>736</v>
      </c>
      <c r="E16">
        <v>500000</v>
      </c>
    </row>
    <row r="17" spans="1:5" ht="15">
      <c r="A17" t="s">
        <v>767</v>
      </c>
      <c r="B17" s="5" t="s">
        <v>768</v>
      </c>
      <c r="C17" t="s">
        <v>739</v>
      </c>
      <c r="D17" t="s">
        <v>740</v>
      </c>
      <c r="E17">
        <v>150000</v>
      </c>
    </row>
    <row r="18" spans="1:5" ht="15">
      <c r="A18" t="s">
        <v>769</v>
      </c>
      <c r="B18" s="4" t="s">
        <v>770</v>
      </c>
      <c r="C18" t="s">
        <v>743</v>
      </c>
      <c r="D18" t="s">
        <v>744</v>
      </c>
      <c r="E18">
        <v>100000</v>
      </c>
    </row>
    <row r="19" spans="1:5" ht="15">
      <c r="A19" t="s">
        <v>771</v>
      </c>
      <c r="B19" s="5" t="s">
        <v>772</v>
      </c>
      <c r="C19" t="s">
        <v>747</v>
      </c>
      <c r="D19" t="s">
        <v>748</v>
      </c>
      <c r="E19">
        <v>500000</v>
      </c>
    </row>
    <row r="20" spans="1:5" ht="15">
      <c r="A20" t="s">
        <v>773</v>
      </c>
      <c r="B20" s="4" t="s">
        <v>774</v>
      </c>
      <c r="C20" t="s">
        <v>727</v>
      </c>
      <c r="D20" t="s">
        <v>728</v>
      </c>
      <c r="E20">
        <v>500000</v>
      </c>
    </row>
    <row r="21" spans="1:5" ht="15">
      <c r="A21" t="s">
        <v>775</v>
      </c>
      <c r="B21" s="5" t="s">
        <v>776</v>
      </c>
      <c r="C21" t="s">
        <v>731</v>
      </c>
      <c r="D21" t="s">
        <v>732</v>
      </c>
      <c r="E21">
        <v>75000</v>
      </c>
    </row>
    <row r="22" spans="1:5" ht="15">
      <c r="A22" t="s">
        <v>777</v>
      </c>
      <c r="B22" s="4" t="s">
        <v>778</v>
      </c>
      <c r="C22" t="s">
        <v>735</v>
      </c>
      <c r="D22" t="s">
        <v>736</v>
      </c>
      <c r="E22">
        <v>200000</v>
      </c>
    </row>
    <row r="23" spans="1:5" ht="15">
      <c r="A23" t="s">
        <v>779</v>
      </c>
      <c r="B23" s="5" t="s">
        <v>780</v>
      </c>
      <c r="C23" t="s">
        <v>739</v>
      </c>
      <c r="D23" t="s">
        <v>740</v>
      </c>
      <c r="E23">
        <v>150000</v>
      </c>
    </row>
    <row r="24" spans="1:5" ht="15">
      <c r="A24" t="s">
        <v>781</v>
      </c>
      <c r="B24" s="4" t="s">
        <v>782</v>
      </c>
      <c r="C24" t="s">
        <v>743</v>
      </c>
      <c r="D24" t="s">
        <v>744</v>
      </c>
      <c r="E24">
        <v>50000</v>
      </c>
    </row>
    <row r="25" spans="1:5" ht="15">
      <c r="A25" t="s">
        <v>783</v>
      </c>
      <c r="B25" s="5" t="s">
        <v>784</v>
      </c>
      <c r="C25" t="s">
        <v>747</v>
      </c>
      <c r="D25" t="s">
        <v>748</v>
      </c>
      <c r="E25">
        <v>500000</v>
      </c>
    </row>
    <row r="26" spans="1:5" ht="15">
      <c r="A26" t="s">
        <v>785</v>
      </c>
      <c r="B26" s="4" t="s">
        <v>786</v>
      </c>
      <c r="C26" t="s">
        <v>727</v>
      </c>
      <c r="D26" t="s">
        <v>728</v>
      </c>
      <c r="E26">
        <v>100000</v>
      </c>
    </row>
    <row r="27" spans="1:5" ht="15">
      <c r="A27" t="s">
        <v>787</v>
      </c>
      <c r="B27" s="5" t="s">
        <v>788</v>
      </c>
      <c r="C27" t="s">
        <v>731</v>
      </c>
      <c r="D27" t="s">
        <v>732</v>
      </c>
      <c r="E27">
        <v>200000</v>
      </c>
    </row>
    <row r="28" spans="1:5" ht="15">
      <c r="A28" t="s">
        <v>789</v>
      </c>
      <c r="B28" s="4" t="s">
        <v>790</v>
      </c>
      <c r="C28" t="s">
        <v>735</v>
      </c>
      <c r="D28" t="s">
        <v>736</v>
      </c>
      <c r="E28">
        <v>200000</v>
      </c>
    </row>
    <row r="29" spans="1:5" ht="15">
      <c r="A29" t="s">
        <v>791</v>
      </c>
      <c r="B29" s="5" t="s">
        <v>792</v>
      </c>
      <c r="C29" t="s">
        <v>739</v>
      </c>
      <c r="D29" t="s">
        <v>740</v>
      </c>
      <c r="E29">
        <v>50000</v>
      </c>
    </row>
    <row r="30" spans="1:5" ht="15">
      <c r="A30" t="s">
        <v>793</v>
      </c>
      <c r="B30" s="4" t="s">
        <v>794</v>
      </c>
      <c r="C30" t="s">
        <v>743</v>
      </c>
      <c r="D30" t="s">
        <v>744</v>
      </c>
      <c r="E30">
        <v>500000</v>
      </c>
    </row>
    <row r="31" spans="1:5" ht="15">
      <c r="A31" t="s">
        <v>795</v>
      </c>
      <c r="B31" s="5" t="s">
        <v>796</v>
      </c>
      <c r="C31" t="s">
        <v>747</v>
      </c>
      <c r="D31" t="s">
        <v>748</v>
      </c>
      <c r="E31">
        <v>100000</v>
      </c>
    </row>
    <row r="32" spans="1:5" ht="15">
      <c r="A32" t="s">
        <v>797</v>
      </c>
      <c r="B32" s="4" t="s">
        <v>798</v>
      </c>
      <c r="C32" t="s">
        <v>727</v>
      </c>
      <c r="D32" t="s">
        <v>728</v>
      </c>
      <c r="E32">
        <v>150000</v>
      </c>
    </row>
    <row r="33" spans="1:5" ht="15">
      <c r="A33" t="s">
        <v>799</v>
      </c>
      <c r="B33" s="5" t="s">
        <v>800</v>
      </c>
      <c r="C33" t="s">
        <v>731</v>
      </c>
      <c r="D33" t="s">
        <v>732</v>
      </c>
      <c r="E33">
        <v>35000</v>
      </c>
    </row>
    <row r="34" spans="1:5" ht="15">
      <c r="A34" t="s">
        <v>801</v>
      </c>
      <c r="B34" s="4" t="s">
        <v>802</v>
      </c>
      <c r="C34" t="s">
        <v>735</v>
      </c>
      <c r="D34" t="s">
        <v>736</v>
      </c>
      <c r="E34">
        <v>100000</v>
      </c>
    </row>
    <row r="35" spans="1:5" ht="15">
      <c r="A35" t="s">
        <v>803</v>
      </c>
      <c r="B35" s="5" t="s">
        <v>804</v>
      </c>
      <c r="C35" t="s">
        <v>739</v>
      </c>
      <c r="D35" t="s">
        <v>740</v>
      </c>
      <c r="E35">
        <v>50000</v>
      </c>
    </row>
    <row r="36" spans="1:5" ht="15">
      <c r="A36" t="s">
        <v>805</v>
      </c>
      <c r="B36" s="4" t="s">
        <v>806</v>
      </c>
      <c r="C36" t="s">
        <v>743</v>
      </c>
      <c r="D36" t="s">
        <v>744</v>
      </c>
      <c r="E36">
        <v>200000</v>
      </c>
    </row>
    <row r="37" spans="1:5" ht="15">
      <c r="A37" t="s">
        <v>807</v>
      </c>
      <c r="B37" s="5" t="s">
        <v>808</v>
      </c>
      <c r="C37" t="s">
        <v>747</v>
      </c>
      <c r="D37" t="s">
        <v>748</v>
      </c>
      <c r="E37">
        <v>150000</v>
      </c>
    </row>
    <row r="38" spans="1:5" ht="15">
      <c r="A38" t="s">
        <v>809</v>
      </c>
      <c r="B38" s="4" t="s">
        <v>810</v>
      </c>
      <c r="C38" t="s">
        <v>727</v>
      </c>
      <c r="D38" t="s">
        <v>728</v>
      </c>
      <c r="E38">
        <v>100000</v>
      </c>
    </row>
    <row r="39" spans="1:5" ht="15">
      <c r="A39" t="s">
        <v>811</v>
      </c>
      <c r="B39" s="5" t="s">
        <v>812</v>
      </c>
      <c r="C39" t="s">
        <v>731</v>
      </c>
      <c r="D39" t="s">
        <v>732</v>
      </c>
      <c r="E39">
        <v>35000</v>
      </c>
    </row>
    <row r="40" spans="1:5" ht="15">
      <c r="A40" t="s">
        <v>813</v>
      </c>
      <c r="B40" s="4" t="s">
        <v>814</v>
      </c>
      <c r="C40" t="s">
        <v>735</v>
      </c>
      <c r="D40" t="s">
        <v>736</v>
      </c>
      <c r="E40">
        <v>35000</v>
      </c>
    </row>
    <row r="41" spans="1:5" ht="15">
      <c r="A41" t="s">
        <v>815</v>
      </c>
      <c r="B41" s="5" t="s">
        <v>816</v>
      </c>
      <c r="C41" t="s">
        <v>739</v>
      </c>
      <c r="D41" t="s">
        <v>740</v>
      </c>
      <c r="E41">
        <v>75000</v>
      </c>
    </row>
    <row r="42" spans="1:5" ht="15">
      <c r="A42" t="s">
        <v>817</v>
      </c>
      <c r="B42" s="4" t="s">
        <v>818</v>
      </c>
      <c r="C42" t="s">
        <v>743</v>
      </c>
      <c r="D42" t="s">
        <v>744</v>
      </c>
      <c r="E42">
        <v>75000</v>
      </c>
    </row>
    <row r="43" spans="1:5" ht="15">
      <c r="A43" t="s">
        <v>819</v>
      </c>
      <c r="B43" s="5" t="s">
        <v>820</v>
      </c>
      <c r="C43" t="s">
        <v>747</v>
      </c>
      <c r="D43" t="s">
        <v>748</v>
      </c>
      <c r="E43">
        <v>300000</v>
      </c>
    </row>
    <row r="44" spans="1:5" ht="15">
      <c r="A44" t="s">
        <v>821</v>
      </c>
      <c r="B44" s="4" t="s">
        <v>822</v>
      </c>
      <c r="C44" t="s">
        <v>727</v>
      </c>
      <c r="D44" t="s">
        <v>728</v>
      </c>
      <c r="E44">
        <v>50000</v>
      </c>
    </row>
    <row r="45" spans="1:5" ht="15">
      <c r="A45" t="s">
        <v>823</v>
      </c>
      <c r="B45" s="5" t="s">
        <v>824</v>
      </c>
      <c r="C45" t="s">
        <v>731</v>
      </c>
      <c r="D45" t="s">
        <v>732</v>
      </c>
      <c r="E45">
        <v>500000</v>
      </c>
    </row>
    <row r="46" spans="1:5" ht="15">
      <c r="A46" t="s">
        <v>825</v>
      </c>
      <c r="B46" s="4" t="s">
        <v>826</v>
      </c>
      <c r="C46" t="s">
        <v>735</v>
      </c>
      <c r="D46" t="s">
        <v>736</v>
      </c>
      <c r="E46">
        <v>100000</v>
      </c>
    </row>
    <row r="47" spans="1:5" ht="15">
      <c r="A47" t="s">
        <v>827</v>
      </c>
      <c r="B47" s="5" t="s">
        <v>828</v>
      </c>
      <c r="C47" t="s">
        <v>739</v>
      </c>
      <c r="D47" t="s">
        <v>740</v>
      </c>
      <c r="E47">
        <v>100000</v>
      </c>
    </row>
    <row r="48" spans="1:5" ht="15">
      <c r="A48" t="s">
        <v>829</v>
      </c>
      <c r="B48" s="4" t="s">
        <v>830</v>
      </c>
      <c r="C48" t="s">
        <v>743</v>
      </c>
      <c r="D48" t="s">
        <v>744</v>
      </c>
      <c r="E48">
        <v>500000</v>
      </c>
    </row>
    <row r="49" spans="1:5" ht="15">
      <c r="A49" t="s">
        <v>831</v>
      </c>
      <c r="B49" s="5" t="s">
        <v>832</v>
      </c>
      <c r="C49" t="s">
        <v>747</v>
      </c>
      <c r="D49" t="s">
        <v>748</v>
      </c>
      <c r="E49">
        <v>300000</v>
      </c>
    </row>
    <row r="50" spans="1:5" ht="15">
      <c r="A50" t="s">
        <v>833</v>
      </c>
      <c r="B50" s="4" t="s">
        <v>834</v>
      </c>
      <c r="C50" t="s">
        <v>727</v>
      </c>
      <c r="D50" t="s">
        <v>728</v>
      </c>
      <c r="E50">
        <v>200000</v>
      </c>
    </row>
    <row r="51" spans="1:5" ht="15">
      <c r="A51" t="s">
        <v>835</v>
      </c>
      <c r="B51" s="5" t="s">
        <v>836</v>
      </c>
      <c r="C51" t="s">
        <v>731</v>
      </c>
      <c r="D51" t="s">
        <v>732</v>
      </c>
      <c r="E51">
        <v>200000</v>
      </c>
    </row>
    <row r="52" spans="1:5" ht="15">
      <c r="A52" t="s">
        <v>837</v>
      </c>
      <c r="B52" s="4" t="s">
        <v>838</v>
      </c>
      <c r="C52" t="s">
        <v>735</v>
      </c>
      <c r="D52" t="s">
        <v>736</v>
      </c>
      <c r="E52">
        <v>300000</v>
      </c>
    </row>
    <row r="53" spans="1:5" ht="15">
      <c r="A53" t="s">
        <v>839</v>
      </c>
      <c r="B53" s="5" t="s">
        <v>840</v>
      </c>
      <c r="C53" t="s">
        <v>739</v>
      </c>
      <c r="D53" t="s">
        <v>740</v>
      </c>
      <c r="E53">
        <v>200000</v>
      </c>
    </row>
    <row r="54" spans="1:5" ht="15">
      <c r="A54" t="s">
        <v>841</v>
      </c>
      <c r="B54" s="4" t="s">
        <v>842</v>
      </c>
      <c r="C54" t="s">
        <v>743</v>
      </c>
      <c r="D54" t="s">
        <v>744</v>
      </c>
      <c r="E54">
        <v>75000</v>
      </c>
    </row>
    <row r="55" spans="1:5" ht="15">
      <c r="A55" t="s">
        <v>843</v>
      </c>
      <c r="B55" s="5" t="s">
        <v>844</v>
      </c>
      <c r="C55" t="s">
        <v>747</v>
      </c>
      <c r="D55" t="s">
        <v>748</v>
      </c>
      <c r="E55">
        <v>100000</v>
      </c>
    </row>
    <row r="56" spans="1:5" ht="15">
      <c r="A56" t="s">
        <v>845</v>
      </c>
      <c r="B56" s="4" t="s">
        <v>846</v>
      </c>
      <c r="C56" t="s">
        <v>727</v>
      </c>
      <c r="D56" t="s">
        <v>728</v>
      </c>
      <c r="E56">
        <v>300000</v>
      </c>
    </row>
    <row r="57" spans="1:5" ht="15">
      <c r="A57" t="s">
        <v>847</v>
      </c>
      <c r="B57" s="5" t="s">
        <v>848</v>
      </c>
      <c r="C57" t="s">
        <v>731</v>
      </c>
      <c r="D57" t="s">
        <v>732</v>
      </c>
      <c r="E57">
        <v>100000</v>
      </c>
    </row>
    <row r="58" spans="1:5" ht="15">
      <c r="A58" t="s">
        <v>849</v>
      </c>
      <c r="B58" s="4" t="s">
        <v>850</v>
      </c>
      <c r="C58" t="s">
        <v>735</v>
      </c>
      <c r="D58" t="s">
        <v>736</v>
      </c>
      <c r="E58">
        <v>500000</v>
      </c>
    </row>
    <row r="59" spans="1:5" ht="15">
      <c r="A59" t="s">
        <v>851</v>
      </c>
      <c r="B59" s="5" t="s">
        <v>852</v>
      </c>
      <c r="C59" t="s">
        <v>739</v>
      </c>
      <c r="D59" t="s">
        <v>740</v>
      </c>
      <c r="E59">
        <v>35000</v>
      </c>
    </row>
    <row r="60" spans="1:5" ht="15">
      <c r="A60" t="s">
        <v>853</v>
      </c>
      <c r="B60" s="4" t="s">
        <v>854</v>
      </c>
      <c r="C60" t="s">
        <v>743</v>
      </c>
      <c r="D60" t="s">
        <v>744</v>
      </c>
      <c r="E60">
        <v>75000</v>
      </c>
    </row>
    <row r="61" spans="1:5" ht="15">
      <c r="A61" t="s">
        <v>855</v>
      </c>
      <c r="B61" s="5" t="s">
        <v>856</v>
      </c>
      <c r="C61" t="s">
        <v>747</v>
      </c>
      <c r="D61" t="s">
        <v>748</v>
      </c>
      <c r="E61">
        <v>150000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B06C35-3613-4E9E-AC86-41A52A936F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data_cleaning_&amp;_preparation</vt:lpstr>
      <vt:lpstr>clean</vt:lpstr>
      <vt:lpstr>raw</vt:lpstr>
      <vt:lpstr>sales_performance</vt:lpstr>
      <vt:lpstr>products_performance</vt:lpstr>
      <vt:lpstr>customers_performance</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piko</dc:creator>
  <cp:lastModifiedBy>piko</cp:lastModifiedBy>
  <dcterms:created xsi:type="dcterms:W3CDTF">2015-06-05T18:17:20Z</dcterms:created>
  <dcterms:modified xsi:type="dcterms:W3CDTF">2026-08-31T04:45:26Z</dcterms:modified>
</cp:coreProperties>
</file>